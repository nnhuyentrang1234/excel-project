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3.xml" ContentType="application/vnd.openxmlformats-officedocument.spreadsheetml.pivotTable+xml"/>
  <Override PartName="/xl/drawings/drawing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4.xml" ContentType="application/vnd.openxmlformats-officedocument.spreadsheetml.pivotTable+xml"/>
  <Override PartName="/xl/drawings/drawing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codeName="ThisWorkbook" hidePivotFieldList="1"/>
  <mc:AlternateContent xmlns:mc="http://schemas.openxmlformats.org/markup-compatibility/2006">
    <mc:Choice Requires="x15">
      <x15ac:absPath xmlns:x15ac="http://schemas.microsoft.com/office/spreadsheetml/2010/11/ac" url="https://liveswinburneeduau-my.sharepoint.com/personal/104978499_student_swin_edu_au/Documents/"/>
    </mc:Choice>
  </mc:AlternateContent>
  <xr:revisionPtr revIDLastSave="0" documentId="8_{B1490D99-67D9-4A6A-9414-B82AE7DDF1D6}" xr6:coauthVersionLast="47" xr6:coauthVersionMax="47" xr10:uidLastSave="{00000000-0000-0000-0000-000000000000}"/>
  <bookViews>
    <workbookView xWindow="0" yWindow="0" windowWidth="28800" windowHeight="18000" firstSheet="2" activeTab="2" xr2:uid="{4950332D-CA18-C946-A4C1-446270FD62B8}"/>
  </bookViews>
  <sheets>
    <sheet name="SAMPLE" sheetId="1" r:id="rId1"/>
    <sheet name="TASK 2" sheetId="9" r:id="rId2"/>
    <sheet name="DASHBOARD" sheetId="22" r:id="rId3"/>
    <sheet name="Bar | Income - Age" sheetId="16" state="veryHidden" r:id="rId4"/>
    <sheet name="Pie | Gender" sheetId="17" state="veryHidden" r:id="rId5"/>
    <sheet name="Line | Ded - Age &amp; Gender" sheetId="18" state="veryHidden" r:id="rId6"/>
    <sheet name="Bar | Tax - Occ &amp; Part" sheetId="19" state="veryHidden" r:id="rId7"/>
    <sheet name="Bar | Inc - Health &amp; Occ" sheetId="20" state="veryHidden" r:id="rId8"/>
    <sheet name="TASK 4" sheetId="13" r:id="rId9"/>
    <sheet name="TASK 5" sheetId="14" r:id="rId10"/>
    <sheet name="TASK 6" sheetId="15" r:id="rId11"/>
  </sheets>
  <definedNames>
    <definedName name="Slicer_age_range">#N/A</definedName>
    <definedName name="Slicer_Gender">#N/A</definedName>
    <definedName name="Slicer_Lodgment_method">#N/A</definedName>
    <definedName name="Slicer_Occ_code">#N/A</definedName>
    <definedName name="Slicer_Partner_status">#N/A</definedName>
    <definedName name="Slicer_PHI_Ind">#N/A</definedName>
  </definedNames>
  <calcPr calcId="191028"/>
  <pivotCaches>
    <pivotCache cacheId="1786"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5" i="15" l="1"/>
  <c r="H55" i="15"/>
  <c r="X20" i="13" l="1"/>
  <c r="X21" i="13"/>
  <c r="G54" i="15"/>
  <c r="X43" i="13"/>
  <c r="X42" i="13"/>
  <c r="J1001" i="14"/>
  <c r="J1000" i="14"/>
  <c r="J999" i="14"/>
  <c r="J998" i="14"/>
  <c r="J997" i="14"/>
  <c r="J996" i="14"/>
  <c r="J995" i="14"/>
  <c r="J994" i="14"/>
  <c r="J993" i="14"/>
  <c r="J992" i="14"/>
  <c r="J991" i="14"/>
  <c r="J990" i="14"/>
  <c r="J989" i="14"/>
  <c r="J988" i="14"/>
  <c r="J987" i="14"/>
  <c r="J986" i="14"/>
  <c r="J985" i="14"/>
  <c r="J984" i="14"/>
  <c r="J983" i="14"/>
  <c r="J982" i="14"/>
  <c r="J981" i="14"/>
  <c r="J980" i="14"/>
  <c r="J979" i="14"/>
  <c r="J978" i="14"/>
  <c r="J977" i="14"/>
  <c r="J976" i="14"/>
  <c r="J975" i="14"/>
  <c r="J974" i="14"/>
  <c r="J973" i="14"/>
  <c r="J972" i="14"/>
  <c r="J971" i="14"/>
  <c r="J970" i="14"/>
  <c r="J969" i="14"/>
  <c r="J968" i="14"/>
  <c r="J967" i="14"/>
  <c r="J966" i="14"/>
  <c r="J965" i="14"/>
  <c r="J964" i="14"/>
  <c r="J963" i="14"/>
  <c r="J962" i="14"/>
  <c r="J961" i="14"/>
  <c r="J960" i="14"/>
  <c r="J959" i="14"/>
  <c r="J958" i="14"/>
  <c r="J957" i="14"/>
  <c r="J956" i="14"/>
  <c r="J955" i="14"/>
  <c r="J954" i="14"/>
  <c r="J953" i="14"/>
  <c r="J952" i="14"/>
  <c r="J951" i="14"/>
  <c r="J950" i="14"/>
  <c r="J949" i="14"/>
  <c r="J948" i="14"/>
  <c r="J947" i="14"/>
  <c r="J946" i="14"/>
  <c r="J945" i="14"/>
  <c r="J944" i="14"/>
  <c r="J943" i="14"/>
  <c r="J942" i="14"/>
  <c r="J941" i="14"/>
  <c r="J940" i="14"/>
  <c r="J939" i="14"/>
  <c r="J938" i="14"/>
  <c r="J937" i="14"/>
  <c r="J936" i="14"/>
  <c r="J935" i="14"/>
  <c r="J934" i="14"/>
  <c r="J933" i="14"/>
  <c r="J932" i="14"/>
  <c r="J931" i="14"/>
  <c r="J930" i="14"/>
  <c r="J929" i="14"/>
  <c r="J928" i="14"/>
  <c r="J927" i="14"/>
  <c r="J926" i="14"/>
  <c r="J925" i="14"/>
  <c r="J924" i="14"/>
  <c r="J923" i="14"/>
  <c r="J922" i="14"/>
  <c r="J921" i="14"/>
  <c r="J920" i="14"/>
  <c r="J919" i="14"/>
  <c r="J918" i="14"/>
  <c r="J917" i="14"/>
  <c r="J916" i="14"/>
  <c r="J915" i="14"/>
  <c r="J914" i="14"/>
  <c r="J913" i="14"/>
  <c r="J912" i="14"/>
  <c r="J911" i="14"/>
  <c r="J910" i="14"/>
  <c r="J909" i="14"/>
  <c r="J908" i="14"/>
  <c r="J907" i="14"/>
  <c r="J906" i="14"/>
  <c r="J905" i="14"/>
  <c r="J904" i="14"/>
  <c r="J903" i="14"/>
  <c r="J902" i="14"/>
  <c r="J901" i="14"/>
  <c r="J900" i="14"/>
  <c r="J899" i="14"/>
  <c r="J898" i="14"/>
  <c r="J897" i="14"/>
  <c r="J896" i="14"/>
  <c r="J895" i="14"/>
  <c r="J894" i="14"/>
  <c r="J893" i="14"/>
  <c r="J892" i="14"/>
  <c r="J891" i="14"/>
  <c r="J890" i="14"/>
  <c r="J889" i="14"/>
  <c r="J888" i="14"/>
  <c r="J887" i="14"/>
  <c r="J886" i="14"/>
  <c r="J885" i="14"/>
  <c r="J884" i="14"/>
  <c r="J883" i="14"/>
  <c r="J882" i="14"/>
  <c r="J881" i="14"/>
  <c r="J880" i="14"/>
  <c r="J879" i="14"/>
  <c r="J878" i="14"/>
  <c r="J877" i="14"/>
  <c r="J876" i="14"/>
  <c r="J875" i="14"/>
  <c r="J874" i="14"/>
  <c r="J873" i="14"/>
  <c r="J872" i="14"/>
  <c r="J871" i="14"/>
  <c r="J870" i="14"/>
  <c r="J869" i="14"/>
  <c r="J868" i="14"/>
  <c r="J867" i="14"/>
  <c r="J866" i="14"/>
  <c r="J865" i="14"/>
  <c r="J864" i="14"/>
  <c r="J863" i="14"/>
  <c r="J862" i="14"/>
  <c r="J861" i="14"/>
  <c r="J860" i="14"/>
  <c r="J859" i="14"/>
  <c r="J858" i="14"/>
  <c r="J857" i="14"/>
  <c r="J856" i="14"/>
  <c r="J855" i="14"/>
  <c r="J854" i="14"/>
  <c r="J853" i="14"/>
  <c r="J852" i="14"/>
  <c r="J851" i="14"/>
  <c r="J850" i="14"/>
  <c r="J849" i="14"/>
  <c r="J848" i="14"/>
  <c r="J847" i="14"/>
  <c r="J846" i="14"/>
  <c r="J845" i="14"/>
  <c r="J844" i="14"/>
  <c r="J843" i="14"/>
  <c r="J842" i="14"/>
  <c r="J841" i="14"/>
  <c r="J840" i="14"/>
  <c r="J839" i="14"/>
  <c r="J838" i="14"/>
  <c r="J837" i="14"/>
  <c r="J836" i="14"/>
  <c r="J835" i="14"/>
  <c r="J834" i="14"/>
  <c r="J833" i="14"/>
  <c r="J832" i="14"/>
  <c r="J831" i="14"/>
  <c r="J830" i="14"/>
  <c r="J829" i="14"/>
  <c r="J828" i="14"/>
  <c r="J827" i="14"/>
  <c r="J826" i="14"/>
  <c r="J825" i="14"/>
  <c r="J824" i="14"/>
  <c r="J823" i="14"/>
  <c r="J822" i="14"/>
  <c r="J821" i="14"/>
  <c r="J820" i="14"/>
  <c r="J819" i="14"/>
  <c r="J818" i="14"/>
  <c r="J817" i="14"/>
  <c r="J816" i="14"/>
  <c r="J815" i="14"/>
  <c r="J814" i="14"/>
  <c r="J813" i="14"/>
  <c r="J812" i="14"/>
  <c r="J811" i="14"/>
  <c r="J810" i="14"/>
  <c r="J809" i="14"/>
  <c r="J808" i="14"/>
  <c r="J807" i="14"/>
  <c r="J806" i="14"/>
  <c r="J805" i="14"/>
  <c r="J804" i="14"/>
  <c r="J803" i="14"/>
  <c r="J802" i="14"/>
  <c r="J801" i="14"/>
  <c r="J800" i="14"/>
  <c r="J799" i="14"/>
  <c r="J798" i="14"/>
  <c r="J797" i="14"/>
  <c r="J796" i="14"/>
  <c r="J795" i="14"/>
  <c r="J794" i="14"/>
  <c r="J793" i="14"/>
  <c r="J792" i="14"/>
  <c r="J791" i="14"/>
  <c r="J790" i="14"/>
  <c r="J789" i="14"/>
  <c r="J788" i="14"/>
  <c r="J787" i="14"/>
  <c r="J786" i="14"/>
  <c r="J785" i="14"/>
  <c r="J784" i="14"/>
  <c r="J783" i="14"/>
  <c r="J782" i="14"/>
  <c r="J781" i="14"/>
  <c r="J780" i="14"/>
  <c r="J779" i="14"/>
  <c r="J778" i="14"/>
  <c r="J777" i="14"/>
  <c r="J776" i="14"/>
  <c r="J775" i="14"/>
  <c r="J774" i="14"/>
  <c r="J773" i="14"/>
  <c r="J772" i="14"/>
  <c r="J771" i="14"/>
  <c r="J770" i="14"/>
  <c r="J769" i="14"/>
  <c r="J768" i="14"/>
  <c r="J767" i="14"/>
  <c r="J766" i="14"/>
  <c r="J765" i="14"/>
  <c r="J764" i="14"/>
  <c r="J763" i="14"/>
  <c r="J762" i="14"/>
  <c r="J761" i="14"/>
  <c r="J760" i="14"/>
  <c r="J759" i="14"/>
  <c r="J758" i="14"/>
  <c r="J757" i="14"/>
  <c r="J756" i="14"/>
  <c r="J755" i="14"/>
  <c r="J754" i="14"/>
  <c r="J753" i="14"/>
  <c r="J752" i="14"/>
  <c r="J751" i="14"/>
  <c r="J750" i="14"/>
  <c r="J749" i="14"/>
  <c r="J748" i="14"/>
  <c r="J747" i="14"/>
  <c r="J746" i="14"/>
  <c r="J745" i="14"/>
  <c r="J744" i="14"/>
  <c r="J743" i="14"/>
  <c r="J742" i="14"/>
  <c r="J741" i="14"/>
  <c r="J740" i="14"/>
  <c r="J739" i="14"/>
  <c r="J738" i="14"/>
  <c r="J737" i="14"/>
  <c r="J736" i="14"/>
  <c r="J735" i="14"/>
  <c r="J734" i="14"/>
  <c r="J733" i="14"/>
  <c r="J732" i="14"/>
  <c r="J731" i="14"/>
  <c r="J730" i="14"/>
  <c r="J729" i="14"/>
  <c r="J728" i="14"/>
  <c r="J727" i="14"/>
  <c r="J726" i="14"/>
  <c r="J725" i="14"/>
  <c r="J724" i="14"/>
  <c r="J723" i="14"/>
  <c r="J722" i="14"/>
  <c r="J721" i="14"/>
  <c r="J720" i="14"/>
  <c r="J719" i="14"/>
  <c r="J718" i="14"/>
  <c r="J717" i="14"/>
  <c r="J716" i="14"/>
  <c r="J715" i="14"/>
  <c r="J714" i="14"/>
  <c r="J713" i="14"/>
  <c r="J712" i="14"/>
  <c r="J711" i="14"/>
  <c r="J710" i="14"/>
  <c r="J709" i="14"/>
  <c r="J708" i="14"/>
  <c r="J707" i="14"/>
  <c r="J706" i="14"/>
  <c r="J705" i="14"/>
  <c r="J704" i="14"/>
  <c r="J703" i="14"/>
  <c r="J702" i="14"/>
  <c r="J701" i="14"/>
  <c r="J700" i="14"/>
  <c r="J699" i="14"/>
  <c r="J698" i="14"/>
  <c r="J697" i="14"/>
  <c r="J696" i="14"/>
  <c r="J695" i="14"/>
  <c r="J694" i="14"/>
  <c r="J693" i="14"/>
  <c r="J692" i="14"/>
  <c r="J691" i="14"/>
  <c r="J690" i="14"/>
  <c r="J689" i="14"/>
  <c r="J688" i="14"/>
  <c r="J687" i="14"/>
  <c r="J686" i="14"/>
  <c r="J685" i="14"/>
  <c r="J684" i="14"/>
  <c r="J683" i="14"/>
  <c r="J682" i="14"/>
  <c r="J681" i="14"/>
  <c r="J680" i="14"/>
  <c r="J679" i="14"/>
  <c r="J678" i="14"/>
  <c r="J677" i="14"/>
  <c r="J676" i="14"/>
  <c r="J675" i="14"/>
  <c r="J674" i="14"/>
  <c r="J673" i="14"/>
  <c r="J672" i="14"/>
  <c r="J671" i="14"/>
  <c r="J670" i="14"/>
  <c r="J669" i="14"/>
  <c r="J668" i="14"/>
  <c r="J667" i="14"/>
  <c r="J666" i="14"/>
  <c r="J665" i="14"/>
  <c r="J664" i="14"/>
  <c r="J663" i="14"/>
  <c r="J662" i="14"/>
  <c r="J661" i="14"/>
  <c r="J660" i="14"/>
  <c r="J659" i="14"/>
  <c r="J658" i="14"/>
  <c r="J657" i="14"/>
  <c r="J656" i="14"/>
  <c r="J655" i="14"/>
  <c r="J654" i="14"/>
  <c r="J653" i="14"/>
  <c r="J652" i="14"/>
  <c r="J651" i="14"/>
  <c r="J650" i="14"/>
  <c r="J649" i="14"/>
  <c r="J648" i="14"/>
  <c r="J647" i="14"/>
  <c r="J646" i="14"/>
  <c r="J645" i="14"/>
  <c r="J644" i="14"/>
  <c r="J643" i="14"/>
  <c r="J642" i="14"/>
  <c r="J641" i="14"/>
  <c r="J640" i="14"/>
  <c r="J639" i="14"/>
  <c r="J638" i="14"/>
  <c r="J637" i="14"/>
  <c r="J636" i="14"/>
  <c r="J635" i="14"/>
  <c r="J634" i="14"/>
  <c r="J633" i="14"/>
  <c r="J632" i="14"/>
  <c r="J631" i="14"/>
  <c r="J630" i="14"/>
  <c r="J629" i="14"/>
  <c r="J628" i="14"/>
  <c r="J627" i="14"/>
  <c r="J626" i="14"/>
  <c r="J625" i="14"/>
  <c r="J624" i="14"/>
  <c r="J623" i="14"/>
  <c r="J622" i="14"/>
  <c r="J621" i="14"/>
  <c r="J620" i="14"/>
  <c r="J619" i="14"/>
  <c r="J618" i="14"/>
  <c r="J617" i="14"/>
  <c r="J616" i="14"/>
  <c r="J615" i="14"/>
  <c r="J614" i="14"/>
  <c r="J613" i="14"/>
  <c r="J612" i="14"/>
  <c r="J611" i="14"/>
  <c r="J610" i="14"/>
  <c r="J609" i="14"/>
  <c r="J608" i="14"/>
  <c r="J607" i="14"/>
  <c r="J606" i="14"/>
  <c r="J605" i="14"/>
  <c r="J604" i="14"/>
  <c r="J603" i="14"/>
  <c r="J602" i="14"/>
  <c r="J601" i="14"/>
  <c r="J600" i="14"/>
  <c r="J599" i="14"/>
  <c r="J598" i="14"/>
  <c r="J597" i="14"/>
  <c r="J596" i="14"/>
  <c r="J595" i="14"/>
  <c r="J594" i="14"/>
  <c r="J593" i="14"/>
  <c r="J592" i="14"/>
  <c r="J591" i="14"/>
  <c r="J590" i="14"/>
  <c r="J589" i="14"/>
  <c r="J588" i="14"/>
  <c r="J587" i="14"/>
  <c r="J586" i="14"/>
  <c r="J585" i="14"/>
  <c r="J584" i="14"/>
  <c r="J583" i="14"/>
  <c r="J582" i="14"/>
  <c r="J581" i="14"/>
  <c r="J580" i="14"/>
  <c r="J579" i="14"/>
  <c r="J578" i="14"/>
  <c r="J577" i="14"/>
  <c r="J576" i="14"/>
  <c r="J575" i="14"/>
  <c r="J574" i="14"/>
  <c r="J573" i="14"/>
  <c r="J572" i="14"/>
  <c r="J571" i="14"/>
  <c r="J570" i="14"/>
  <c r="J569" i="14"/>
  <c r="J568" i="14"/>
  <c r="J567" i="14"/>
  <c r="J566" i="14"/>
  <c r="J565" i="14"/>
  <c r="J564" i="14"/>
  <c r="J563" i="14"/>
  <c r="J562" i="14"/>
  <c r="J561" i="14"/>
  <c r="J560" i="14"/>
  <c r="J559" i="14"/>
  <c r="J558" i="14"/>
  <c r="J557" i="14"/>
  <c r="J556" i="14"/>
  <c r="J555" i="14"/>
  <c r="J554" i="14"/>
  <c r="J553" i="14"/>
  <c r="J552" i="14"/>
  <c r="J551" i="14"/>
  <c r="J550" i="14"/>
  <c r="J549" i="14"/>
  <c r="J548" i="14"/>
  <c r="J547" i="14"/>
  <c r="J546" i="14"/>
  <c r="J545" i="14"/>
  <c r="J544" i="14"/>
  <c r="J543" i="14"/>
  <c r="J542" i="14"/>
  <c r="J541" i="14"/>
  <c r="J540" i="14"/>
  <c r="J539" i="14"/>
  <c r="J538" i="14"/>
  <c r="J537" i="14"/>
  <c r="J536" i="14"/>
  <c r="J535" i="14"/>
  <c r="J534" i="14"/>
  <c r="J533" i="14"/>
  <c r="J532" i="14"/>
  <c r="J531" i="14"/>
  <c r="J530" i="14"/>
  <c r="J529" i="14"/>
  <c r="J528" i="14"/>
  <c r="J527" i="14"/>
  <c r="J526" i="14"/>
  <c r="J525" i="14"/>
  <c r="J524" i="14"/>
  <c r="J523" i="14"/>
  <c r="J522" i="14"/>
  <c r="J521" i="14"/>
  <c r="J520" i="14"/>
  <c r="J519" i="14"/>
  <c r="J518" i="14"/>
  <c r="J517" i="14"/>
  <c r="J516" i="14"/>
  <c r="J515" i="14"/>
  <c r="J514" i="14"/>
  <c r="J513" i="14"/>
  <c r="J512" i="14"/>
  <c r="J511" i="14"/>
  <c r="J510" i="14"/>
  <c r="J509" i="14"/>
  <c r="J508" i="14"/>
  <c r="J507" i="14"/>
  <c r="J506" i="14"/>
  <c r="J505" i="14"/>
  <c r="J504" i="14"/>
  <c r="J503" i="14"/>
  <c r="J502" i="14"/>
  <c r="J501" i="14"/>
  <c r="J500" i="14"/>
  <c r="J499" i="14"/>
  <c r="J498" i="14"/>
  <c r="J497" i="14"/>
  <c r="J496" i="14"/>
  <c r="J495" i="14"/>
  <c r="J494" i="14"/>
  <c r="J493" i="14"/>
  <c r="J492" i="14"/>
  <c r="J491" i="14"/>
  <c r="J490" i="14"/>
  <c r="J489" i="14"/>
  <c r="J488" i="14"/>
  <c r="J487" i="14"/>
  <c r="J486" i="14"/>
  <c r="J485" i="14"/>
  <c r="J484" i="14"/>
  <c r="J483" i="14"/>
  <c r="J482" i="14"/>
  <c r="J481" i="14"/>
  <c r="J480" i="14"/>
  <c r="J479" i="14"/>
  <c r="J478" i="14"/>
  <c r="J477" i="14"/>
  <c r="J476" i="14"/>
  <c r="J475" i="14"/>
  <c r="J474" i="14"/>
  <c r="J473" i="14"/>
  <c r="J472" i="14"/>
  <c r="J471" i="14"/>
  <c r="J470" i="14"/>
  <c r="J469" i="14"/>
  <c r="J468" i="14"/>
  <c r="J467" i="14"/>
  <c r="J466" i="14"/>
  <c r="J465" i="14"/>
  <c r="J464" i="14"/>
  <c r="J463" i="14"/>
  <c r="J462" i="14"/>
  <c r="J461" i="14"/>
  <c r="J460" i="14"/>
  <c r="J459" i="14"/>
  <c r="J458" i="14"/>
  <c r="J457" i="14"/>
  <c r="J456" i="14"/>
  <c r="J455" i="14"/>
  <c r="J454" i="14"/>
  <c r="J453" i="14"/>
  <c r="J452" i="14"/>
  <c r="J451" i="14"/>
  <c r="J450" i="14"/>
  <c r="J449" i="14"/>
  <c r="J448" i="14"/>
  <c r="J447" i="14"/>
  <c r="J446" i="14"/>
  <c r="J445" i="14"/>
  <c r="J444" i="14"/>
  <c r="J443" i="14"/>
  <c r="J442" i="14"/>
  <c r="J441" i="14"/>
  <c r="J440" i="14"/>
  <c r="J439" i="14"/>
  <c r="J438" i="14"/>
  <c r="J437" i="14"/>
  <c r="J436" i="14"/>
  <c r="J435" i="14"/>
  <c r="J434" i="14"/>
  <c r="J433" i="14"/>
  <c r="J432" i="14"/>
  <c r="J431" i="14"/>
  <c r="J430" i="14"/>
  <c r="J429" i="14"/>
  <c r="J428" i="14"/>
  <c r="J427" i="14"/>
  <c r="J426" i="14"/>
  <c r="J425" i="14"/>
  <c r="J424" i="14"/>
  <c r="J423" i="14"/>
  <c r="J422" i="14"/>
  <c r="J421" i="14"/>
  <c r="J420" i="14"/>
  <c r="J419" i="14"/>
  <c r="J418" i="14"/>
  <c r="J417" i="14"/>
  <c r="J416" i="14"/>
  <c r="J415" i="14"/>
  <c r="J414" i="14"/>
  <c r="J413" i="14"/>
  <c r="J412" i="14"/>
  <c r="J411" i="14"/>
  <c r="J410" i="14"/>
  <c r="J409" i="14"/>
  <c r="J408" i="14"/>
  <c r="J407" i="14"/>
  <c r="J406" i="14"/>
  <c r="J405" i="14"/>
  <c r="J404" i="14"/>
  <c r="J403" i="14"/>
  <c r="J402" i="14"/>
  <c r="J401" i="14"/>
  <c r="J400" i="14"/>
  <c r="J399" i="14"/>
  <c r="J398" i="14"/>
  <c r="J397" i="14"/>
  <c r="J396" i="14"/>
  <c r="J395" i="14"/>
  <c r="J394" i="14"/>
  <c r="J393" i="14"/>
  <c r="J392" i="14"/>
  <c r="J391" i="14"/>
  <c r="J390" i="14"/>
  <c r="J389" i="14"/>
  <c r="J388" i="14"/>
  <c r="J387" i="14"/>
  <c r="J386" i="14"/>
  <c r="J385" i="14"/>
  <c r="J384" i="14"/>
  <c r="J383" i="14"/>
  <c r="J382" i="14"/>
  <c r="J381" i="14"/>
  <c r="J380" i="14"/>
  <c r="J379" i="14"/>
  <c r="J378" i="14"/>
  <c r="J377" i="14"/>
  <c r="J376" i="14"/>
  <c r="J375" i="14"/>
  <c r="J374" i="14"/>
  <c r="J373" i="14"/>
  <c r="J372" i="14"/>
  <c r="J371" i="14"/>
  <c r="J370" i="14"/>
  <c r="J369" i="14"/>
  <c r="J368" i="14"/>
  <c r="J367" i="14"/>
  <c r="J366" i="14"/>
  <c r="J365" i="14"/>
  <c r="J364" i="14"/>
  <c r="J363" i="14"/>
  <c r="J362" i="14"/>
  <c r="J361" i="14"/>
  <c r="J360" i="14"/>
  <c r="J359" i="14"/>
  <c r="J358" i="14"/>
  <c r="J357" i="14"/>
  <c r="J356" i="14"/>
  <c r="J355" i="14"/>
  <c r="J354" i="14"/>
  <c r="J353" i="14"/>
  <c r="J352" i="14"/>
  <c r="J351" i="14"/>
  <c r="J350" i="14"/>
  <c r="J349" i="14"/>
  <c r="J348" i="14"/>
  <c r="J347" i="14"/>
  <c r="J346" i="14"/>
  <c r="J345" i="14"/>
  <c r="J344" i="14"/>
  <c r="J343" i="14"/>
  <c r="J342" i="14"/>
  <c r="J341" i="14"/>
  <c r="J340" i="14"/>
  <c r="J339" i="14"/>
  <c r="J338" i="14"/>
  <c r="J337" i="14"/>
  <c r="J336" i="14"/>
  <c r="J335" i="14"/>
  <c r="J334" i="14"/>
  <c r="J333" i="14"/>
  <c r="J332" i="14"/>
  <c r="J331" i="14"/>
  <c r="J330" i="14"/>
  <c r="J329" i="14"/>
  <c r="J328" i="14"/>
  <c r="J327" i="14"/>
  <c r="J326" i="14"/>
  <c r="J325" i="14"/>
  <c r="J324" i="14"/>
  <c r="J323" i="14"/>
  <c r="J322" i="14"/>
  <c r="J321" i="14"/>
  <c r="J320" i="14"/>
  <c r="J319" i="14"/>
  <c r="J318" i="14"/>
  <c r="J317" i="14"/>
  <c r="J316" i="14"/>
  <c r="J315" i="14"/>
  <c r="J314" i="14"/>
  <c r="J313" i="14"/>
  <c r="J312" i="14"/>
  <c r="J311" i="14"/>
  <c r="J310" i="14"/>
  <c r="J309" i="14"/>
  <c r="J308" i="14"/>
  <c r="J307" i="14"/>
  <c r="J306" i="14"/>
  <c r="J305" i="14"/>
  <c r="J304" i="14"/>
  <c r="J303" i="14"/>
  <c r="J302" i="14"/>
  <c r="J301" i="14"/>
  <c r="J300" i="14"/>
  <c r="J299" i="14"/>
  <c r="J298" i="14"/>
  <c r="J297" i="14"/>
  <c r="J296" i="14"/>
  <c r="J295" i="14"/>
  <c r="J294" i="14"/>
  <c r="J293" i="14"/>
  <c r="J292" i="14"/>
  <c r="J291" i="14"/>
  <c r="J290" i="14"/>
  <c r="J289" i="14"/>
  <c r="J288" i="14"/>
  <c r="J287" i="14"/>
  <c r="J286" i="14"/>
  <c r="J285" i="14"/>
  <c r="J284" i="14"/>
  <c r="J283" i="14"/>
  <c r="J282" i="14"/>
  <c r="J281" i="14"/>
  <c r="J280" i="14"/>
  <c r="J279" i="14"/>
  <c r="J278" i="14"/>
  <c r="J277" i="14"/>
  <c r="J276" i="14"/>
  <c r="J275" i="14"/>
  <c r="J274" i="14"/>
  <c r="J273" i="14"/>
  <c r="J272" i="14"/>
  <c r="J271" i="14"/>
  <c r="J270" i="14"/>
  <c r="J269" i="14"/>
  <c r="J268" i="14"/>
  <c r="J267" i="14"/>
  <c r="J266" i="14"/>
  <c r="J265" i="14"/>
  <c r="J264" i="14"/>
  <c r="J263" i="14"/>
  <c r="J262" i="14"/>
  <c r="J261" i="14"/>
  <c r="J260" i="14"/>
  <c r="J259" i="14"/>
  <c r="J258" i="14"/>
  <c r="J257" i="14"/>
  <c r="J256" i="14"/>
  <c r="J255" i="14"/>
  <c r="J254" i="14"/>
  <c r="J253" i="14"/>
  <c r="J252" i="14"/>
  <c r="J251" i="14"/>
  <c r="J250" i="14"/>
  <c r="J249" i="14"/>
  <c r="J248" i="14"/>
  <c r="J247" i="14"/>
  <c r="J246" i="14"/>
  <c r="J245" i="14"/>
  <c r="J244" i="14"/>
  <c r="J243" i="14"/>
  <c r="J242" i="14"/>
  <c r="J241" i="14"/>
  <c r="J240" i="14"/>
  <c r="J239" i="14"/>
  <c r="J238" i="14"/>
  <c r="J237" i="14"/>
  <c r="J236" i="14"/>
  <c r="J235" i="14"/>
  <c r="J234" i="14"/>
  <c r="J233" i="14"/>
  <c r="J232" i="14"/>
  <c r="J231" i="14"/>
  <c r="J230" i="14"/>
  <c r="J229" i="14"/>
  <c r="J228" i="14"/>
  <c r="J227" i="14"/>
  <c r="J226" i="14"/>
  <c r="J225" i="14"/>
  <c r="J224" i="14"/>
  <c r="J223" i="14"/>
  <c r="J222" i="14"/>
  <c r="J221" i="14"/>
  <c r="J220" i="14"/>
  <c r="J219" i="14"/>
  <c r="J218" i="14"/>
  <c r="J217" i="14"/>
  <c r="J216" i="14"/>
  <c r="J215" i="14"/>
  <c r="J214" i="14"/>
  <c r="J213" i="14"/>
  <c r="J212" i="14"/>
  <c r="J211" i="14"/>
  <c r="J210" i="14"/>
  <c r="J209" i="14"/>
  <c r="J208" i="14"/>
  <c r="J207" i="14"/>
  <c r="J206" i="14"/>
  <c r="J205" i="14"/>
  <c r="J204" i="14"/>
  <c r="J203" i="14"/>
  <c r="J202" i="14"/>
  <c r="J201" i="14"/>
  <c r="J200" i="14"/>
  <c r="J199" i="14"/>
  <c r="J198" i="14"/>
  <c r="J197" i="14"/>
  <c r="J196" i="14"/>
  <c r="J195" i="14"/>
  <c r="J194" i="14"/>
  <c r="J193" i="14"/>
  <c r="J192" i="14"/>
  <c r="J191" i="14"/>
  <c r="J190" i="14"/>
  <c r="J189" i="14"/>
  <c r="J188" i="14"/>
  <c r="J187" i="14"/>
  <c r="J186" i="14"/>
  <c r="J185" i="14"/>
  <c r="J184" i="14"/>
  <c r="J183" i="14"/>
  <c r="J182" i="14"/>
  <c r="J181" i="14"/>
  <c r="J180" i="14"/>
  <c r="J179" i="14"/>
  <c r="J178" i="14"/>
  <c r="J177" i="14"/>
  <c r="J176" i="14"/>
  <c r="J175" i="14"/>
  <c r="J174" i="14"/>
  <c r="J173" i="14"/>
  <c r="J172" i="14"/>
  <c r="J171" i="14"/>
  <c r="J170" i="14"/>
  <c r="J169" i="14"/>
  <c r="J168" i="14"/>
  <c r="J167" i="14"/>
  <c r="J166" i="14"/>
  <c r="J165" i="14"/>
  <c r="J164" i="14"/>
  <c r="J163" i="14"/>
  <c r="J162" i="14"/>
  <c r="J161" i="14"/>
  <c r="J160" i="14"/>
  <c r="J159" i="14"/>
  <c r="J158" i="14"/>
  <c r="J157" i="14"/>
  <c r="J156" i="14"/>
  <c r="J155" i="14"/>
  <c r="J154" i="14"/>
  <c r="J153" i="14"/>
  <c r="J152" i="14"/>
  <c r="J151" i="14"/>
  <c r="J150" i="14"/>
  <c r="J149" i="14"/>
  <c r="J148" i="14"/>
  <c r="J147" i="14"/>
  <c r="J146" i="14"/>
  <c r="J145" i="14"/>
  <c r="J144" i="14"/>
  <c r="J143" i="14"/>
  <c r="J142" i="14"/>
  <c r="J141" i="14"/>
  <c r="J140" i="14"/>
  <c r="J139" i="14"/>
  <c r="J138" i="14"/>
  <c r="J137" i="14"/>
  <c r="J136" i="14"/>
  <c r="J135" i="14"/>
  <c r="J134" i="14"/>
  <c r="J133" i="14"/>
  <c r="J132" i="14"/>
  <c r="J131" i="14"/>
  <c r="J130" i="14"/>
  <c r="J129" i="14"/>
  <c r="J128" i="14"/>
  <c r="J127" i="14"/>
  <c r="J126" i="14"/>
  <c r="J125" i="14"/>
  <c r="J124" i="14"/>
  <c r="J123" i="14"/>
  <c r="J122" i="14"/>
  <c r="J121" i="14"/>
  <c r="J120" i="14"/>
  <c r="J119" i="14"/>
  <c r="J118" i="14"/>
  <c r="J117" i="14"/>
  <c r="J116" i="14"/>
  <c r="J115" i="14"/>
  <c r="J114" i="14"/>
  <c r="J113" i="14"/>
  <c r="J112" i="14"/>
  <c r="J111" i="14"/>
  <c r="J110" i="14"/>
  <c r="J109" i="14"/>
  <c r="J108" i="14"/>
  <c r="J107" i="14"/>
  <c r="J106" i="14"/>
  <c r="J105" i="14"/>
  <c r="J104" i="14"/>
  <c r="J103" i="14"/>
  <c r="J102" i="14"/>
  <c r="J101" i="14"/>
  <c r="J100" i="14"/>
  <c r="J99" i="14"/>
  <c r="J98" i="14"/>
  <c r="J97" i="14"/>
  <c r="J96" i="14"/>
  <c r="J95" i="14"/>
  <c r="J94" i="14"/>
  <c r="J93" i="14"/>
  <c r="J92" i="14"/>
  <c r="J91" i="14"/>
  <c r="J90" i="14"/>
  <c r="J89" i="14"/>
  <c r="J88" i="14"/>
  <c r="J87" i="14"/>
  <c r="J86" i="14"/>
  <c r="J85" i="14"/>
  <c r="J84" i="14"/>
  <c r="J83" i="14"/>
  <c r="J82" i="14"/>
  <c r="J81" i="14"/>
  <c r="J80" i="14"/>
  <c r="J79" i="14"/>
  <c r="J78" i="14"/>
  <c r="J77" i="14"/>
  <c r="J76" i="14"/>
  <c r="J75" i="14"/>
  <c r="J74" i="14"/>
  <c r="J73" i="14"/>
  <c r="J72" i="14"/>
  <c r="J71" i="14"/>
  <c r="J70" i="14"/>
  <c r="J69" i="14"/>
  <c r="J68" i="14"/>
  <c r="J67" i="14"/>
  <c r="J66" i="14"/>
  <c r="J65" i="14"/>
  <c r="J64" i="14"/>
  <c r="J63" i="14"/>
  <c r="J62" i="14"/>
  <c r="J61" i="14"/>
  <c r="J60" i="14"/>
  <c r="J59" i="14"/>
  <c r="J58" i="14"/>
  <c r="J57" i="14"/>
  <c r="J56" i="14"/>
  <c r="J55" i="14"/>
  <c r="J54" i="14"/>
  <c r="J53" i="14"/>
  <c r="J52" i="14"/>
  <c r="J51" i="14"/>
  <c r="J50" i="14"/>
  <c r="J49" i="14"/>
  <c r="J48" i="14"/>
  <c r="J47" i="14"/>
  <c r="J46" i="14"/>
  <c r="J45" i="14"/>
  <c r="J44" i="14"/>
  <c r="J43" i="14"/>
  <c r="J42" i="14"/>
  <c r="J41" i="14"/>
  <c r="J40" i="14"/>
  <c r="J39" i="14"/>
  <c r="J38" i="14"/>
  <c r="J37" i="14"/>
  <c r="J36" i="14"/>
  <c r="J35" i="14"/>
  <c r="J34" i="14"/>
  <c r="J33" i="14"/>
  <c r="J32" i="14"/>
  <c r="J31" i="14"/>
  <c r="J30" i="14"/>
  <c r="J29" i="14"/>
  <c r="J28" i="14"/>
  <c r="J27" i="14"/>
  <c r="J26" i="14"/>
  <c r="J25" i="14"/>
  <c r="J24" i="14"/>
  <c r="J23" i="14"/>
  <c r="J22" i="14"/>
  <c r="J21" i="14"/>
  <c r="J20" i="14"/>
  <c r="J19" i="14"/>
  <c r="J18" i="14"/>
  <c r="J17" i="14"/>
  <c r="J16" i="14"/>
  <c r="J15" i="14"/>
  <c r="J14" i="14"/>
  <c r="J13" i="14"/>
  <c r="J12" i="14"/>
  <c r="J11" i="14"/>
  <c r="J10" i="14"/>
  <c r="J9" i="14"/>
  <c r="J8" i="14"/>
  <c r="J7" i="14"/>
  <c r="J6" i="14"/>
  <c r="J5" i="14"/>
  <c r="J4" i="14"/>
  <c r="J3" i="14"/>
  <c r="J2" i="14"/>
  <c r="J1001" i="13"/>
  <c r="J1000" i="13"/>
  <c r="J999" i="13"/>
  <c r="J998" i="13"/>
  <c r="J997" i="13"/>
  <c r="J996" i="13"/>
  <c r="J995" i="13"/>
  <c r="J994" i="13"/>
  <c r="J993" i="13"/>
  <c r="J992" i="13"/>
  <c r="J991" i="13"/>
  <c r="J990" i="13"/>
  <c r="J989" i="13"/>
  <c r="J988" i="13"/>
  <c r="J987" i="13"/>
  <c r="J986" i="13"/>
  <c r="J985" i="13"/>
  <c r="J984" i="13"/>
  <c r="J983" i="13"/>
  <c r="J982" i="13"/>
  <c r="J981" i="13"/>
  <c r="J980" i="13"/>
  <c r="J979" i="13"/>
  <c r="J978" i="13"/>
  <c r="J977" i="13"/>
  <c r="J976" i="13"/>
  <c r="J975" i="13"/>
  <c r="J974" i="13"/>
  <c r="J973" i="13"/>
  <c r="J972" i="13"/>
  <c r="J971" i="13"/>
  <c r="J970" i="13"/>
  <c r="J969" i="13"/>
  <c r="J968" i="13"/>
  <c r="J967" i="13"/>
  <c r="J966" i="13"/>
  <c r="J965" i="13"/>
  <c r="J964" i="13"/>
  <c r="J963" i="13"/>
  <c r="J962" i="13"/>
  <c r="J961" i="13"/>
  <c r="J960" i="13"/>
  <c r="J959" i="13"/>
  <c r="J958" i="13"/>
  <c r="J957" i="13"/>
  <c r="J956" i="13"/>
  <c r="J955" i="13"/>
  <c r="J954" i="13"/>
  <c r="J953" i="13"/>
  <c r="J952" i="13"/>
  <c r="J951" i="13"/>
  <c r="J950" i="13"/>
  <c r="J949" i="13"/>
  <c r="J948" i="13"/>
  <c r="J947" i="13"/>
  <c r="J946" i="13"/>
  <c r="J945" i="13"/>
  <c r="J944" i="13"/>
  <c r="J943" i="13"/>
  <c r="J942" i="13"/>
  <c r="J941" i="13"/>
  <c r="J940" i="13"/>
  <c r="J939" i="13"/>
  <c r="J938" i="13"/>
  <c r="J937" i="13"/>
  <c r="J936" i="13"/>
  <c r="J935" i="13"/>
  <c r="J934" i="13"/>
  <c r="J933" i="13"/>
  <c r="J932" i="13"/>
  <c r="J931" i="13"/>
  <c r="J930" i="13"/>
  <c r="J929" i="13"/>
  <c r="J928" i="13"/>
  <c r="J927" i="13"/>
  <c r="J926" i="13"/>
  <c r="J925" i="13"/>
  <c r="J924" i="13"/>
  <c r="J923" i="13"/>
  <c r="J922" i="13"/>
  <c r="J921" i="13"/>
  <c r="J920" i="13"/>
  <c r="J919" i="13"/>
  <c r="J918" i="13"/>
  <c r="J917" i="13"/>
  <c r="J916" i="13"/>
  <c r="J915" i="13"/>
  <c r="J914" i="13"/>
  <c r="J913" i="13"/>
  <c r="J912" i="13"/>
  <c r="J911" i="13"/>
  <c r="J910" i="13"/>
  <c r="J909" i="13"/>
  <c r="J908" i="13"/>
  <c r="J907" i="13"/>
  <c r="J906" i="13"/>
  <c r="J905" i="13"/>
  <c r="J904" i="13"/>
  <c r="J903" i="13"/>
  <c r="J902" i="13"/>
  <c r="J901" i="13"/>
  <c r="J900" i="13"/>
  <c r="J899" i="13"/>
  <c r="J898" i="13"/>
  <c r="J897" i="13"/>
  <c r="J896" i="13"/>
  <c r="J895" i="13"/>
  <c r="J894" i="13"/>
  <c r="J893" i="13"/>
  <c r="J892" i="13"/>
  <c r="J891" i="13"/>
  <c r="J890" i="13"/>
  <c r="J889" i="13"/>
  <c r="J888" i="13"/>
  <c r="J887" i="13"/>
  <c r="J886" i="13"/>
  <c r="J885" i="13"/>
  <c r="J884" i="13"/>
  <c r="J883" i="13"/>
  <c r="J882" i="13"/>
  <c r="J881" i="13"/>
  <c r="J880" i="13"/>
  <c r="J879" i="13"/>
  <c r="J878" i="13"/>
  <c r="J877" i="13"/>
  <c r="J876" i="13"/>
  <c r="J875" i="13"/>
  <c r="J874" i="13"/>
  <c r="J873" i="13"/>
  <c r="J872" i="13"/>
  <c r="J871" i="13"/>
  <c r="J870" i="13"/>
  <c r="J869" i="13"/>
  <c r="J868" i="13"/>
  <c r="J867" i="13"/>
  <c r="J866" i="13"/>
  <c r="J865" i="13"/>
  <c r="J864" i="13"/>
  <c r="J863" i="13"/>
  <c r="J862" i="13"/>
  <c r="J861" i="13"/>
  <c r="J860" i="13"/>
  <c r="J859" i="13"/>
  <c r="J858" i="13"/>
  <c r="J857" i="13"/>
  <c r="J856" i="13"/>
  <c r="J855" i="13"/>
  <c r="J854" i="13"/>
  <c r="J853" i="13"/>
  <c r="J852" i="13"/>
  <c r="J851" i="13"/>
  <c r="J850" i="13"/>
  <c r="J849" i="13"/>
  <c r="J848" i="13"/>
  <c r="J847" i="13"/>
  <c r="J846" i="13"/>
  <c r="J845" i="13"/>
  <c r="J844" i="13"/>
  <c r="J843" i="13"/>
  <c r="J842" i="13"/>
  <c r="J841" i="13"/>
  <c r="J840" i="13"/>
  <c r="J839" i="13"/>
  <c r="J838" i="13"/>
  <c r="J837" i="13"/>
  <c r="J836" i="13"/>
  <c r="J835" i="13"/>
  <c r="J834" i="13"/>
  <c r="J833" i="13"/>
  <c r="J832" i="13"/>
  <c r="J831" i="13"/>
  <c r="J830" i="13"/>
  <c r="J829" i="13"/>
  <c r="J828" i="13"/>
  <c r="J827" i="13"/>
  <c r="J826" i="13"/>
  <c r="J825" i="13"/>
  <c r="J824" i="13"/>
  <c r="J823" i="13"/>
  <c r="J822" i="13"/>
  <c r="J821" i="13"/>
  <c r="J820" i="13"/>
  <c r="J819" i="13"/>
  <c r="J818" i="13"/>
  <c r="J817" i="13"/>
  <c r="J816" i="13"/>
  <c r="J815" i="13"/>
  <c r="J814" i="13"/>
  <c r="J813" i="13"/>
  <c r="J812" i="13"/>
  <c r="J811" i="13"/>
  <c r="J810" i="13"/>
  <c r="J809" i="13"/>
  <c r="J808" i="13"/>
  <c r="J807" i="13"/>
  <c r="J806" i="13"/>
  <c r="J805" i="13"/>
  <c r="J804" i="13"/>
  <c r="J803" i="13"/>
  <c r="J802" i="13"/>
  <c r="J801" i="13"/>
  <c r="J800" i="13"/>
  <c r="J799" i="13"/>
  <c r="J798" i="13"/>
  <c r="J797" i="13"/>
  <c r="J796" i="13"/>
  <c r="J795" i="13"/>
  <c r="J794" i="13"/>
  <c r="J793" i="13"/>
  <c r="J792" i="13"/>
  <c r="J791" i="13"/>
  <c r="J790" i="13"/>
  <c r="J789" i="13"/>
  <c r="J788" i="13"/>
  <c r="J787" i="13"/>
  <c r="J786" i="13"/>
  <c r="J785" i="13"/>
  <c r="J784" i="13"/>
  <c r="J783" i="13"/>
  <c r="J782" i="13"/>
  <c r="J781" i="13"/>
  <c r="J780" i="13"/>
  <c r="J779" i="13"/>
  <c r="J778" i="13"/>
  <c r="J777" i="13"/>
  <c r="J776" i="13"/>
  <c r="J775" i="13"/>
  <c r="J774" i="13"/>
  <c r="J773" i="13"/>
  <c r="J772" i="13"/>
  <c r="J771" i="13"/>
  <c r="J770" i="13"/>
  <c r="J769" i="13"/>
  <c r="J768" i="13"/>
  <c r="J767" i="13"/>
  <c r="J766" i="13"/>
  <c r="J765" i="13"/>
  <c r="J764" i="13"/>
  <c r="J763" i="13"/>
  <c r="J762" i="13"/>
  <c r="J761" i="13"/>
  <c r="J760" i="13"/>
  <c r="J759" i="13"/>
  <c r="J758" i="13"/>
  <c r="J757" i="13"/>
  <c r="J756" i="13"/>
  <c r="J755" i="13"/>
  <c r="J754" i="13"/>
  <c r="J753" i="13"/>
  <c r="J752" i="13"/>
  <c r="J751" i="13"/>
  <c r="J750" i="13"/>
  <c r="J749" i="13"/>
  <c r="J748" i="13"/>
  <c r="J747" i="13"/>
  <c r="J746" i="13"/>
  <c r="J745" i="13"/>
  <c r="J744" i="13"/>
  <c r="J743" i="13"/>
  <c r="J742" i="13"/>
  <c r="J741" i="13"/>
  <c r="J740" i="13"/>
  <c r="J739" i="13"/>
  <c r="J738" i="13"/>
  <c r="J737" i="13"/>
  <c r="J736" i="13"/>
  <c r="J735" i="13"/>
  <c r="J734" i="13"/>
  <c r="J733" i="13"/>
  <c r="J732" i="13"/>
  <c r="J731" i="13"/>
  <c r="J730" i="13"/>
  <c r="J729" i="13"/>
  <c r="J728" i="13"/>
  <c r="J727" i="13"/>
  <c r="J726" i="13"/>
  <c r="J725" i="13"/>
  <c r="J724" i="13"/>
  <c r="J723" i="13"/>
  <c r="J722" i="13"/>
  <c r="J721" i="13"/>
  <c r="J720" i="13"/>
  <c r="J719" i="13"/>
  <c r="J718" i="13"/>
  <c r="J717" i="13"/>
  <c r="J716" i="13"/>
  <c r="J715" i="13"/>
  <c r="J714" i="13"/>
  <c r="J713" i="13"/>
  <c r="J712" i="13"/>
  <c r="J711" i="13"/>
  <c r="J710" i="13"/>
  <c r="J709" i="13"/>
  <c r="J708" i="13"/>
  <c r="J707" i="13"/>
  <c r="J706" i="13"/>
  <c r="J705" i="13"/>
  <c r="J704" i="13"/>
  <c r="J703" i="13"/>
  <c r="J702" i="13"/>
  <c r="J701" i="13"/>
  <c r="J700" i="13"/>
  <c r="J699" i="13"/>
  <c r="J698" i="13"/>
  <c r="J697" i="13"/>
  <c r="J696" i="13"/>
  <c r="J695" i="13"/>
  <c r="J694" i="13"/>
  <c r="J693" i="13"/>
  <c r="J692" i="13"/>
  <c r="J691" i="13"/>
  <c r="J690" i="13"/>
  <c r="J689" i="13"/>
  <c r="J688" i="13"/>
  <c r="J687" i="13"/>
  <c r="J686" i="13"/>
  <c r="J685" i="13"/>
  <c r="J684" i="13"/>
  <c r="J683" i="13"/>
  <c r="J682" i="13"/>
  <c r="J681" i="13"/>
  <c r="J680" i="13"/>
  <c r="J679" i="13"/>
  <c r="J678" i="13"/>
  <c r="J677" i="13"/>
  <c r="J676" i="13"/>
  <c r="J675" i="13"/>
  <c r="J674" i="13"/>
  <c r="J673" i="13"/>
  <c r="J672" i="13"/>
  <c r="J671" i="13"/>
  <c r="J670" i="13"/>
  <c r="J669" i="13"/>
  <c r="J668" i="13"/>
  <c r="J667" i="13"/>
  <c r="J666" i="13"/>
  <c r="J665" i="13"/>
  <c r="J664" i="13"/>
  <c r="J663" i="13"/>
  <c r="J662" i="13"/>
  <c r="J661" i="13"/>
  <c r="J660" i="13"/>
  <c r="J659" i="13"/>
  <c r="J658" i="13"/>
  <c r="J657" i="13"/>
  <c r="J656" i="13"/>
  <c r="J655" i="13"/>
  <c r="J654" i="13"/>
  <c r="J653" i="13"/>
  <c r="J652" i="13"/>
  <c r="J651" i="13"/>
  <c r="J650" i="13"/>
  <c r="J649" i="13"/>
  <c r="J648" i="13"/>
  <c r="J647" i="13"/>
  <c r="J646" i="13"/>
  <c r="J645" i="13"/>
  <c r="J644" i="13"/>
  <c r="J643" i="13"/>
  <c r="J642" i="13"/>
  <c r="J641" i="13"/>
  <c r="J640" i="13"/>
  <c r="J639" i="13"/>
  <c r="J638" i="13"/>
  <c r="J637" i="13"/>
  <c r="J636" i="13"/>
  <c r="J635" i="13"/>
  <c r="J634" i="13"/>
  <c r="J633" i="13"/>
  <c r="J632" i="13"/>
  <c r="J631" i="13"/>
  <c r="J630" i="13"/>
  <c r="J629" i="13"/>
  <c r="J628" i="13"/>
  <c r="J627" i="13"/>
  <c r="J626" i="13"/>
  <c r="J625" i="13"/>
  <c r="J624" i="13"/>
  <c r="J623" i="13"/>
  <c r="J622" i="13"/>
  <c r="J621" i="13"/>
  <c r="J620" i="13"/>
  <c r="J619" i="13"/>
  <c r="J618" i="13"/>
  <c r="J617" i="13"/>
  <c r="J616" i="13"/>
  <c r="J615" i="13"/>
  <c r="J614" i="13"/>
  <c r="J613" i="13"/>
  <c r="J612" i="13"/>
  <c r="J611" i="13"/>
  <c r="J610" i="13"/>
  <c r="J609" i="13"/>
  <c r="J608" i="13"/>
  <c r="J607" i="13"/>
  <c r="J606" i="13"/>
  <c r="J605" i="13"/>
  <c r="J604" i="13"/>
  <c r="J603" i="13"/>
  <c r="J602" i="13"/>
  <c r="J601" i="13"/>
  <c r="J600" i="13"/>
  <c r="J599" i="13"/>
  <c r="J598" i="13"/>
  <c r="J597" i="13"/>
  <c r="J596" i="13"/>
  <c r="J595" i="13"/>
  <c r="J594" i="13"/>
  <c r="J593" i="13"/>
  <c r="J592" i="13"/>
  <c r="J591" i="13"/>
  <c r="J590" i="13"/>
  <c r="J589" i="13"/>
  <c r="J588" i="13"/>
  <c r="J587" i="13"/>
  <c r="J586" i="13"/>
  <c r="J585" i="13"/>
  <c r="J584" i="13"/>
  <c r="J583" i="13"/>
  <c r="J582" i="13"/>
  <c r="J581" i="13"/>
  <c r="J580" i="13"/>
  <c r="J579" i="13"/>
  <c r="J578" i="13"/>
  <c r="J577" i="13"/>
  <c r="J576" i="13"/>
  <c r="J575" i="13"/>
  <c r="J574" i="13"/>
  <c r="J573" i="13"/>
  <c r="J572" i="13"/>
  <c r="J571" i="13"/>
  <c r="J570" i="13"/>
  <c r="J569" i="13"/>
  <c r="J568" i="13"/>
  <c r="J567" i="13"/>
  <c r="J566" i="13"/>
  <c r="J565" i="13"/>
  <c r="J564" i="13"/>
  <c r="J563" i="13"/>
  <c r="J562" i="13"/>
  <c r="J561" i="13"/>
  <c r="J560" i="13"/>
  <c r="J559" i="13"/>
  <c r="J558" i="13"/>
  <c r="J557" i="13"/>
  <c r="J556" i="13"/>
  <c r="J555" i="13"/>
  <c r="J554" i="13"/>
  <c r="J553" i="13"/>
  <c r="J552" i="13"/>
  <c r="J551" i="13"/>
  <c r="J550" i="13"/>
  <c r="J549" i="13"/>
  <c r="J548" i="13"/>
  <c r="J547" i="13"/>
  <c r="J546" i="13"/>
  <c r="J545" i="13"/>
  <c r="J544" i="13"/>
  <c r="J543" i="13"/>
  <c r="J542" i="13"/>
  <c r="J541" i="13"/>
  <c r="J540" i="13"/>
  <c r="J539" i="13"/>
  <c r="J538" i="13"/>
  <c r="J537" i="13"/>
  <c r="J536" i="13"/>
  <c r="J535" i="13"/>
  <c r="J534" i="13"/>
  <c r="J533" i="13"/>
  <c r="J532" i="13"/>
  <c r="J531" i="13"/>
  <c r="J530" i="13"/>
  <c r="J529" i="13"/>
  <c r="J528" i="13"/>
  <c r="J527" i="13"/>
  <c r="J526" i="13"/>
  <c r="J525" i="13"/>
  <c r="J524" i="13"/>
  <c r="J523" i="13"/>
  <c r="J522" i="13"/>
  <c r="J521" i="13"/>
  <c r="J520" i="13"/>
  <c r="J519" i="13"/>
  <c r="J518" i="13"/>
  <c r="J517" i="13"/>
  <c r="J516" i="13"/>
  <c r="J515" i="13"/>
  <c r="J514" i="13"/>
  <c r="J513" i="13"/>
  <c r="J512" i="13"/>
  <c r="J511" i="13"/>
  <c r="J510" i="13"/>
  <c r="J509" i="13"/>
  <c r="J508" i="13"/>
  <c r="J507" i="13"/>
  <c r="J506" i="13"/>
  <c r="J505" i="13"/>
  <c r="J504" i="13"/>
  <c r="J503" i="13"/>
  <c r="J502" i="13"/>
  <c r="J501" i="13"/>
  <c r="J500" i="13"/>
  <c r="J499" i="13"/>
  <c r="J498" i="13"/>
  <c r="J497" i="13"/>
  <c r="J496" i="13"/>
  <c r="J495" i="13"/>
  <c r="J494" i="13"/>
  <c r="J493" i="13"/>
  <c r="J492" i="13"/>
  <c r="J491" i="13"/>
  <c r="J490" i="13"/>
  <c r="J489" i="13"/>
  <c r="J488" i="13"/>
  <c r="J487" i="13"/>
  <c r="J486" i="13"/>
  <c r="J485" i="13"/>
  <c r="J484" i="13"/>
  <c r="J483" i="13"/>
  <c r="J482" i="13"/>
  <c r="J481" i="13"/>
  <c r="J480" i="13"/>
  <c r="J479" i="13"/>
  <c r="J478" i="13"/>
  <c r="J477" i="13"/>
  <c r="J476" i="13"/>
  <c r="J475" i="13"/>
  <c r="J474" i="13"/>
  <c r="J473" i="13"/>
  <c r="J472" i="13"/>
  <c r="J471" i="13"/>
  <c r="J470" i="13"/>
  <c r="J469" i="13"/>
  <c r="J468" i="13"/>
  <c r="J467" i="13"/>
  <c r="J466" i="13"/>
  <c r="J465" i="13"/>
  <c r="J464" i="13"/>
  <c r="J463" i="13"/>
  <c r="J462" i="13"/>
  <c r="J461" i="13"/>
  <c r="J460" i="13"/>
  <c r="J459" i="13"/>
  <c r="J458" i="13"/>
  <c r="J457" i="13"/>
  <c r="J456" i="13"/>
  <c r="J455" i="13"/>
  <c r="J454" i="13"/>
  <c r="J453" i="13"/>
  <c r="J452" i="13"/>
  <c r="J451" i="13"/>
  <c r="J450" i="13"/>
  <c r="J449" i="13"/>
  <c r="J448" i="13"/>
  <c r="J447" i="13"/>
  <c r="J446" i="13"/>
  <c r="J445" i="13"/>
  <c r="J444" i="13"/>
  <c r="J443" i="13"/>
  <c r="J442" i="13"/>
  <c r="J441" i="13"/>
  <c r="J440" i="13"/>
  <c r="J439" i="13"/>
  <c r="J438" i="13"/>
  <c r="J437" i="13"/>
  <c r="J436" i="13"/>
  <c r="J435" i="13"/>
  <c r="J434" i="13"/>
  <c r="J433" i="13"/>
  <c r="J432" i="13"/>
  <c r="J431" i="13"/>
  <c r="J430" i="13"/>
  <c r="J429" i="13"/>
  <c r="J428" i="13"/>
  <c r="J427" i="13"/>
  <c r="J426" i="13"/>
  <c r="J425" i="13"/>
  <c r="J424" i="13"/>
  <c r="J423" i="13"/>
  <c r="J422" i="13"/>
  <c r="J421" i="13"/>
  <c r="J420" i="13"/>
  <c r="J419" i="13"/>
  <c r="J418" i="13"/>
  <c r="J417" i="13"/>
  <c r="J416" i="13"/>
  <c r="J415" i="13"/>
  <c r="J414" i="13"/>
  <c r="J413" i="13"/>
  <c r="J412" i="13"/>
  <c r="J411" i="13"/>
  <c r="J410" i="13"/>
  <c r="J409" i="13"/>
  <c r="J408" i="13"/>
  <c r="J407" i="13"/>
  <c r="J406" i="13"/>
  <c r="J405" i="13"/>
  <c r="J404" i="13"/>
  <c r="J403" i="13"/>
  <c r="J402" i="13"/>
  <c r="J401" i="13"/>
  <c r="J400" i="13"/>
  <c r="J399" i="13"/>
  <c r="J398" i="13"/>
  <c r="J397" i="13"/>
  <c r="J396" i="13"/>
  <c r="J395" i="13"/>
  <c r="J394" i="13"/>
  <c r="J393" i="13"/>
  <c r="J392" i="13"/>
  <c r="J391" i="13"/>
  <c r="J390" i="13"/>
  <c r="J389" i="13"/>
  <c r="J388" i="13"/>
  <c r="J387" i="13"/>
  <c r="J386" i="13"/>
  <c r="J385" i="13"/>
  <c r="J384" i="13"/>
  <c r="J383" i="13"/>
  <c r="J382" i="13"/>
  <c r="J381" i="13"/>
  <c r="J380" i="13"/>
  <c r="J379" i="13"/>
  <c r="J378" i="13"/>
  <c r="J377" i="13"/>
  <c r="J376" i="13"/>
  <c r="J375" i="13"/>
  <c r="J374" i="13"/>
  <c r="J373" i="13"/>
  <c r="J372" i="13"/>
  <c r="J371" i="13"/>
  <c r="J370" i="13"/>
  <c r="J369" i="13"/>
  <c r="J368" i="13"/>
  <c r="J367" i="13"/>
  <c r="J366" i="13"/>
  <c r="J365" i="13"/>
  <c r="J364" i="13"/>
  <c r="J363" i="13"/>
  <c r="J362" i="13"/>
  <c r="J361" i="13"/>
  <c r="J360" i="13"/>
  <c r="J359" i="13"/>
  <c r="J358" i="13"/>
  <c r="J357" i="13"/>
  <c r="J356" i="13"/>
  <c r="J355" i="13"/>
  <c r="J354" i="13"/>
  <c r="J353" i="13"/>
  <c r="J352" i="13"/>
  <c r="J351" i="13"/>
  <c r="J350" i="13"/>
  <c r="J349" i="13"/>
  <c r="J348" i="13"/>
  <c r="J347" i="13"/>
  <c r="J346" i="13"/>
  <c r="J345" i="13"/>
  <c r="J344" i="13"/>
  <c r="J343" i="13"/>
  <c r="J342" i="13"/>
  <c r="J341" i="13"/>
  <c r="J340" i="13"/>
  <c r="J339" i="13"/>
  <c r="J338" i="13"/>
  <c r="J337" i="13"/>
  <c r="J336" i="13"/>
  <c r="J335" i="13"/>
  <c r="J334" i="13"/>
  <c r="J333" i="13"/>
  <c r="J332" i="13"/>
  <c r="J331" i="13"/>
  <c r="J330" i="13"/>
  <c r="J329" i="13"/>
  <c r="J328" i="13"/>
  <c r="J327" i="13"/>
  <c r="J326" i="13"/>
  <c r="J325" i="13"/>
  <c r="J324" i="13"/>
  <c r="J323" i="13"/>
  <c r="J322" i="13"/>
  <c r="J321" i="13"/>
  <c r="J320" i="13"/>
  <c r="J319" i="13"/>
  <c r="J318" i="13"/>
  <c r="J317" i="13"/>
  <c r="J316" i="13"/>
  <c r="J315" i="13"/>
  <c r="J314" i="13"/>
  <c r="J313" i="13"/>
  <c r="J312" i="13"/>
  <c r="J311" i="13"/>
  <c r="J310" i="13"/>
  <c r="J309" i="13"/>
  <c r="J308" i="13"/>
  <c r="J307" i="13"/>
  <c r="J306" i="13"/>
  <c r="J305" i="13"/>
  <c r="J304" i="13"/>
  <c r="J303" i="13"/>
  <c r="J302" i="13"/>
  <c r="J301" i="13"/>
  <c r="J300" i="13"/>
  <c r="J299" i="13"/>
  <c r="J298" i="13"/>
  <c r="J297" i="13"/>
  <c r="J296" i="13"/>
  <c r="J295" i="13"/>
  <c r="J294" i="13"/>
  <c r="J293" i="13"/>
  <c r="J292" i="13"/>
  <c r="J291" i="13"/>
  <c r="J290" i="13"/>
  <c r="J289" i="13"/>
  <c r="J288" i="13"/>
  <c r="J287" i="13"/>
  <c r="J286" i="13"/>
  <c r="J285" i="13"/>
  <c r="J284" i="13"/>
  <c r="J283" i="13"/>
  <c r="J282" i="13"/>
  <c r="J281" i="13"/>
  <c r="J280" i="13"/>
  <c r="J279" i="13"/>
  <c r="J278" i="13"/>
  <c r="J277" i="13"/>
  <c r="J276" i="13"/>
  <c r="J275" i="13"/>
  <c r="J274" i="13"/>
  <c r="J273" i="13"/>
  <c r="J272" i="13"/>
  <c r="J271" i="13"/>
  <c r="J270" i="13"/>
  <c r="J269" i="13"/>
  <c r="J268" i="13"/>
  <c r="J267" i="13"/>
  <c r="J266" i="13"/>
  <c r="J265" i="13"/>
  <c r="J264" i="13"/>
  <c r="J263" i="13"/>
  <c r="J262" i="13"/>
  <c r="J261" i="13"/>
  <c r="J260" i="13"/>
  <c r="J259" i="13"/>
  <c r="J258" i="13"/>
  <c r="J257" i="13"/>
  <c r="J256" i="13"/>
  <c r="J255" i="13"/>
  <c r="J254" i="13"/>
  <c r="J253" i="13"/>
  <c r="J252" i="13"/>
  <c r="J251" i="13"/>
  <c r="J250" i="13"/>
  <c r="J249" i="13"/>
  <c r="J248" i="13"/>
  <c r="J247" i="13"/>
  <c r="J246" i="13"/>
  <c r="J245" i="13"/>
  <c r="J244" i="13"/>
  <c r="J243" i="13"/>
  <c r="J242" i="13"/>
  <c r="J241" i="13"/>
  <c r="J240" i="13"/>
  <c r="J239" i="13"/>
  <c r="J238" i="13"/>
  <c r="J237" i="13"/>
  <c r="J236" i="13"/>
  <c r="J235" i="13"/>
  <c r="J234" i="13"/>
  <c r="J233" i="13"/>
  <c r="J232" i="13"/>
  <c r="J231" i="13"/>
  <c r="J230" i="13"/>
  <c r="J229" i="13"/>
  <c r="J228" i="13"/>
  <c r="J227" i="13"/>
  <c r="J226" i="13"/>
  <c r="J225" i="13"/>
  <c r="J224" i="13"/>
  <c r="J223" i="13"/>
  <c r="J222" i="13"/>
  <c r="J221" i="13"/>
  <c r="J220" i="13"/>
  <c r="J219" i="13"/>
  <c r="J218" i="13"/>
  <c r="J217" i="13"/>
  <c r="J216" i="13"/>
  <c r="J215" i="13"/>
  <c r="J214" i="13"/>
  <c r="J213" i="13"/>
  <c r="J212" i="13"/>
  <c r="J211" i="13"/>
  <c r="J210" i="13"/>
  <c r="J209" i="13"/>
  <c r="J208" i="13"/>
  <c r="J207" i="13"/>
  <c r="J206" i="13"/>
  <c r="J205" i="13"/>
  <c r="J204" i="13"/>
  <c r="J203" i="13"/>
  <c r="J202" i="13"/>
  <c r="J201" i="13"/>
  <c r="J200" i="13"/>
  <c r="J199" i="13"/>
  <c r="J198" i="13"/>
  <c r="J197" i="13"/>
  <c r="J196" i="13"/>
  <c r="J195" i="13"/>
  <c r="J194" i="13"/>
  <c r="J193" i="13"/>
  <c r="J192" i="13"/>
  <c r="J191" i="13"/>
  <c r="J190" i="13"/>
  <c r="J189" i="13"/>
  <c r="J188" i="13"/>
  <c r="J187" i="13"/>
  <c r="J186" i="13"/>
  <c r="J185" i="13"/>
  <c r="J184" i="13"/>
  <c r="J183" i="13"/>
  <c r="J182" i="13"/>
  <c r="J181" i="13"/>
  <c r="J180" i="13"/>
  <c r="J179" i="13"/>
  <c r="J178" i="13"/>
  <c r="J177" i="13"/>
  <c r="J176" i="13"/>
  <c r="J175" i="13"/>
  <c r="J174" i="13"/>
  <c r="J173" i="13"/>
  <c r="J172" i="13"/>
  <c r="J171" i="13"/>
  <c r="J170" i="13"/>
  <c r="J169" i="13"/>
  <c r="J168" i="13"/>
  <c r="J167" i="13"/>
  <c r="J166" i="13"/>
  <c r="J165" i="13"/>
  <c r="J164" i="13"/>
  <c r="J163" i="13"/>
  <c r="J162" i="13"/>
  <c r="J161" i="13"/>
  <c r="J160" i="13"/>
  <c r="J159" i="13"/>
  <c r="J158" i="13"/>
  <c r="J157" i="13"/>
  <c r="J156" i="13"/>
  <c r="J155" i="13"/>
  <c r="J154" i="13"/>
  <c r="J153" i="13"/>
  <c r="J152" i="13"/>
  <c r="J151" i="13"/>
  <c r="J150" i="13"/>
  <c r="J149" i="13"/>
  <c r="J148" i="13"/>
  <c r="J147" i="13"/>
  <c r="J146" i="13"/>
  <c r="J145" i="13"/>
  <c r="J144" i="13"/>
  <c r="J143" i="13"/>
  <c r="J142" i="13"/>
  <c r="J141" i="13"/>
  <c r="J140" i="13"/>
  <c r="J139" i="13"/>
  <c r="J138" i="13"/>
  <c r="J137" i="13"/>
  <c r="J136" i="13"/>
  <c r="J135" i="13"/>
  <c r="J134" i="13"/>
  <c r="J133" i="13"/>
  <c r="J132" i="13"/>
  <c r="J131" i="13"/>
  <c r="J130" i="13"/>
  <c r="J129" i="13"/>
  <c r="J128" i="13"/>
  <c r="J127" i="13"/>
  <c r="J126" i="13"/>
  <c r="J125" i="13"/>
  <c r="J124" i="13"/>
  <c r="J123" i="13"/>
  <c r="J122" i="13"/>
  <c r="J121" i="13"/>
  <c r="J120" i="13"/>
  <c r="J119" i="13"/>
  <c r="J118" i="13"/>
  <c r="J117" i="13"/>
  <c r="J116" i="13"/>
  <c r="J115" i="13"/>
  <c r="J114" i="13"/>
  <c r="J113" i="13"/>
  <c r="J112" i="13"/>
  <c r="J111" i="13"/>
  <c r="J110" i="13"/>
  <c r="J109" i="13"/>
  <c r="J108" i="13"/>
  <c r="J107" i="13"/>
  <c r="J106" i="13"/>
  <c r="J105" i="13"/>
  <c r="J104" i="13"/>
  <c r="J103" i="13"/>
  <c r="J102" i="13"/>
  <c r="J101" i="13"/>
  <c r="J100" i="13"/>
  <c r="J99" i="13"/>
  <c r="J98" i="13"/>
  <c r="J97" i="13"/>
  <c r="J96" i="13"/>
  <c r="J95" i="13"/>
  <c r="J94" i="13"/>
  <c r="J93" i="13"/>
  <c r="J92" i="13"/>
  <c r="J91" i="13"/>
  <c r="J90" i="13"/>
  <c r="J89" i="13"/>
  <c r="J88" i="13"/>
  <c r="J87" i="13"/>
  <c r="J86" i="13"/>
  <c r="J85" i="13"/>
  <c r="J84" i="13"/>
  <c r="J83" i="13"/>
  <c r="J82" i="13"/>
  <c r="J81" i="13"/>
  <c r="J80" i="13"/>
  <c r="J79" i="13"/>
  <c r="J78" i="13"/>
  <c r="J77" i="13"/>
  <c r="J76" i="13"/>
  <c r="J75" i="13"/>
  <c r="J74" i="13"/>
  <c r="J73" i="13"/>
  <c r="J72" i="13"/>
  <c r="J71" i="13"/>
  <c r="J70" i="13"/>
  <c r="J69" i="13"/>
  <c r="J68" i="13"/>
  <c r="J67" i="13"/>
  <c r="J66" i="13"/>
  <c r="J65" i="13"/>
  <c r="J64" i="13"/>
  <c r="J63" i="13"/>
  <c r="J62" i="13"/>
  <c r="J61" i="13"/>
  <c r="J60" i="13"/>
  <c r="J59" i="13"/>
  <c r="J58" i="13"/>
  <c r="J57" i="13"/>
  <c r="J56" i="13"/>
  <c r="J55" i="13"/>
  <c r="J54" i="13"/>
  <c r="J53" i="13"/>
  <c r="J52" i="13"/>
  <c r="J51" i="13"/>
  <c r="J50" i="13"/>
  <c r="J49" i="13"/>
  <c r="J48" i="13"/>
  <c r="J47" i="13"/>
  <c r="J46" i="13"/>
  <c r="J45" i="13"/>
  <c r="J44" i="13"/>
  <c r="J43" i="13"/>
  <c r="J42" i="13"/>
  <c r="J41" i="13"/>
  <c r="J40" i="13"/>
  <c r="J39" i="13"/>
  <c r="J38" i="13"/>
  <c r="J37" i="13"/>
  <c r="J36" i="13"/>
  <c r="J35" i="13"/>
  <c r="J34" i="13"/>
  <c r="J33" i="13"/>
  <c r="J32" i="13"/>
  <c r="J31" i="13"/>
  <c r="J30" i="13"/>
  <c r="J29" i="13"/>
  <c r="J28" i="13"/>
  <c r="J27" i="13"/>
  <c r="J26" i="13"/>
  <c r="J25" i="13"/>
  <c r="J24" i="13"/>
  <c r="J23" i="13"/>
  <c r="J22" i="13"/>
  <c r="J21" i="13"/>
  <c r="J20" i="13"/>
  <c r="J19" i="13"/>
  <c r="J18" i="13"/>
  <c r="J17" i="13"/>
  <c r="J16" i="13"/>
  <c r="J15" i="13"/>
  <c r="J14" i="13"/>
  <c r="J13" i="13"/>
  <c r="J12" i="13"/>
  <c r="J11" i="13"/>
  <c r="J10" i="13"/>
  <c r="J9" i="13"/>
  <c r="J8" i="13"/>
  <c r="J7" i="13"/>
  <c r="J6" i="13"/>
  <c r="J5" i="13"/>
  <c r="J4" i="13"/>
  <c r="J3" i="13"/>
  <c r="J2" i="13"/>
  <c r="J1001" i="9"/>
  <c r="J1000" i="9"/>
  <c r="J999" i="9"/>
  <c r="J998" i="9"/>
  <c r="J997" i="9"/>
  <c r="J996" i="9"/>
  <c r="J995" i="9"/>
  <c r="J994" i="9"/>
  <c r="J993" i="9"/>
  <c r="J992" i="9"/>
  <c r="J991" i="9"/>
  <c r="J990" i="9"/>
  <c r="J989" i="9"/>
  <c r="J988" i="9"/>
  <c r="J987" i="9"/>
  <c r="J986" i="9"/>
  <c r="J985" i="9"/>
  <c r="J984" i="9"/>
  <c r="J983" i="9"/>
  <c r="J982" i="9"/>
  <c r="J981" i="9"/>
  <c r="J980" i="9"/>
  <c r="J979" i="9"/>
  <c r="J978" i="9"/>
  <c r="J977" i="9"/>
  <c r="J976" i="9"/>
  <c r="J975" i="9"/>
  <c r="J974" i="9"/>
  <c r="J973" i="9"/>
  <c r="J972" i="9"/>
  <c r="J971" i="9"/>
  <c r="J970" i="9"/>
  <c r="J969" i="9"/>
  <c r="J968" i="9"/>
  <c r="J967" i="9"/>
  <c r="J966" i="9"/>
  <c r="J965" i="9"/>
  <c r="J964" i="9"/>
  <c r="J963" i="9"/>
  <c r="J962" i="9"/>
  <c r="J961" i="9"/>
  <c r="J960" i="9"/>
  <c r="J959" i="9"/>
  <c r="J958" i="9"/>
  <c r="J957" i="9"/>
  <c r="J956" i="9"/>
  <c r="J955" i="9"/>
  <c r="J954" i="9"/>
  <c r="J953" i="9"/>
  <c r="J952" i="9"/>
  <c r="J951" i="9"/>
  <c r="J950" i="9"/>
  <c r="J949" i="9"/>
  <c r="J948" i="9"/>
  <c r="J947" i="9"/>
  <c r="J946" i="9"/>
  <c r="J945" i="9"/>
  <c r="J944" i="9"/>
  <c r="J943" i="9"/>
  <c r="J942" i="9"/>
  <c r="J941" i="9"/>
  <c r="J940" i="9"/>
  <c r="J939" i="9"/>
  <c r="J938" i="9"/>
  <c r="J937" i="9"/>
  <c r="J936" i="9"/>
  <c r="J935" i="9"/>
  <c r="J934" i="9"/>
  <c r="J933" i="9"/>
  <c r="J932" i="9"/>
  <c r="J931" i="9"/>
  <c r="J930" i="9"/>
  <c r="J929" i="9"/>
  <c r="J928" i="9"/>
  <c r="J927" i="9"/>
  <c r="J926" i="9"/>
  <c r="J925" i="9"/>
  <c r="J924" i="9"/>
  <c r="J923" i="9"/>
  <c r="J922" i="9"/>
  <c r="J921" i="9"/>
  <c r="J920" i="9"/>
  <c r="J919" i="9"/>
  <c r="J918" i="9"/>
  <c r="J917" i="9"/>
  <c r="J916" i="9"/>
  <c r="J915" i="9"/>
  <c r="J914" i="9"/>
  <c r="J913" i="9"/>
  <c r="J912" i="9"/>
  <c r="J911" i="9"/>
  <c r="J910" i="9"/>
  <c r="J909" i="9"/>
  <c r="J908" i="9"/>
  <c r="J907" i="9"/>
  <c r="J906" i="9"/>
  <c r="J905" i="9"/>
  <c r="J904" i="9"/>
  <c r="J903" i="9"/>
  <c r="J902" i="9"/>
  <c r="J901" i="9"/>
  <c r="J900" i="9"/>
  <c r="J899" i="9"/>
  <c r="J898" i="9"/>
  <c r="J897" i="9"/>
  <c r="J896" i="9"/>
  <c r="J895" i="9"/>
  <c r="J894" i="9"/>
  <c r="J893" i="9"/>
  <c r="J892" i="9"/>
  <c r="J891" i="9"/>
  <c r="J890" i="9"/>
  <c r="J889" i="9"/>
  <c r="J888" i="9"/>
  <c r="J887" i="9"/>
  <c r="J886" i="9"/>
  <c r="J885" i="9"/>
  <c r="J884" i="9"/>
  <c r="J883" i="9"/>
  <c r="J882" i="9"/>
  <c r="J881" i="9"/>
  <c r="J880" i="9"/>
  <c r="J879" i="9"/>
  <c r="J878" i="9"/>
  <c r="J877" i="9"/>
  <c r="J876" i="9"/>
  <c r="J875" i="9"/>
  <c r="J874" i="9"/>
  <c r="J873" i="9"/>
  <c r="J872" i="9"/>
  <c r="J871" i="9"/>
  <c r="J870" i="9"/>
  <c r="J869" i="9"/>
  <c r="J868" i="9"/>
  <c r="J867" i="9"/>
  <c r="J866" i="9"/>
  <c r="J865" i="9"/>
  <c r="J864" i="9"/>
  <c r="J863" i="9"/>
  <c r="J862" i="9"/>
  <c r="J861" i="9"/>
  <c r="J860" i="9"/>
  <c r="J859" i="9"/>
  <c r="J858" i="9"/>
  <c r="J857" i="9"/>
  <c r="J856" i="9"/>
  <c r="J855" i="9"/>
  <c r="J854" i="9"/>
  <c r="J853" i="9"/>
  <c r="J852" i="9"/>
  <c r="J851" i="9"/>
  <c r="J850" i="9"/>
  <c r="J849" i="9"/>
  <c r="J848" i="9"/>
  <c r="J847" i="9"/>
  <c r="J846" i="9"/>
  <c r="J845" i="9"/>
  <c r="J844" i="9"/>
  <c r="J843" i="9"/>
  <c r="J842" i="9"/>
  <c r="J841" i="9"/>
  <c r="J840" i="9"/>
  <c r="J839" i="9"/>
  <c r="J838" i="9"/>
  <c r="J837" i="9"/>
  <c r="J836" i="9"/>
  <c r="J835" i="9"/>
  <c r="J834" i="9"/>
  <c r="J833" i="9"/>
  <c r="J832" i="9"/>
  <c r="J831" i="9"/>
  <c r="J830" i="9"/>
  <c r="J829" i="9"/>
  <c r="J828" i="9"/>
  <c r="J827" i="9"/>
  <c r="J826" i="9"/>
  <c r="J825" i="9"/>
  <c r="J824" i="9"/>
  <c r="J823" i="9"/>
  <c r="J822" i="9"/>
  <c r="J821" i="9"/>
  <c r="J820" i="9"/>
  <c r="J819" i="9"/>
  <c r="J818" i="9"/>
  <c r="J817" i="9"/>
  <c r="J816" i="9"/>
  <c r="J815" i="9"/>
  <c r="J814" i="9"/>
  <c r="J813" i="9"/>
  <c r="J812" i="9"/>
  <c r="J811" i="9"/>
  <c r="J810" i="9"/>
  <c r="J809" i="9"/>
  <c r="J808" i="9"/>
  <c r="J807" i="9"/>
  <c r="J806" i="9"/>
  <c r="J805" i="9"/>
  <c r="J804" i="9"/>
  <c r="J803" i="9"/>
  <c r="J802" i="9"/>
  <c r="J801" i="9"/>
  <c r="J800" i="9"/>
  <c r="J799" i="9"/>
  <c r="J798" i="9"/>
  <c r="J797" i="9"/>
  <c r="J796" i="9"/>
  <c r="J795" i="9"/>
  <c r="J794" i="9"/>
  <c r="J793" i="9"/>
  <c r="J792" i="9"/>
  <c r="J791" i="9"/>
  <c r="J790" i="9"/>
  <c r="J789" i="9"/>
  <c r="J788" i="9"/>
  <c r="J787" i="9"/>
  <c r="J786" i="9"/>
  <c r="J785" i="9"/>
  <c r="J784" i="9"/>
  <c r="J783" i="9"/>
  <c r="J782" i="9"/>
  <c r="J781" i="9"/>
  <c r="J780" i="9"/>
  <c r="J779" i="9"/>
  <c r="J778" i="9"/>
  <c r="J777" i="9"/>
  <c r="J776" i="9"/>
  <c r="J775" i="9"/>
  <c r="J774" i="9"/>
  <c r="J773" i="9"/>
  <c r="J772" i="9"/>
  <c r="J771" i="9"/>
  <c r="J770" i="9"/>
  <c r="J769" i="9"/>
  <c r="J768" i="9"/>
  <c r="J767"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685" i="9"/>
  <c r="J684" i="9"/>
  <c r="J683" i="9"/>
  <c r="J682" i="9"/>
  <c r="J681" i="9"/>
  <c r="J680" i="9"/>
  <c r="J679" i="9"/>
  <c r="J678" i="9"/>
  <c r="J677" i="9"/>
  <c r="J676" i="9"/>
  <c r="J675" i="9"/>
  <c r="J674" i="9"/>
  <c r="J673" i="9"/>
  <c r="J672" i="9"/>
  <c r="J671" i="9"/>
  <c r="J670" i="9"/>
  <c r="J669"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525" i="9"/>
  <c r="J524" i="9"/>
  <c r="J523" i="9"/>
  <c r="J522" i="9"/>
  <c r="J521" i="9"/>
  <c r="J520" i="9"/>
  <c r="J519" i="9"/>
  <c r="J518" i="9"/>
  <c r="J517" i="9"/>
  <c r="J516" i="9"/>
  <c r="J515" i="9"/>
  <c r="J514" i="9"/>
  <c r="J513" i="9"/>
  <c r="J512" i="9"/>
  <c r="J511" i="9"/>
  <c r="J510" i="9"/>
  <c r="J509" i="9"/>
  <c r="J508" i="9"/>
  <c r="J507" i="9"/>
  <c r="J506" i="9"/>
  <c r="J505" i="9"/>
  <c r="J504" i="9"/>
  <c r="J503" i="9"/>
  <c r="J502" i="9"/>
  <c r="J501" i="9"/>
  <c r="J500" i="9"/>
  <c r="J499" i="9"/>
  <c r="J498" i="9"/>
  <c r="J497" i="9"/>
  <c r="J496" i="9"/>
  <c r="J495" i="9"/>
  <c r="J494" i="9"/>
  <c r="J493" i="9"/>
  <c r="J492" i="9"/>
  <c r="J491" i="9"/>
  <c r="J490" i="9"/>
  <c r="J489" i="9"/>
  <c r="J488" i="9"/>
  <c r="J487" i="9"/>
  <c r="J486" i="9"/>
  <c r="J485" i="9"/>
  <c r="J484" i="9"/>
  <c r="J483" i="9"/>
  <c r="J482" i="9"/>
  <c r="J481" i="9"/>
  <c r="J480" i="9"/>
  <c r="J479" i="9"/>
  <c r="J478" i="9"/>
  <c r="J477" i="9"/>
  <c r="J476" i="9"/>
  <c r="J475" i="9"/>
  <c r="J474" i="9"/>
  <c r="J473" i="9"/>
  <c r="J472" i="9"/>
  <c r="J471" i="9"/>
  <c r="J470" i="9"/>
  <c r="J469" i="9"/>
  <c r="J468" i="9"/>
  <c r="J467" i="9"/>
  <c r="J466" i="9"/>
  <c r="J465" i="9"/>
  <c r="J464" i="9"/>
  <c r="J463" i="9"/>
  <c r="J462" i="9"/>
  <c r="J461" i="9"/>
  <c r="J460" i="9"/>
  <c r="J459" i="9"/>
  <c r="J458" i="9"/>
  <c r="J457" i="9"/>
  <c r="J456" i="9"/>
  <c r="J455" i="9"/>
  <c r="J454" i="9"/>
  <c r="J453" i="9"/>
  <c r="J452" i="9"/>
  <c r="J451" i="9"/>
  <c r="J450" i="9"/>
  <c r="J449" i="9"/>
  <c r="J448" i="9"/>
  <c r="J447" i="9"/>
  <c r="J446" i="9"/>
  <c r="J445" i="9"/>
  <c r="J444" i="9"/>
  <c r="J443" i="9"/>
  <c r="J442" i="9"/>
  <c r="J441" i="9"/>
  <c r="J440" i="9"/>
  <c r="J439" i="9"/>
  <c r="J438" i="9"/>
  <c r="J437" i="9"/>
  <c r="J436" i="9"/>
  <c r="J435" i="9"/>
  <c r="J434" i="9"/>
  <c r="J433" i="9"/>
  <c r="J432" i="9"/>
  <c r="J431" i="9"/>
  <c r="J430" i="9"/>
  <c r="J429" i="9"/>
  <c r="J428" i="9"/>
  <c r="J427" i="9"/>
  <c r="J426" i="9"/>
  <c r="J425" i="9"/>
  <c r="J424" i="9"/>
  <c r="J423" i="9"/>
  <c r="J422" i="9"/>
  <c r="J421" i="9"/>
  <c r="J420" i="9"/>
  <c r="J419" i="9"/>
  <c r="J418" i="9"/>
  <c r="J417" i="9"/>
  <c r="J416" i="9"/>
  <c r="J415" i="9"/>
  <c r="J414" i="9"/>
  <c r="J413" i="9"/>
  <c r="J412" i="9"/>
  <c r="J411" i="9"/>
  <c r="J410" i="9"/>
  <c r="J409" i="9"/>
  <c r="J408" i="9"/>
  <c r="J407" i="9"/>
  <c r="J406" i="9"/>
  <c r="J405" i="9"/>
  <c r="J404" i="9"/>
  <c r="J403" i="9"/>
  <c r="J402" i="9"/>
  <c r="J401" i="9"/>
  <c r="J400" i="9"/>
  <c r="J399" i="9"/>
  <c r="J398" i="9"/>
  <c r="J397" i="9"/>
  <c r="J396" i="9"/>
  <c r="J395" i="9"/>
  <c r="J394" i="9"/>
  <c r="J393" i="9"/>
  <c r="J392" i="9"/>
  <c r="J391" i="9"/>
  <c r="J390" i="9"/>
  <c r="J389" i="9"/>
  <c r="J388" i="9"/>
  <c r="J387" i="9"/>
  <c r="J386" i="9"/>
  <c r="J385" i="9"/>
  <c r="J384" i="9"/>
  <c r="J383" i="9"/>
  <c r="J382" i="9"/>
  <c r="J381" i="9"/>
  <c r="J380" i="9"/>
  <c r="J379" i="9"/>
  <c r="J378" i="9"/>
  <c r="J377" i="9"/>
  <c r="J376" i="9"/>
  <c r="J375" i="9"/>
  <c r="J374" i="9"/>
  <c r="J373" i="9"/>
  <c r="J372" i="9"/>
  <c r="J371" i="9"/>
  <c r="J370" i="9"/>
  <c r="J369" i="9"/>
  <c r="J368" i="9"/>
  <c r="J367" i="9"/>
  <c r="J366" i="9"/>
  <c r="J365" i="9"/>
  <c r="J364" i="9"/>
  <c r="J363" i="9"/>
  <c r="J362" i="9"/>
  <c r="J361" i="9"/>
  <c r="J360" i="9"/>
  <c r="J359" i="9"/>
  <c r="J358" i="9"/>
  <c r="J357" i="9"/>
  <c r="J356" i="9"/>
  <c r="J355" i="9"/>
  <c r="J354" i="9"/>
  <c r="J353" i="9"/>
  <c r="J352" i="9"/>
  <c r="J351" i="9"/>
  <c r="J350" i="9"/>
  <c r="J349" i="9"/>
  <c r="J348" i="9"/>
  <c r="J347" i="9"/>
  <c r="J346" i="9"/>
  <c r="J345" i="9"/>
  <c r="J344" i="9"/>
  <c r="J343" i="9"/>
  <c r="J342" i="9"/>
  <c r="J341" i="9"/>
  <c r="J340" i="9"/>
  <c r="J339" i="9"/>
  <c r="J338" i="9"/>
  <c r="J337" i="9"/>
  <c r="J336" i="9"/>
  <c r="J335" i="9"/>
  <c r="J334" i="9"/>
  <c r="J333" i="9"/>
  <c r="J332" i="9"/>
  <c r="J331" i="9"/>
  <c r="J330" i="9"/>
  <c r="J329" i="9"/>
  <c r="J328" i="9"/>
  <c r="J327" i="9"/>
  <c r="J326" i="9"/>
  <c r="J325" i="9"/>
  <c r="J324" i="9"/>
  <c r="J323" i="9"/>
  <c r="J322" i="9"/>
  <c r="J321" i="9"/>
  <c r="J320" i="9"/>
  <c r="J319" i="9"/>
  <c r="J318" i="9"/>
  <c r="J317" i="9"/>
  <c r="J316" i="9"/>
  <c r="J315" i="9"/>
  <c r="J314" i="9"/>
  <c r="J313" i="9"/>
  <c r="J312" i="9"/>
  <c r="J311" i="9"/>
  <c r="J310" i="9"/>
  <c r="J309" i="9"/>
  <c r="J308" i="9"/>
  <c r="J307" i="9"/>
  <c r="J306" i="9"/>
  <c r="J305" i="9"/>
  <c r="J304" i="9"/>
  <c r="J303" i="9"/>
  <c r="J302" i="9"/>
  <c r="J301" i="9"/>
  <c r="J300" i="9"/>
  <c r="J299" i="9"/>
  <c r="J298" i="9"/>
  <c r="J297" i="9"/>
  <c r="J296" i="9"/>
  <c r="J295" i="9"/>
  <c r="J294" i="9"/>
  <c r="J293" i="9"/>
  <c r="J292" i="9"/>
  <c r="J291" i="9"/>
  <c r="J290" i="9"/>
  <c r="J289" i="9"/>
  <c r="J288" i="9"/>
  <c r="J287" i="9"/>
  <c r="J286" i="9"/>
  <c r="J285" i="9"/>
  <c r="J284" i="9"/>
  <c r="J283" i="9"/>
  <c r="J282" i="9"/>
  <c r="J281" i="9"/>
  <c r="J280" i="9"/>
  <c r="J279" i="9"/>
  <c r="J278" i="9"/>
  <c r="J277" i="9"/>
  <c r="J276" i="9"/>
  <c r="J275" i="9"/>
  <c r="J274" i="9"/>
  <c r="J273" i="9"/>
  <c r="J272" i="9"/>
  <c r="J271" i="9"/>
  <c r="J270" i="9"/>
  <c r="J269" i="9"/>
  <c r="J268" i="9"/>
  <c r="J267" i="9"/>
  <c r="J266" i="9"/>
  <c r="J265" i="9"/>
  <c r="J264" i="9"/>
  <c r="J263" i="9"/>
  <c r="J262" i="9"/>
  <c r="J261" i="9"/>
  <c r="J260" i="9"/>
  <c r="J259" i="9"/>
  <c r="J258" i="9"/>
  <c r="J257" i="9"/>
  <c r="J256" i="9"/>
  <c r="J255" i="9"/>
  <c r="J254" i="9"/>
  <c r="J253" i="9"/>
  <c r="J252" i="9"/>
  <c r="J251" i="9"/>
  <c r="J250" i="9"/>
  <c r="J249" i="9"/>
  <c r="J248" i="9"/>
  <c r="J247" i="9"/>
  <c r="J246" i="9"/>
  <c r="J245" i="9"/>
  <c r="J244" i="9"/>
  <c r="J243" i="9"/>
  <c r="J242" i="9"/>
  <c r="J241" i="9"/>
  <c r="J240" i="9"/>
  <c r="J239" i="9"/>
  <c r="J238" i="9"/>
  <c r="J237" i="9"/>
  <c r="J236" i="9"/>
  <c r="J235" i="9"/>
  <c r="J234" i="9"/>
  <c r="J233" i="9"/>
  <c r="J232" i="9"/>
  <c r="J231" i="9"/>
  <c r="J230" i="9"/>
  <c r="J229" i="9"/>
  <c r="J228" i="9"/>
  <c r="J227" i="9"/>
  <c r="J226" i="9"/>
  <c r="J225" i="9"/>
  <c r="J224" i="9"/>
  <c r="J223" i="9"/>
  <c r="J222" i="9"/>
  <c r="J221" i="9"/>
  <c r="J220" i="9"/>
  <c r="J219" i="9"/>
  <c r="J218" i="9"/>
  <c r="J217" i="9"/>
  <c r="J216" i="9"/>
  <c r="J215" i="9"/>
  <c r="J214" i="9"/>
  <c r="J213" i="9"/>
  <c r="J212" i="9"/>
  <c r="J211" i="9"/>
  <c r="J210" i="9"/>
  <c r="J209" i="9"/>
  <c r="J208" i="9"/>
  <c r="J207" i="9"/>
  <c r="J206" i="9"/>
  <c r="J205" i="9"/>
  <c r="J204" i="9"/>
  <c r="J203" i="9"/>
  <c r="J202" i="9"/>
  <c r="J201" i="9"/>
  <c r="J200" i="9"/>
  <c r="J199" i="9"/>
  <c r="J198" i="9"/>
  <c r="J197" i="9"/>
  <c r="J196" i="9"/>
  <c r="J195" i="9"/>
  <c r="J194" i="9"/>
  <c r="J193" i="9"/>
  <c r="J192" i="9"/>
  <c r="J191" i="9"/>
  <c r="J190" i="9"/>
  <c r="J189" i="9"/>
  <c r="J188" i="9"/>
  <c r="J187" i="9"/>
  <c r="J186" i="9"/>
  <c r="J185" i="9"/>
  <c r="J184" i="9"/>
  <c r="J183" i="9"/>
  <c r="J182" i="9"/>
  <c r="J181" i="9"/>
  <c r="J180" i="9"/>
  <c r="J179" i="9"/>
  <c r="J178" i="9"/>
  <c r="J177" i="9"/>
  <c r="J176" i="9"/>
  <c r="J175" i="9"/>
  <c r="J174" i="9"/>
  <c r="J173" i="9"/>
  <c r="J172" i="9"/>
  <c r="J171" i="9"/>
  <c r="J170" i="9"/>
  <c r="J169" i="9"/>
  <c r="J168" i="9"/>
  <c r="J167" i="9"/>
  <c r="J166" i="9"/>
  <c r="J165" i="9"/>
  <c r="J164" i="9"/>
  <c r="J163" i="9"/>
  <c r="J162" i="9"/>
  <c r="J161" i="9"/>
  <c r="J160" i="9"/>
  <c r="J159" i="9"/>
  <c r="J158" i="9"/>
  <c r="J157" i="9"/>
  <c r="J156" i="9"/>
  <c r="J155" i="9"/>
  <c r="J154" i="9"/>
  <c r="J153" i="9"/>
  <c r="J152" i="9"/>
  <c r="J151" i="9"/>
  <c r="J150" i="9"/>
  <c r="J149" i="9"/>
  <c r="J148" i="9"/>
  <c r="J147" i="9"/>
  <c r="J146" i="9"/>
  <c r="J145" i="9"/>
  <c r="J144" i="9"/>
  <c r="J143" i="9"/>
  <c r="J142" i="9"/>
  <c r="J141" i="9"/>
  <c r="J140" i="9"/>
  <c r="J139" i="9"/>
  <c r="J138" i="9"/>
  <c r="J137" i="9"/>
  <c r="J136" i="9"/>
  <c r="J135" i="9"/>
  <c r="J134" i="9"/>
  <c r="J133" i="9"/>
  <c r="J132" i="9"/>
  <c r="J131" i="9"/>
  <c r="J130" i="9"/>
  <c r="J129" i="9"/>
  <c r="J128" i="9"/>
  <c r="J127" i="9"/>
  <c r="J126" i="9"/>
  <c r="J125" i="9"/>
  <c r="J124" i="9"/>
  <c r="J123" i="9"/>
  <c r="J122" i="9"/>
  <c r="J121" i="9"/>
  <c r="J120" i="9"/>
  <c r="J119" i="9"/>
  <c r="J118" i="9"/>
  <c r="J117" i="9"/>
  <c r="J116" i="9"/>
  <c r="J115" i="9"/>
  <c r="J114" i="9"/>
  <c r="J113" i="9"/>
  <c r="J112" i="9"/>
  <c r="J111" i="9"/>
  <c r="J110" i="9"/>
  <c r="J109" i="9"/>
  <c r="J108" i="9"/>
  <c r="J107" i="9"/>
  <c r="J106" i="9"/>
  <c r="J105" i="9"/>
  <c r="J104" i="9"/>
  <c r="J103" i="9"/>
  <c r="J102" i="9"/>
  <c r="J101" i="9"/>
  <c r="J100" i="9"/>
  <c r="J99" i="9"/>
  <c r="J98" i="9"/>
  <c r="J97" i="9"/>
  <c r="J96" i="9"/>
  <c r="J95" i="9"/>
  <c r="J94" i="9"/>
  <c r="J93" i="9"/>
  <c r="J92" i="9"/>
  <c r="J91" i="9"/>
  <c r="J90" i="9"/>
  <c r="J89" i="9"/>
  <c r="J88" i="9"/>
  <c r="J87" i="9"/>
  <c r="J86" i="9"/>
  <c r="J85" i="9"/>
  <c r="J84" i="9"/>
  <c r="J83" i="9"/>
  <c r="J82" i="9"/>
  <c r="J81" i="9"/>
  <c r="J80" i="9"/>
  <c r="J79" i="9"/>
  <c r="J78" i="9"/>
  <c r="J77" i="9"/>
  <c r="J76" i="9"/>
  <c r="J75" i="9"/>
  <c r="J74" i="9"/>
  <c r="J73" i="9"/>
  <c r="J72" i="9"/>
  <c r="J71" i="9"/>
  <c r="J70" i="9"/>
  <c r="J69" i="9"/>
  <c r="J68" i="9"/>
  <c r="J67" i="9"/>
  <c r="J66" i="9"/>
  <c r="J65" i="9"/>
  <c r="J64" i="9"/>
  <c r="J63" i="9"/>
  <c r="J62" i="9"/>
  <c r="J61" i="9"/>
  <c r="J60" i="9"/>
  <c r="J59" i="9"/>
  <c r="J58" i="9"/>
  <c r="J57" i="9"/>
  <c r="J56" i="9"/>
  <c r="J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J6" i="9"/>
  <c r="J5" i="9"/>
  <c r="J4" i="9"/>
  <c r="J3" i="9"/>
  <c r="J2" i="9"/>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H54" i="15"/>
  <c r="Y21" i="13"/>
  <c r="Y43" i="13"/>
  <c r="Y20" i="13"/>
  <c r="Y42" i="13"/>
</calcChain>
</file>

<file path=xl/sharedStrings.xml><?xml version="1.0" encoding="utf-8"?>
<sst xmlns="http://schemas.openxmlformats.org/spreadsheetml/2006/main" count="37027" uniqueCount="170">
  <si>
    <t>Ind</t>
  </si>
  <si>
    <t>Gender</t>
  </si>
  <si>
    <t>age_range</t>
  </si>
  <si>
    <t>Occ_code</t>
  </si>
  <si>
    <t>Partner_status</t>
  </si>
  <si>
    <t>Lodgment_method</t>
  </si>
  <si>
    <t>PHI_Ind</t>
  </si>
  <si>
    <t>Tot_inc_amt</t>
  </si>
  <si>
    <t>Tot_ded_amt</t>
  </si>
  <si>
    <t>Taxable_Income</t>
  </si>
  <si>
    <t>Male</t>
  </si>
  <si>
    <t>45 to 49</t>
  </si>
  <si>
    <t>Managers</t>
  </si>
  <si>
    <t>Partnered</t>
  </si>
  <si>
    <t>Tax Agent</t>
  </si>
  <si>
    <t>PHI</t>
  </si>
  <si>
    <t>Female</t>
  </si>
  <si>
    <t>20 to 24</t>
  </si>
  <si>
    <t>Sales workers</t>
  </si>
  <si>
    <t>Single</t>
  </si>
  <si>
    <t>70 and over</t>
  </si>
  <si>
    <t>Consultants, apprentices and type not specified or not listed</t>
  </si>
  <si>
    <t>30 to 34</t>
  </si>
  <si>
    <t>Technicians and Trades Workers</t>
  </si>
  <si>
    <t>No PHI</t>
  </si>
  <si>
    <t>25 to 29</t>
  </si>
  <si>
    <t>Labourers</t>
  </si>
  <si>
    <t>35 to 39</t>
  </si>
  <si>
    <t>Self Prepared</t>
  </si>
  <si>
    <t>Machinery operators and drivers</t>
  </si>
  <si>
    <t>Professionals</t>
  </si>
  <si>
    <t>under 20</t>
  </si>
  <si>
    <t>Occupation not listed/ Occupation not specified</t>
  </si>
  <si>
    <t>Clerical and Administrative Workers</t>
  </si>
  <si>
    <t>50 to 54</t>
  </si>
  <si>
    <t>40 to 44</t>
  </si>
  <si>
    <t>Community and Personal Service Workers</t>
  </si>
  <si>
    <t>55 to 59</t>
  </si>
  <si>
    <t>60 to 64</t>
  </si>
  <si>
    <t>65 to 69</t>
  </si>
  <si>
    <t>DESCRIPTIVE STATISTIC: GENDER DISTRIBUTION</t>
  </si>
  <si>
    <t>GENDER</t>
  </si>
  <si>
    <t>FREQUENCY</t>
  </si>
  <si>
    <t>Grand Total</t>
  </si>
  <si>
    <t>DESCRIPTIVE STATISTIC: AGE RANGE</t>
  </si>
  <si>
    <t>AGE RANGE</t>
  </si>
  <si>
    <t>DESCRIPTIVE STATISTIC: OCCUPATION CODE</t>
  </si>
  <si>
    <t>OCCUPATION CODE</t>
  </si>
  <si>
    <t>DESCRIPTIVE STATISTIC: PARTNER STATUS</t>
  </si>
  <si>
    <t>PARTNER STATUS</t>
  </si>
  <si>
    <t>DESCRIPTIVE STATISTIC:  LODGMENT METHOD</t>
  </si>
  <si>
    <t>LODGMENT METHOD</t>
  </si>
  <si>
    <t>DESCRIPTIVE STATISTIC:  PRIVATE HEALTH INSURANCE INDICATOR</t>
  </si>
  <si>
    <t>PHI STATUS</t>
  </si>
  <si>
    <t>RELATIVE FREQUENCY</t>
  </si>
  <si>
    <t>DESCRIPTIVE STATISTIC:  TOTAL INCOME</t>
  </si>
  <si>
    <t>INCOME RANGE</t>
  </si>
  <si>
    <t>&lt;0</t>
  </si>
  <si>
    <t>Mean</t>
  </si>
  <si>
    <t>0-49999</t>
  </si>
  <si>
    <t>Standard Error</t>
  </si>
  <si>
    <t>50000-99999</t>
  </si>
  <si>
    <t>Median</t>
  </si>
  <si>
    <t>100000-149999</t>
  </si>
  <si>
    <t>Mode</t>
  </si>
  <si>
    <t>150000-199999</t>
  </si>
  <si>
    <t>Standard Deviation</t>
  </si>
  <si>
    <t>200000-249999</t>
  </si>
  <si>
    <t>Sample Variance</t>
  </si>
  <si>
    <t>250000-299999</t>
  </si>
  <si>
    <t>Kurtosis</t>
  </si>
  <si>
    <t>300000-350000</t>
  </si>
  <si>
    <t>Skewness</t>
  </si>
  <si>
    <t>&gt;350000</t>
  </si>
  <si>
    <t>Range</t>
  </si>
  <si>
    <t>Minimum</t>
  </si>
  <si>
    <t>Maximum</t>
  </si>
  <si>
    <t>Sum</t>
  </si>
  <si>
    <t>Count</t>
  </si>
  <si>
    <t>DESCRIPTIVE STATISTIC:  TOTAL DEDUCTIONS</t>
  </si>
  <si>
    <t>DEDUCTION</t>
  </si>
  <si>
    <t>0-4999</t>
  </si>
  <si>
    <t>5000-9999</t>
  </si>
  <si>
    <t>10000-14999</t>
  </si>
  <si>
    <t>15000-19999</t>
  </si>
  <si>
    <t>20000-24999</t>
  </si>
  <si>
    <t>25000-29999</t>
  </si>
  <si>
    <t>&gt;35000</t>
  </si>
  <si>
    <t>DESCRIPTIVE STATISTIC:  TAXABLE INCOME</t>
  </si>
  <si>
    <t>TAXABLE INCOME</t>
  </si>
  <si>
    <t>TAXATION LODGEMENT</t>
  </si>
  <si>
    <t>Nhãn Hàng</t>
  </si>
  <si>
    <t>Average of Tot_inc_amt</t>
  </si>
  <si>
    <t>Tổng Cuối</t>
  </si>
  <si>
    <t>Count of Gender</t>
  </si>
  <si>
    <t>Average of Tot_ded_amt</t>
  </si>
  <si>
    <t>Nhãn cột</t>
  </si>
  <si>
    <t>Average of Taxable_Income</t>
  </si>
  <si>
    <t>TECHNICIANS &amp; TRADES WORKERS DATA ONLY</t>
  </si>
  <si>
    <t>OCC-CODE: Technicians &amp; Trades Workers only</t>
  </si>
  <si>
    <t>POPULATION MEAN</t>
  </si>
  <si>
    <t>Row Labels</t>
  </si>
  <si>
    <t>Confidence Level(95,0%)</t>
  </si>
  <si>
    <t>margin of error</t>
  </si>
  <si>
    <t>Upper</t>
  </si>
  <si>
    <t>Lower</t>
  </si>
  <si>
    <t>ALL SAMPLE LODGMENTS</t>
  </si>
  <si>
    <t>5a</t>
  </si>
  <si>
    <t>Agent</t>
  </si>
  <si>
    <t>5A. HYPOTHESIS TESTING 1</t>
  </si>
  <si>
    <t>H0</t>
  </si>
  <si>
    <t>mean agent - mean self  &lt;= 0</t>
  </si>
  <si>
    <t>H1</t>
  </si>
  <si>
    <t>mean agent - mean self  &gt; 0</t>
  </si>
  <si>
    <t>t-Test: Two-Sample Assuming Equal Variances</t>
  </si>
  <si>
    <t>Variance</t>
  </si>
  <si>
    <t>Observations</t>
  </si>
  <si>
    <t>Pooled Variance</t>
  </si>
  <si>
    <t>Hypothesized Mean Difference</t>
  </si>
  <si>
    <t>df</t>
  </si>
  <si>
    <t>t Stat</t>
  </si>
  <si>
    <t>P(T&lt;=t) one-tail</t>
  </si>
  <si>
    <t>t Critical one-tail</t>
  </si>
  <si>
    <t>P(T&lt;=t) two-tail</t>
  </si>
  <si>
    <t>t Critical two-tail</t>
  </si>
  <si>
    <t>Decision</t>
  </si>
  <si>
    <t>Reject H0 (t &gt; t-cri)</t>
  </si>
  <si>
    <t>Conclusion</t>
  </si>
  <si>
    <t>Tax agent lodged returns claim higher total allowable deductions than self-prepared returns.</t>
  </si>
  <si>
    <t>5B. HYPOTHESIS TESTING 2</t>
  </si>
  <si>
    <t>mean male - mean female = 0</t>
  </si>
  <si>
    <t>mean male - mean female ≠ 0</t>
  </si>
  <si>
    <t>Reject H0 (t&gt;t-cri)</t>
  </si>
  <si>
    <t>The average taxable incomes of the two groups are not the same.</t>
  </si>
  <si>
    <t>SELF</t>
  </si>
  <si>
    <t>5b</t>
  </si>
  <si>
    <t>MALE</t>
  </si>
  <si>
    <t>FEMALE</t>
  </si>
  <si>
    <t>AGE</t>
  </si>
  <si>
    <t>Age range</t>
  </si>
  <si>
    <t>Mid-point</t>
  </si>
  <si>
    <t>````````````````````````````````````````````````````````````````````````````````````````````````````````````````````````````````````````</t>
  </si>
  <si>
    <t>SUMMARY OUTPUT</t>
  </si>
  <si>
    <t>Regression Statistics</t>
  </si>
  <si>
    <t>Multiple R</t>
  </si>
  <si>
    <t>correlation coefficient (r)</t>
  </si>
  <si>
    <t>R Square</t>
  </si>
  <si>
    <t>Adjusted R Square</t>
  </si>
  <si>
    <t>ANOVA</t>
  </si>
  <si>
    <t>SS</t>
  </si>
  <si>
    <t>MS</t>
  </si>
  <si>
    <t>F</t>
  </si>
  <si>
    <t>Significance F</t>
  </si>
  <si>
    <t>Regression</t>
  </si>
  <si>
    <t>Residual</t>
  </si>
  <si>
    <t>Total</t>
  </si>
  <si>
    <t>Coefficients</t>
  </si>
  <si>
    <t>P-value</t>
  </si>
  <si>
    <t>Lower 95%</t>
  </si>
  <si>
    <t>Upper 95%</t>
  </si>
  <si>
    <t>Lower 95,0%</t>
  </si>
  <si>
    <t>Upper 95,0%</t>
  </si>
  <si>
    <t>Intercept</t>
  </si>
  <si>
    <t>B1</t>
  </si>
  <si>
    <t>INCOME = 49776,38 + 228,83*AGE</t>
  </si>
  <si>
    <t>Hypothesis  Testing</t>
  </si>
  <si>
    <r>
      <rPr>
        <sz val="11"/>
        <color theme="1"/>
        <rFont val="Symbol"/>
        <charset val="2"/>
      </rPr>
      <t>b</t>
    </r>
    <r>
      <rPr>
        <sz val="11"/>
        <color theme="1"/>
        <rFont val="Times New Roman"/>
        <family val="1"/>
      </rPr>
      <t>1 = 0</t>
    </r>
  </si>
  <si>
    <t>t-sta</t>
  </si>
  <si>
    <r>
      <rPr>
        <sz val="11"/>
        <color theme="1"/>
        <rFont val="Symbol"/>
        <charset val="2"/>
      </rPr>
      <t>b</t>
    </r>
    <r>
      <rPr>
        <sz val="11"/>
        <color theme="1"/>
        <rFont val="Times New Roman"/>
        <family val="1"/>
      </rPr>
      <t xml:space="preserve">1 </t>
    </r>
    <r>
      <rPr>
        <sz val="11"/>
        <color theme="1"/>
        <rFont val="DengXian"/>
        <family val="4"/>
        <charset val="134"/>
      </rPr>
      <t>≠</t>
    </r>
    <r>
      <rPr>
        <sz val="11"/>
        <color theme="1"/>
        <rFont val="Times New Roman"/>
        <family val="1"/>
      </rPr>
      <t xml:space="preserve"> 0</t>
    </r>
  </si>
  <si>
    <t>t-cri (2-tail)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</si>
</sst>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409]* #,##0_);_([$$-409]* \(#,##0\);_([$$-409]* &quot;-&quot;??_);_(@_)"/>
    <numFmt numFmtId="166" formatCode="_([$$-409]* #,##0.00_);_([$$-409]* \(#,##0.00\);_([$$-409]* &quot;-&quot;??_);_(@_)"/>
    <numFmt numFmtId="167" formatCode="&quot;₫&quot;#,##0"/>
  </numFmts>
  <fonts count="26">
    <font>
      <sz val="12"/>
      <color theme="1"/>
      <name val="ArialMT"/>
      <family val="2"/>
    </font>
    <font>
      <b/>
      <sz val="12"/>
      <name val="Times New Roman"/>
      <family val="1"/>
    </font>
    <font>
      <sz val="12"/>
      <color theme="1"/>
      <name val="Times New Roman"/>
      <family val="1"/>
    </font>
    <font>
      <b/>
      <sz val="26"/>
      <color theme="4"/>
      <name val="Times New Roman"/>
      <family val="1"/>
    </font>
    <font>
      <b/>
      <sz val="16"/>
      <color theme="1"/>
      <name val="Times New Roman"/>
      <family val="1"/>
    </font>
    <font>
      <i/>
      <sz val="12"/>
      <color theme="1"/>
      <name val="ArialMT"/>
      <family val="2"/>
    </font>
    <font>
      <sz val="12"/>
      <color rgb="FF000000"/>
      <name val="Times New Roman"/>
      <family val="1"/>
    </font>
    <font>
      <b/>
      <sz val="12"/>
      <color theme="1"/>
      <name val="ArialMT"/>
    </font>
    <font>
      <sz val="12"/>
      <color theme="0"/>
      <name val="ArialMT"/>
      <family val="2"/>
    </font>
    <font>
      <sz val="11"/>
      <color theme="0"/>
      <name val="ArialMT"/>
      <family val="2"/>
    </font>
    <font>
      <sz val="10"/>
      <color theme="0"/>
      <name val="ArialMT"/>
      <family val="2"/>
    </font>
    <font>
      <sz val="9"/>
      <color theme="0"/>
      <name val="ArialMT"/>
      <family val="2"/>
    </font>
    <font>
      <sz val="10.5"/>
      <color theme="0"/>
      <name val="ArialMT"/>
      <family val="2"/>
    </font>
    <font>
      <b/>
      <i/>
      <sz val="12"/>
      <color theme="1"/>
      <name val="ArialMT"/>
    </font>
    <font>
      <b/>
      <sz val="12"/>
      <color theme="7"/>
      <name val="ArialMT"/>
    </font>
    <font>
      <sz val="14"/>
      <color theme="0"/>
      <name val="ArialMT"/>
      <family val="2"/>
    </font>
    <font>
      <sz val="12"/>
      <color theme="4"/>
      <name val="ArialMT"/>
      <family val="2"/>
    </font>
    <font>
      <b/>
      <sz val="12"/>
      <color theme="4"/>
      <name val="ArialMT"/>
    </font>
    <font>
      <b/>
      <sz val="12"/>
      <color theme="0"/>
      <name val="ArialMT"/>
    </font>
    <font>
      <sz val="12"/>
      <color theme="0"/>
      <name val="ArialMT"/>
    </font>
    <font>
      <i/>
      <sz val="11"/>
      <color theme="1"/>
      <name val="ArialMT"/>
    </font>
    <font>
      <i/>
      <sz val="11"/>
      <color theme="4"/>
      <name val="ArialMT"/>
    </font>
    <font>
      <sz val="11"/>
      <color theme="1"/>
      <name val="Times New Roman"/>
      <family val="1"/>
    </font>
    <font>
      <sz val="11"/>
      <color theme="1"/>
      <name val="Symbol"/>
      <charset val="2"/>
    </font>
    <font>
      <sz val="11"/>
      <color theme="1"/>
      <name val="DengXian"/>
      <family val="4"/>
      <charset val="134"/>
    </font>
    <font>
      <sz val="11"/>
      <color theme="1"/>
      <name val="Times New Roman"/>
      <family val="1"/>
      <charset val="2"/>
    </font>
  </fonts>
  <fills count="18">
    <fill>
      <patternFill patternType="none"/>
    </fill>
    <fill>
      <patternFill patternType="gray125"/>
    </fill>
    <fill>
      <patternFill patternType="solid">
        <fgColor theme="4" tint="0.79998168889431442"/>
        <bgColor indexed="64"/>
      </patternFill>
    </fill>
    <fill>
      <patternFill patternType="solid">
        <fgColor theme="7"/>
        <bgColor theme="7"/>
      </patternFill>
    </fill>
    <fill>
      <patternFill patternType="solid">
        <fgColor theme="7" tint="0.79998168889431442"/>
        <bgColor theme="7" tint="0.79998168889431442"/>
      </patternFill>
    </fill>
    <fill>
      <patternFill patternType="solid">
        <fgColor rgb="FF0F9ED5"/>
        <bgColor rgb="FF0F9ED5"/>
      </patternFill>
    </fill>
    <fill>
      <patternFill patternType="solid">
        <fgColor rgb="FFCAEDFB"/>
        <bgColor rgb="FFCAEDFB"/>
      </patternFill>
    </fill>
    <fill>
      <patternFill patternType="solid">
        <fgColor theme="7"/>
        <bgColor indexed="64"/>
      </patternFill>
    </fill>
    <fill>
      <patternFill patternType="solid">
        <fgColor theme="4" tint="0.39997558519241921"/>
        <bgColor indexed="64"/>
      </patternFill>
    </fill>
    <fill>
      <patternFill patternType="solid">
        <fgColor theme="4"/>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7" tint="-0.249977111117893"/>
        <bgColor indexed="64"/>
      </patternFill>
    </fill>
    <fill>
      <patternFill patternType="solid">
        <fgColor theme="7"/>
        <bgColor theme="7" tint="0.79998168889431442"/>
      </patternFill>
    </fill>
    <fill>
      <patternFill patternType="solid">
        <fgColor theme="7"/>
        <bgColor rgb="FF0F9ED5"/>
      </patternFill>
    </fill>
    <fill>
      <patternFill patternType="solid">
        <fgColor theme="7"/>
        <bgColor rgb="FFCAEDFB"/>
      </patternFill>
    </fill>
    <fill>
      <patternFill patternType="solid">
        <fgColor theme="7" tint="-0.499984740745262"/>
        <bgColor indexed="64"/>
      </patternFill>
    </fill>
  </fills>
  <borders count="25">
    <border>
      <left/>
      <right/>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rgb="FF44B3E1"/>
      </left>
      <right/>
      <top style="thin">
        <color theme="4" tint="0.39997558519241921"/>
      </top>
      <bottom style="thin">
        <color theme="7" tint="0.39997558519241921"/>
      </bottom>
      <diagonal/>
    </border>
    <border>
      <left/>
      <right/>
      <top style="thin">
        <color theme="4" tint="0.39997558519241921"/>
      </top>
      <bottom style="thin">
        <color theme="7" tint="0.39997558519241921"/>
      </bottom>
      <diagonal/>
    </border>
    <border>
      <left/>
      <right style="thin">
        <color theme="4" tint="0.39997558519241921"/>
      </right>
      <top style="thin">
        <color theme="4" tint="0.39997558519241921"/>
      </top>
      <bottom style="thin">
        <color theme="7" tint="0.39997558519241921"/>
      </bottom>
      <diagonal/>
    </border>
    <border>
      <left/>
      <right/>
      <top/>
      <bottom style="thin">
        <color theme="7" tint="0.39997558519241921"/>
      </bottom>
      <diagonal/>
    </border>
    <border>
      <left/>
      <right/>
      <top/>
      <bottom style="medium">
        <color indexed="64"/>
      </bottom>
      <diagonal/>
    </border>
    <border>
      <left/>
      <right/>
      <top style="medium">
        <color indexed="64"/>
      </top>
      <bottom style="thin">
        <color indexed="64"/>
      </bottom>
      <diagonal/>
    </border>
    <border>
      <left style="thin">
        <color rgb="FF44B3E1"/>
      </left>
      <right/>
      <top style="thin">
        <color rgb="FF44B3E1"/>
      </top>
      <bottom style="thin">
        <color rgb="FF61CBF3"/>
      </bottom>
      <diagonal/>
    </border>
    <border>
      <left/>
      <right/>
      <top style="thin">
        <color rgb="FF44B3E1"/>
      </top>
      <bottom style="thin">
        <color rgb="FF61CBF3"/>
      </bottom>
      <diagonal/>
    </border>
    <border>
      <left/>
      <right style="thin">
        <color rgb="FF44B3E1"/>
      </right>
      <top style="thin">
        <color rgb="FF44B3E1"/>
      </top>
      <bottom style="thin">
        <color rgb="FF61CBF3"/>
      </bottom>
      <diagonal/>
    </border>
    <border>
      <left/>
      <right/>
      <top/>
      <bottom style="thin">
        <color rgb="FF61CBF3"/>
      </bottom>
      <diagonal/>
    </border>
    <border>
      <left/>
      <right/>
      <top style="thin">
        <color rgb="FF44B3E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03">
    <xf numFmtId="0" fontId="0" fillId="0" borderId="0" xfId="0"/>
    <xf numFmtId="0" fontId="0" fillId="0" borderId="0" xfId="0" pivotButton="1"/>
    <xf numFmtId="0" fontId="0" fillId="0" borderId="0" xfId="0" applyAlignment="1">
      <alignment horizontal="left"/>
    </xf>
    <xf numFmtId="0" fontId="1" fillId="0" borderId="1" xfId="0" applyFont="1" applyBorder="1"/>
    <xf numFmtId="0" fontId="1" fillId="0" borderId="2" xfId="0" applyFont="1" applyBorder="1"/>
    <xf numFmtId="0" fontId="2" fillId="0" borderId="1" xfId="0" applyFont="1" applyBorder="1"/>
    <xf numFmtId="0" fontId="2" fillId="0" borderId="2" xfId="0" applyFont="1" applyBorder="1"/>
    <xf numFmtId="164" fontId="0" fillId="0" borderId="0" xfId="0" applyNumberFormat="1"/>
    <xf numFmtId="0" fontId="0" fillId="0" borderId="0" xfId="0" applyAlignment="1">
      <alignment horizontal="center"/>
    </xf>
    <xf numFmtId="10" fontId="0" fillId="0" borderId="0" xfId="0" applyNumberFormat="1"/>
    <xf numFmtId="0" fontId="0" fillId="0" borderId="0" xfId="0" applyAlignment="1">
      <alignment horizontal="left" indent="1"/>
    </xf>
    <xf numFmtId="1" fontId="0" fillId="0" borderId="0" xfId="0" applyNumberFormat="1"/>
    <xf numFmtId="165" fontId="0" fillId="0" borderId="0" xfId="0" applyNumberFormat="1"/>
    <xf numFmtId="0" fontId="0" fillId="2" borderId="0" xfId="0" applyFill="1"/>
    <xf numFmtId="0" fontId="3" fillId="2" borderId="0" xfId="0" applyFont="1" applyFill="1"/>
    <xf numFmtId="0" fontId="1" fillId="3" borderId="3" xfId="0" applyFont="1" applyFill="1" applyBorder="1"/>
    <xf numFmtId="0" fontId="1" fillId="3" borderId="4" xfId="0" applyFont="1" applyFill="1" applyBorder="1"/>
    <xf numFmtId="0" fontId="1" fillId="3" borderId="5" xfId="0" applyFont="1" applyFill="1" applyBorder="1"/>
    <xf numFmtId="0" fontId="2" fillId="4" borderId="3" xfId="0" applyFont="1" applyFill="1" applyBorder="1"/>
    <xf numFmtId="0" fontId="2" fillId="4" borderId="4" xfId="0" applyFont="1" applyFill="1" applyBorder="1"/>
    <xf numFmtId="0" fontId="2" fillId="4" borderId="5" xfId="0" applyFont="1" applyFill="1" applyBorder="1"/>
    <xf numFmtId="0" fontId="2" fillId="0" borderId="3" xfId="0" applyFont="1" applyBorder="1"/>
    <xf numFmtId="0" fontId="2" fillId="0" borderId="4" xfId="0" applyFont="1" applyBorder="1"/>
    <xf numFmtId="0" fontId="2" fillId="0" borderId="5" xfId="0" applyFont="1" applyBorder="1"/>
    <xf numFmtId="0" fontId="1" fillId="3" borderId="6" xfId="0" applyFont="1" applyFill="1" applyBorder="1"/>
    <xf numFmtId="0" fontId="0" fillId="0" borderId="7" xfId="0" applyBorder="1"/>
    <xf numFmtId="0" fontId="5" fillId="0" borderId="8" xfId="0" applyFont="1" applyBorder="1" applyAlignment="1">
      <alignment horizontal="center"/>
    </xf>
    <xf numFmtId="0" fontId="5" fillId="0" borderId="8" xfId="0" applyFont="1" applyBorder="1" applyAlignment="1">
      <alignment horizontal="centerContinuous"/>
    </xf>
    <xf numFmtId="0" fontId="1" fillId="5" borderId="9" xfId="0" applyFont="1" applyFill="1" applyBorder="1"/>
    <xf numFmtId="0" fontId="1" fillId="5" borderId="10" xfId="0" applyFont="1" applyFill="1" applyBorder="1"/>
    <xf numFmtId="0" fontId="1" fillId="5" borderId="11" xfId="0" applyFont="1" applyFill="1" applyBorder="1"/>
    <xf numFmtId="0" fontId="6" fillId="6" borderId="9" xfId="0" applyFont="1" applyFill="1" applyBorder="1"/>
    <xf numFmtId="0" fontId="6" fillId="6" borderId="10" xfId="0" applyFont="1" applyFill="1" applyBorder="1"/>
    <xf numFmtId="0" fontId="6" fillId="6" borderId="11" xfId="0" applyFont="1" applyFill="1" applyBorder="1"/>
    <xf numFmtId="0" fontId="6" fillId="0" borderId="9" xfId="0" applyFont="1" applyBorder="1"/>
    <xf numFmtId="0" fontId="6" fillId="0" borderId="10" xfId="0" applyFont="1" applyBorder="1"/>
    <xf numFmtId="0" fontId="6" fillId="0" borderId="11" xfId="0" applyFont="1" applyBorder="1"/>
    <xf numFmtId="0" fontId="0" fillId="7" borderId="0" xfId="0" applyFill="1"/>
    <xf numFmtId="0" fontId="1" fillId="5" borderId="12" xfId="0" applyFont="1" applyFill="1" applyBorder="1"/>
    <xf numFmtId="0" fontId="6" fillId="6" borderId="13" xfId="0" applyFont="1" applyFill="1" applyBorder="1"/>
    <xf numFmtId="0" fontId="1" fillId="0" borderId="12" xfId="0" applyFont="1" applyBorder="1"/>
    <xf numFmtId="0" fontId="6" fillId="0" borderId="13" xfId="0" applyFont="1" applyBorder="1"/>
    <xf numFmtId="0" fontId="1" fillId="0" borderId="10" xfId="0" applyFont="1" applyBorder="1"/>
    <xf numFmtId="0" fontId="0" fillId="8" borderId="0" xfId="0" applyFill="1"/>
    <xf numFmtId="0" fontId="7" fillId="0" borderId="0" xfId="0" applyFont="1"/>
    <xf numFmtId="0" fontId="0" fillId="9" borderId="0" xfId="0" applyFill="1"/>
    <xf numFmtId="0" fontId="8" fillId="9" borderId="0" xfId="0" applyFont="1" applyFill="1"/>
    <xf numFmtId="167" fontId="0" fillId="0" borderId="0" xfId="0" applyNumberFormat="1" applyAlignment="1">
      <alignment horizontal="left"/>
    </xf>
    <xf numFmtId="0" fontId="9" fillId="9" borderId="0" xfId="0" applyFont="1" applyFill="1"/>
    <xf numFmtId="0" fontId="10" fillId="9" borderId="0" xfId="0" applyFont="1" applyFill="1"/>
    <xf numFmtId="0" fontId="11" fillId="9" borderId="0" xfId="0" applyFont="1" applyFill="1"/>
    <xf numFmtId="0" fontId="12" fillId="9" borderId="0" xfId="0" applyFont="1" applyFill="1"/>
    <xf numFmtId="0" fontId="0" fillId="10" borderId="0" xfId="0" applyFill="1"/>
    <xf numFmtId="0" fontId="0" fillId="11" borderId="0" xfId="0" applyFill="1"/>
    <xf numFmtId="0" fontId="0" fillId="12" borderId="0" xfId="0" applyFill="1"/>
    <xf numFmtId="0" fontId="14" fillId="0" borderId="16" xfId="0" applyFont="1" applyBorder="1"/>
    <xf numFmtId="0" fontId="14" fillId="0" borderId="17" xfId="0" applyFont="1" applyBorder="1"/>
    <xf numFmtId="0" fontId="0" fillId="0" borderId="18" xfId="0" applyBorder="1"/>
    <xf numFmtId="0" fontId="13" fillId="0" borderId="20" xfId="0" applyFont="1" applyBorder="1" applyAlignment="1">
      <alignment horizontal="centerContinuous"/>
    </xf>
    <xf numFmtId="0" fontId="13" fillId="0" borderId="21" xfId="0" applyFont="1" applyBorder="1" applyAlignment="1">
      <alignment horizontal="centerContinuous"/>
    </xf>
    <xf numFmtId="0" fontId="0" fillId="0" borderId="16" xfId="0" applyBorder="1"/>
    <xf numFmtId="0" fontId="0" fillId="0" borderId="17" xfId="0" applyBorder="1"/>
    <xf numFmtId="0" fontId="15" fillId="13" borderId="14" xfId="0" applyFont="1" applyFill="1" applyBorder="1"/>
    <xf numFmtId="0" fontId="15" fillId="13" borderId="15" xfId="0" applyFont="1" applyFill="1" applyBorder="1"/>
    <xf numFmtId="0" fontId="8" fillId="13" borderId="14" xfId="0" applyFont="1" applyFill="1" applyBorder="1"/>
    <xf numFmtId="0" fontId="8" fillId="13" borderId="15" xfId="0" applyFont="1" applyFill="1" applyBorder="1"/>
    <xf numFmtId="0" fontId="8" fillId="13" borderId="22" xfId="0" applyFont="1" applyFill="1" applyBorder="1"/>
    <xf numFmtId="0" fontId="14" fillId="0" borderId="24" xfId="0" applyFont="1" applyBorder="1"/>
    <xf numFmtId="0" fontId="0" fillId="10" borderId="16" xfId="0" applyFill="1" applyBorder="1"/>
    <xf numFmtId="0" fontId="0" fillId="10" borderId="17" xfId="0" applyFill="1" applyBorder="1"/>
    <xf numFmtId="0" fontId="0" fillId="10" borderId="7" xfId="0" applyFill="1" applyBorder="1"/>
    <xf numFmtId="0" fontId="16" fillId="0" borderId="0" xfId="0" applyFont="1"/>
    <xf numFmtId="166" fontId="16" fillId="0" borderId="0" xfId="0" applyNumberFormat="1" applyFont="1"/>
    <xf numFmtId="166" fontId="0" fillId="10" borderId="19" xfId="0" applyNumberFormat="1" applyFill="1" applyBorder="1" applyAlignment="1">
      <alignment horizontal="center"/>
    </xf>
    <xf numFmtId="0" fontId="0" fillId="10" borderId="23" xfId="0" applyFill="1" applyBorder="1"/>
    <xf numFmtId="0" fontId="16" fillId="0" borderId="18" xfId="0" applyFont="1" applyBorder="1"/>
    <xf numFmtId="0" fontId="16" fillId="0" borderId="19" xfId="0" applyFont="1" applyBorder="1"/>
    <xf numFmtId="0" fontId="2" fillId="14" borderId="4" xfId="0" applyFont="1" applyFill="1" applyBorder="1"/>
    <xf numFmtId="0" fontId="2" fillId="7" borderId="4" xfId="0" applyFont="1" applyFill="1" applyBorder="1"/>
    <xf numFmtId="0" fontId="1" fillId="15" borderId="10" xfId="0" applyFont="1" applyFill="1" applyBorder="1"/>
    <xf numFmtId="0" fontId="6" fillId="16" borderId="10" xfId="0" applyFont="1" applyFill="1" applyBorder="1"/>
    <xf numFmtId="0" fontId="6" fillId="7" borderId="10" xfId="0" applyFont="1" applyFill="1" applyBorder="1"/>
    <xf numFmtId="0" fontId="1" fillId="15" borderId="11" xfId="0" applyFont="1" applyFill="1" applyBorder="1"/>
    <xf numFmtId="0" fontId="6" fillId="16" borderId="11" xfId="0" applyFont="1" applyFill="1" applyBorder="1"/>
    <xf numFmtId="0" fontId="6" fillId="7" borderId="11" xfId="0" applyFont="1" applyFill="1" applyBorder="1"/>
    <xf numFmtId="0" fontId="1" fillId="7" borderId="12" xfId="0" applyFont="1" applyFill="1" applyBorder="1"/>
    <xf numFmtId="0" fontId="6" fillId="7" borderId="13" xfId="0" applyFont="1" applyFill="1" applyBorder="1"/>
    <xf numFmtId="0" fontId="0" fillId="0" borderId="0" xfId="0" applyAlignment="1">
      <alignment horizontal="right"/>
    </xf>
    <xf numFmtId="0" fontId="14" fillId="0" borderId="0" xfId="0" applyFont="1" applyAlignment="1">
      <alignment horizontal="left"/>
    </xf>
    <xf numFmtId="0" fontId="16" fillId="0" borderId="0" xfId="0" applyFont="1" applyAlignment="1">
      <alignment horizontal="right"/>
    </xf>
    <xf numFmtId="0" fontId="16" fillId="0" borderId="0" xfId="0" applyFont="1" applyAlignment="1">
      <alignment horizontal="left"/>
    </xf>
    <xf numFmtId="0" fontId="17" fillId="0" borderId="0" xfId="0" applyFont="1"/>
    <xf numFmtId="0" fontId="5" fillId="10" borderId="8" xfId="0" applyFont="1" applyFill="1" applyBorder="1" applyAlignment="1">
      <alignment horizontal="centerContinuous"/>
    </xf>
    <xf numFmtId="0" fontId="5" fillId="10" borderId="8" xfId="0" applyFont="1" applyFill="1" applyBorder="1" applyAlignment="1">
      <alignment horizontal="center"/>
    </xf>
    <xf numFmtId="0" fontId="18" fillId="17" borderId="0" xfId="0" applyFont="1" applyFill="1"/>
    <xf numFmtId="0" fontId="19" fillId="17" borderId="0" xfId="0" applyFont="1" applyFill="1"/>
    <xf numFmtId="0" fontId="0" fillId="0" borderId="0" xfId="0" applyAlignment="1">
      <alignment horizontal="right" vertical="center"/>
    </xf>
    <xf numFmtId="0" fontId="21" fillId="0" borderId="0" xfId="0" applyFont="1"/>
    <xf numFmtId="0" fontId="20" fillId="0" borderId="0" xfId="0" applyFont="1" applyAlignment="1">
      <alignment horizontal="center"/>
    </xf>
    <xf numFmtId="0" fontId="25" fillId="0" borderId="0" xfId="0" applyFont="1"/>
    <xf numFmtId="0" fontId="4" fillId="0" borderId="0" xfId="0" applyFont="1" applyAlignment="1">
      <alignment horizontal="center"/>
    </xf>
    <xf numFmtId="0" fontId="16" fillId="0" borderId="0" xfId="0" applyFont="1" applyAlignment="1">
      <alignment horizontal="left" vertical="center" wrapText="1"/>
    </xf>
    <xf numFmtId="0" fontId="16" fillId="0" borderId="0" xfId="0" applyFont="1" applyAlignment="1">
      <alignment horizontal="left"/>
    </xf>
  </cellXfs>
  <cellStyles count="1">
    <cellStyle name="Bình thường" xfId="0" builtinId="0"/>
  </cellStyles>
  <dxfs count="140">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border outline="0">
        <left style="thin">
          <color rgb="FF44B3E1"/>
        </left>
      </border>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b/>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rgb="FF000000"/>
        <name val="Times New Roman"/>
        <family val="1"/>
        <scheme val="none"/>
      </font>
      <fill>
        <patternFill patternType="solid">
          <fgColor indexed="64"/>
          <bgColor theme="7"/>
        </patternFill>
      </fill>
      <border diagonalUp="0" diagonalDown="0" outline="0">
        <left/>
        <right/>
        <top style="thin">
          <color rgb="FF44B3E1"/>
        </top>
        <bottom style="thin">
          <color rgb="FF61CBF3"/>
        </bottom>
      </border>
    </dxf>
    <dxf>
      <font>
        <b val="0"/>
        <i val="0"/>
        <strike val="0"/>
        <condense val="0"/>
        <extend val="0"/>
        <outline val="0"/>
        <shadow val="0"/>
        <u val="none"/>
        <vertAlign val="baseline"/>
        <sz val="12"/>
        <color rgb="FF000000"/>
        <name val="Times New Roman"/>
        <family val="1"/>
        <scheme val="none"/>
      </font>
      <fill>
        <patternFill patternType="solid">
          <fgColor rgb="FFCAEDFB"/>
          <bgColor rgb="FFCAEDFB"/>
        </patternFill>
      </fill>
      <border diagonalUp="0" diagonalDown="0" outline="0">
        <left/>
        <right/>
        <top style="thin">
          <color rgb="FF44B3E1"/>
        </top>
        <bottom style="thin">
          <color rgb="FF61CBF3"/>
        </bottom>
      </border>
    </dxf>
    <dxf>
      <font>
        <b val="0"/>
        <i val="0"/>
        <strike val="0"/>
        <condense val="0"/>
        <extend val="0"/>
        <outline val="0"/>
        <shadow val="0"/>
        <u val="none"/>
        <vertAlign val="baseline"/>
        <sz val="12"/>
        <color rgb="FF000000"/>
        <name val="Times New Roman"/>
        <family val="1"/>
        <scheme val="none"/>
      </font>
      <fill>
        <patternFill patternType="solid">
          <fgColor rgb="FFCAEDFB"/>
          <bgColor rgb="FFCAEDFB"/>
        </patternFill>
      </fill>
      <border diagonalUp="0" diagonalDown="0">
        <left/>
        <right/>
        <top style="thin">
          <color rgb="FF44B3E1"/>
        </top>
        <bottom style="thin">
          <color rgb="FF61CBF3"/>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CAEDFB"/>
          <bgColor rgb="FFCAEDFB"/>
        </patternFill>
      </fill>
      <border diagonalUp="0" diagonalDown="0">
        <left/>
        <right/>
        <top style="thin">
          <color rgb="FF44B3E1"/>
        </top>
        <bottom style="thin">
          <color rgb="FF61CBF3"/>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CAEDFB"/>
          <bgColor rgb="FFCAEDFB"/>
        </patternFill>
      </fill>
      <border diagonalUp="0" diagonalDown="0">
        <left/>
        <right/>
        <top style="thin">
          <color rgb="FF44B3E1"/>
        </top>
        <bottom style="thin">
          <color rgb="FF61CBF3"/>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CAEDFB"/>
          <bgColor rgb="FFCAEDFB"/>
        </patternFill>
      </fill>
      <border diagonalUp="0" diagonalDown="0">
        <left/>
        <right/>
        <top style="thin">
          <color rgb="FF44B3E1"/>
        </top>
        <bottom style="thin">
          <color rgb="FF61CBF3"/>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CAEDFB"/>
          <bgColor rgb="FFCAEDFB"/>
        </patternFill>
      </fill>
      <border diagonalUp="0" diagonalDown="0">
        <left/>
        <right/>
        <top style="thin">
          <color rgb="FF44B3E1"/>
        </top>
        <bottom style="thin">
          <color rgb="FF61CBF3"/>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CAEDFB"/>
          <bgColor rgb="FFCAEDFB"/>
        </patternFill>
      </fill>
      <border diagonalUp="0" diagonalDown="0" outline="0">
        <left/>
        <right/>
        <top style="thin">
          <color rgb="FF44B3E1"/>
        </top>
        <bottom style="thin">
          <color rgb="FF61CBF3"/>
        </bottom>
      </border>
    </dxf>
    <dxf>
      <font>
        <b val="0"/>
        <i val="0"/>
        <strike val="0"/>
        <condense val="0"/>
        <extend val="0"/>
        <outline val="0"/>
        <shadow val="0"/>
        <u val="none"/>
        <vertAlign val="baseline"/>
        <sz val="12"/>
        <color rgb="FF000000"/>
        <name val="Times New Roman"/>
        <family val="1"/>
        <scheme val="none"/>
      </font>
      <fill>
        <patternFill patternType="none">
          <fgColor indexed="64"/>
          <bgColor auto="1"/>
        </patternFill>
      </fill>
      <border diagonalUp="0" diagonalDown="0" outline="0">
        <left/>
        <right/>
        <top style="thin">
          <color rgb="FF44B3E1"/>
        </top>
        <bottom style="thin">
          <color rgb="FF61CBF3"/>
        </bottom>
      </border>
    </dxf>
    <dxf>
      <font>
        <b val="0"/>
        <i val="0"/>
        <strike val="0"/>
        <condense val="0"/>
        <extend val="0"/>
        <outline val="0"/>
        <shadow val="0"/>
        <u val="none"/>
        <vertAlign val="baseline"/>
        <sz val="12"/>
        <color rgb="FF000000"/>
        <name val="Times New Roman"/>
        <family val="1"/>
        <scheme val="none"/>
      </font>
      <fill>
        <patternFill patternType="solid">
          <fgColor rgb="FFCAEDFB"/>
          <bgColor rgb="FFCAEDFB"/>
        </patternFill>
      </fill>
      <border diagonalUp="0" diagonalDown="0" outline="0">
        <left/>
        <right/>
        <top style="thin">
          <color rgb="FF44B3E1"/>
        </top>
        <bottom style="thin">
          <color rgb="FF61CBF3"/>
        </bottom>
      </border>
    </dxf>
    <dxf>
      <border outline="0">
        <top style="thin">
          <color rgb="FF44B3E1"/>
        </top>
      </border>
    </dxf>
    <dxf>
      <border outline="0">
        <bottom style="thin">
          <color rgb="FF61CBF3"/>
        </bottom>
      </border>
    </dxf>
    <dxf>
      <border outline="0">
        <left style="thin">
          <color rgb="FF44B3E1"/>
        </left>
        <right style="thin">
          <color rgb="FF44B3E1"/>
        </right>
        <top style="thin">
          <color rgb="FF44B3E1"/>
        </top>
        <bottom style="thin">
          <color rgb="FF61CBF3"/>
        </bottom>
      </border>
    </dxf>
    <dxf>
      <font>
        <b val="0"/>
        <i val="0"/>
        <strike val="0"/>
        <condense val="0"/>
        <extend val="0"/>
        <outline val="0"/>
        <shadow val="0"/>
        <u val="none"/>
        <vertAlign val="baseline"/>
        <sz val="12"/>
        <color rgb="FF000000"/>
        <name val="Times New Roman"/>
        <family val="1"/>
        <scheme val="none"/>
      </font>
      <fill>
        <patternFill patternType="solid">
          <fgColor rgb="FFCAEDFB"/>
          <bgColor rgb="FFCAEDFB"/>
        </patternFill>
      </fill>
    </dxf>
    <dxf>
      <font>
        <b/>
        <i val="0"/>
        <strike val="0"/>
        <condense val="0"/>
        <extend val="0"/>
        <outline val="0"/>
        <shadow val="0"/>
        <u val="none"/>
        <vertAlign val="baseline"/>
        <sz val="12"/>
        <color auto="1"/>
        <name val="Times New Roman"/>
        <family val="1"/>
        <scheme val="none"/>
      </font>
      <fill>
        <patternFill patternType="solid">
          <fgColor rgb="FF0F9ED5"/>
          <bgColor rgb="FF0F9ED5"/>
        </patternFill>
      </fill>
    </dxf>
    <dxf>
      <font>
        <strike val="0"/>
        <outline val="0"/>
        <shadow val="0"/>
        <u val="none"/>
        <vertAlign val="baseline"/>
        <sz val="12"/>
        <name val="Times New Roman"/>
        <family val="1"/>
        <scheme val="none"/>
      </font>
      <border diagonalUp="0" diagonalDown="0" outline="0">
        <left/>
        <right style="thin">
          <color theme="4" tint="0.39997558519241921"/>
        </right>
        <top style="thin">
          <color theme="4" tint="0.39997558519241921"/>
        </top>
        <bottom/>
      </border>
    </dxf>
    <dxf>
      <font>
        <strike val="0"/>
        <outline val="0"/>
        <shadow val="0"/>
        <u val="none"/>
        <vertAlign val="baseline"/>
        <sz val="12"/>
        <name val="Times New Roman"/>
        <family val="1"/>
        <scheme val="none"/>
      </font>
      <border diagonalUp="0" diagonalDown="0" outline="0">
        <left/>
        <right style="thin">
          <color theme="4" tint="0.39997558519241921"/>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border outline="0">
        <left style="thin">
          <color rgb="FF44B3E1"/>
        </left>
      </border>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b/>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theme="1"/>
        <name val="Times New Roman"/>
        <family val="1"/>
        <scheme val="none"/>
      </font>
      <border diagonalUp="0" diagonalDown="0">
        <left/>
        <right/>
        <top style="thin">
          <color theme="4" tint="0.39997558519241921"/>
        </top>
        <bottom style="thin">
          <color theme="7" tint="0.39997558519241921"/>
        </bottom>
        <vertical/>
        <horizontal/>
      </border>
    </dxf>
    <dxf>
      <font>
        <b val="0"/>
        <i val="0"/>
        <strike val="0"/>
        <condense val="0"/>
        <extend val="0"/>
        <outline val="0"/>
        <shadow val="0"/>
        <u val="none"/>
        <vertAlign val="baseline"/>
        <sz val="12"/>
        <color theme="1"/>
        <name val="Times New Roman"/>
        <family val="1"/>
        <scheme val="none"/>
      </font>
      <border diagonalUp="0" diagonalDown="0">
        <left/>
        <right/>
        <top style="thin">
          <color theme="4" tint="0.39997558519241921"/>
        </top>
        <bottom style="thin">
          <color theme="7" tint="0.39997558519241921"/>
        </bottom>
        <vertical/>
        <horizontal/>
      </border>
    </dxf>
    <dxf>
      <font>
        <b val="0"/>
        <i val="0"/>
        <strike val="0"/>
        <condense val="0"/>
        <extend val="0"/>
        <outline val="0"/>
        <shadow val="0"/>
        <u val="none"/>
        <vertAlign val="baseline"/>
        <sz val="12"/>
        <color theme="1"/>
        <name val="Times New Roman"/>
        <family val="1"/>
        <scheme val="none"/>
      </font>
      <border diagonalUp="0" diagonalDown="0">
        <left/>
        <right/>
        <top style="thin">
          <color theme="4" tint="0.39997558519241921"/>
        </top>
        <bottom style="thin">
          <color theme="7" tint="0.39997558519241921"/>
        </bottom>
        <vertical/>
        <horizontal/>
      </border>
    </dxf>
    <dxf>
      <font>
        <b val="0"/>
        <i val="0"/>
        <strike val="0"/>
        <condense val="0"/>
        <extend val="0"/>
        <outline val="0"/>
        <shadow val="0"/>
        <u val="none"/>
        <vertAlign val="baseline"/>
        <sz val="12"/>
        <color theme="1"/>
        <name val="Times New Roman"/>
        <family val="1"/>
        <scheme val="none"/>
      </font>
      <border diagonalUp="0" diagonalDown="0">
        <left/>
        <right/>
        <top style="thin">
          <color theme="4" tint="0.39997558519241921"/>
        </top>
        <bottom style="thin">
          <color theme="7" tint="0.39997558519241921"/>
        </bottom>
        <vertical/>
        <horizontal/>
      </border>
    </dxf>
    <dxf>
      <font>
        <b val="0"/>
        <i val="0"/>
        <strike val="0"/>
        <condense val="0"/>
        <extend val="0"/>
        <outline val="0"/>
        <shadow val="0"/>
        <u val="none"/>
        <vertAlign val="baseline"/>
        <sz val="12"/>
        <color theme="1"/>
        <name val="Times New Roman"/>
        <family val="1"/>
        <scheme val="none"/>
      </font>
      <border diagonalUp="0" diagonalDown="0">
        <left/>
        <right/>
        <top style="thin">
          <color theme="4" tint="0.39997558519241921"/>
        </top>
        <bottom style="thin">
          <color theme="7" tint="0.39997558519241921"/>
        </bottom>
        <vertical/>
        <horizontal/>
      </border>
    </dxf>
    <dxf>
      <font>
        <b val="0"/>
        <i val="0"/>
        <strike val="0"/>
        <condense val="0"/>
        <extend val="0"/>
        <outline val="0"/>
        <shadow val="0"/>
        <u val="none"/>
        <vertAlign val="baseline"/>
        <sz val="12"/>
        <color theme="1"/>
        <name val="Times New Roman"/>
        <family val="1"/>
        <scheme val="none"/>
      </font>
      <border diagonalUp="0" diagonalDown="0">
        <left/>
        <right/>
        <top style="thin">
          <color theme="4" tint="0.39997558519241921"/>
        </top>
        <bottom style="thin">
          <color theme="7" tint="0.39997558519241921"/>
        </bottom>
        <vertical/>
        <horizontal/>
      </border>
    </dxf>
    <dxf>
      <font>
        <b val="0"/>
        <i val="0"/>
        <strike val="0"/>
        <condense val="0"/>
        <extend val="0"/>
        <outline val="0"/>
        <shadow val="0"/>
        <u val="none"/>
        <vertAlign val="baseline"/>
        <sz val="12"/>
        <color theme="1"/>
        <name val="Times New Roman"/>
        <family val="1"/>
        <scheme val="none"/>
      </font>
      <border diagonalUp="0" diagonalDown="0">
        <left/>
        <right/>
        <top style="thin">
          <color theme="4" tint="0.39997558519241921"/>
        </top>
        <bottom style="thin">
          <color theme="7" tint="0.39997558519241921"/>
        </bottom>
        <vertical/>
        <horizontal/>
      </border>
    </dxf>
    <dxf>
      <font>
        <b val="0"/>
        <i val="0"/>
        <strike val="0"/>
        <condense val="0"/>
        <extend val="0"/>
        <outline val="0"/>
        <shadow val="0"/>
        <u val="none"/>
        <vertAlign val="baseline"/>
        <sz val="12"/>
        <color theme="1"/>
        <name val="Times New Roman"/>
        <family val="1"/>
        <scheme val="none"/>
      </font>
      <border diagonalUp="0" diagonalDown="0">
        <left/>
        <right/>
        <top style="thin">
          <color theme="4" tint="0.39997558519241921"/>
        </top>
        <bottom style="thin">
          <color theme="7" tint="0.39997558519241921"/>
        </bottom>
        <vertical/>
        <horizontal/>
      </border>
    </dxf>
    <dxf>
      <font>
        <b val="0"/>
        <i val="0"/>
        <strike val="0"/>
        <condense val="0"/>
        <extend val="0"/>
        <outline val="0"/>
        <shadow val="0"/>
        <u val="none"/>
        <vertAlign val="baseline"/>
        <sz val="12"/>
        <color theme="1"/>
        <name val="Times New Roman"/>
        <family val="1"/>
        <scheme val="none"/>
      </font>
      <border diagonalUp="0" diagonalDown="0">
        <left/>
        <right/>
        <top style="thin">
          <color theme="4" tint="0.39997558519241921"/>
        </top>
        <bottom style="thin">
          <color theme="7" tint="0.39997558519241921"/>
        </bottom>
        <vertical/>
        <horizontal/>
      </border>
    </dxf>
    <dxf>
      <font>
        <b val="0"/>
        <i val="0"/>
        <strike val="0"/>
        <condense val="0"/>
        <extend val="0"/>
        <outline val="0"/>
        <shadow val="0"/>
        <u val="none"/>
        <vertAlign val="baseline"/>
        <sz val="12"/>
        <color theme="1"/>
        <name val="Times New Roman"/>
        <family val="1"/>
        <scheme val="none"/>
      </font>
      <border diagonalUp="0" diagonalDown="0">
        <left/>
        <right/>
        <top style="thin">
          <color theme="4" tint="0.39997558519241921"/>
        </top>
        <bottom style="thin">
          <color theme="7" tint="0.39997558519241921"/>
        </bottom>
        <vertical/>
        <horizontal/>
      </border>
    </dxf>
    <dxf>
      <border outline="0">
        <top style="thin">
          <color theme="4" tint="0.39997558519241921"/>
        </top>
      </border>
    </dxf>
    <dxf>
      <border outline="0">
        <bottom style="thin">
          <color theme="7" tint="0.39997558519241921"/>
        </bottom>
      </border>
    </dxf>
    <dxf>
      <border outline="0">
        <left style="thin">
          <color rgb="FF44B3E1"/>
        </left>
        <right style="thin">
          <color theme="4" tint="0.39997558519241921"/>
        </right>
        <top style="thin">
          <color theme="4" tint="0.39997558519241921"/>
        </top>
        <bottom style="thin">
          <color theme="7" tint="0.39997558519241921"/>
        </bottom>
      </border>
    </dxf>
    <dxf>
      <font>
        <b val="0"/>
        <i val="0"/>
        <strike val="0"/>
        <condense val="0"/>
        <extend val="0"/>
        <outline val="0"/>
        <shadow val="0"/>
        <u val="none"/>
        <vertAlign val="baseline"/>
        <sz val="12"/>
        <color theme="1"/>
        <name val="Times New Roman"/>
        <family val="1"/>
        <scheme val="none"/>
      </font>
    </dxf>
    <dxf>
      <font>
        <b/>
        <i val="0"/>
        <strike val="0"/>
        <condense val="0"/>
        <extend val="0"/>
        <outline val="0"/>
        <shadow val="0"/>
        <u val="none"/>
        <vertAlign val="baseline"/>
        <sz val="12"/>
        <color auto="1"/>
        <name val="Times New Roman"/>
        <family val="1"/>
        <scheme val="none"/>
      </font>
      <fill>
        <patternFill patternType="solid">
          <fgColor theme="7"/>
          <bgColor theme="7"/>
        </patternFill>
      </fill>
    </dxf>
    <dxf>
      <font>
        <strike val="0"/>
        <outline val="0"/>
        <shadow val="0"/>
        <u val="none"/>
        <vertAlign val="baseline"/>
        <sz val="12"/>
        <name val="Times New Roman"/>
        <family val="1"/>
        <scheme val="none"/>
      </font>
      <border diagonalUp="0" diagonalDown="0" outline="0">
        <left/>
        <right style="thin">
          <color theme="4" tint="0.39997558519241921"/>
        </right>
        <top style="thin">
          <color theme="4" tint="0.39997558519241921"/>
        </top>
        <bottom/>
      </border>
    </dxf>
    <dxf>
      <font>
        <strike val="0"/>
        <outline val="0"/>
        <shadow val="0"/>
        <u val="none"/>
        <vertAlign val="baseline"/>
        <sz val="12"/>
        <name val="Times New Roman"/>
        <family val="1"/>
        <scheme val="none"/>
      </font>
      <border diagonalUp="0" diagonalDown="0" outline="0">
        <left/>
        <right style="thin">
          <color theme="4" tint="0.39997558519241921"/>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border outline="0">
        <left style="thin">
          <color rgb="FF44B3E1"/>
        </left>
      </border>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b/>
        <i val="0"/>
        <strike val="0"/>
        <condense val="0"/>
        <extend val="0"/>
        <outline val="0"/>
        <shadow val="0"/>
        <u val="none"/>
        <vertAlign val="baseline"/>
        <sz val="12"/>
        <color auto="1"/>
        <name val="Times New Roman"/>
        <family val="1"/>
        <scheme val="none"/>
      </font>
    </dxf>
    <dxf>
      <font>
        <strike val="0"/>
        <outline val="0"/>
        <shadow val="0"/>
        <u val="none"/>
        <vertAlign val="baseline"/>
        <sz val="12"/>
        <name val="Times New Roman"/>
        <family val="1"/>
        <scheme val="none"/>
      </font>
      <border diagonalUp="0" diagonalDown="0" outline="0">
        <left/>
        <right style="thin">
          <color theme="4" tint="0.39997558519241921"/>
        </right>
        <top style="thin">
          <color theme="4" tint="0.39997558519241921"/>
        </top>
        <bottom/>
      </border>
    </dxf>
    <dxf>
      <font>
        <strike val="0"/>
        <outline val="0"/>
        <shadow val="0"/>
        <u val="none"/>
        <vertAlign val="baseline"/>
        <sz val="12"/>
        <name val="Times New Roman"/>
        <family val="1"/>
        <scheme val="none"/>
      </font>
      <border diagonalUp="0" diagonalDown="0" outline="0">
        <left/>
        <right style="thin">
          <color theme="4" tint="0.39997558519241921"/>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border outline="0">
        <left style="thin">
          <color rgb="FF44B3E1"/>
        </left>
      </border>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b/>
        <i val="0"/>
        <strike val="0"/>
        <condense val="0"/>
        <extend val="0"/>
        <outline val="0"/>
        <shadow val="0"/>
        <u val="none"/>
        <vertAlign val="baseline"/>
        <sz val="12"/>
        <color auto="1"/>
        <name val="Times New Roman"/>
        <family val="1"/>
        <scheme val="none"/>
      </font>
    </dxf>
    <dxf>
      <font>
        <strike val="0"/>
        <outline val="0"/>
        <shadow val="0"/>
        <u val="none"/>
        <vertAlign val="baseline"/>
        <sz val="12"/>
        <name val="Times New Roman"/>
        <family val="1"/>
        <scheme val="none"/>
      </font>
      <border diagonalUp="0" diagonalDown="0" outline="0">
        <left/>
        <right style="thin">
          <color theme="4" tint="0.39997558519241921"/>
        </right>
        <top style="thin">
          <color theme="4" tint="0.39997558519241921"/>
        </top>
        <bottom/>
      </border>
    </dxf>
    <dxf>
      <font>
        <strike val="0"/>
        <outline val="0"/>
        <shadow val="0"/>
        <u val="none"/>
        <vertAlign val="baseline"/>
        <sz val="12"/>
        <name val="Times New Roman"/>
        <family val="1"/>
        <scheme val="none"/>
      </font>
      <border diagonalUp="0" diagonalDown="0" outline="0">
        <left/>
        <right style="thin">
          <color theme="4" tint="0.39997558519241921"/>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font>
        <strike val="0"/>
        <outline val="0"/>
        <shadow val="0"/>
        <u val="none"/>
        <vertAlign val="baseline"/>
        <sz val="12"/>
        <name val="Times New Roman"/>
        <family val="1"/>
        <scheme val="none"/>
      </font>
      <border diagonalUp="0" diagonalDown="0" outline="0">
        <left/>
        <right/>
        <top style="thin">
          <color theme="4" tint="0.39997558519241921"/>
        </top>
        <bottom/>
      </border>
    </dxf>
    <dxf>
      <border outline="0">
        <left style="thin">
          <color theme="4" tint="0.39997558519241921"/>
        </left>
      </border>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b/>
        <i val="0"/>
        <strike val="0"/>
        <condense val="0"/>
        <extend val="0"/>
        <outline val="0"/>
        <shadow val="0"/>
        <u val="none"/>
        <vertAlign val="baseline"/>
        <sz val="12"/>
        <color auto="1"/>
        <name val="Times New Roman"/>
        <family val="1"/>
        <scheme val="none"/>
      </font>
    </dxf>
    <dxf>
      <numFmt numFmtId="165" formatCode="_([$$-409]* #,##0_);_([$$-409]* \(#,##0\);_([$$-409]* &quot;-&quot;??_);_(@_)"/>
    </dxf>
    <dxf>
      <numFmt numFmtId="1" formatCode="0"/>
    </dxf>
    <dxf>
      <numFmt numFmtId="1" formatCode="0"/>
    </dxf>
    <dxf>
      <numFmt numFmtId="164" formatCode="0.0%"/>
    </dxf>
    <dxf>
      <numFmt numFmtId="1" formatCode="0"/>
    </dxf>
    <dxf>
      <numFmt numFmtId="167" formatCode="&quot;₫&quot;#,##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pivotSource>
    <c:name>[Huyen Trang - Excel file.xlsx]TASK 2!PivotTable5</c:name>
    <c:fmtId val="0"/>
  </c:pivotSource>
  <c:chart>
    <c:title>
      <c:tx>
        <c:rich>
          <a:bodyPr rot="0" spcFirstLastPara="1" vertOverflow="ellipsis" vert="horz" wrap="square" anchor="ctr" anchorCtr="1"/>
          <a:lstStyle/>
          <a:p>
            <a:pPr>
              <a:defRPr sz="1600" b="1" i="0" u="none" strike="noStrike" kern="1200" spc="0" baseline="0">
                <a:solidFill>
                  <a:schemeClr val="accent4">
                    <a:lumMod val="75000"/>
                  </a:schemeClr>
                </a:solidFill>
                <a:latin typeface="Times New Roman" panose="02020603050405020304" pitchFamily="18" charset="0"/>
                <a:ea typeface="+mn-ea"/>
                <a:cs typeface="Times New Roman" panose="02020603050405020304" pitchFamily="18" charset="0"/>
              </a:defRPr>
            </a:pPr>
            <a:r>
              <a:rPr lang="en-US" sz="1600" b="1">
                <a:solidFill>
                  <a:schemeClr val="accent4">
                    <a:lumMod val="75000"/>
                  </a:schemeClr>
                </a:solidFill>
              </a:rPr>
              <a:t>FREQUENCY DISTRIBUTION OF GENDER</a:t>
            </a:r>
          </a:p>
        </c:rich>
      </c:tx>
      <c:overlay val="0"/>
      <c:spPr>
        <a:solidFill>
          <a:schemeClr val="bg1"/>
        </a:solidFill>
        <a:ln w="31750">
          <a:solidFill>
            <a:schemeClr val="bg1"/>
          </a:solidFill>
        </a:ln>
        <a:effectLst/>
      </c:spPr>
      <c:txPr>
        <a:bodyPr rot="0" spcFirstLastPara="1" vertOverflow="ellipsis" vert="horz" wrap="square" anchor="ctr" anchorCtr="1"/>
        <a:lstStyle/>
        <a:p>
          <a:pPr>
            <a:defRPr sz="1600" b="1" i="0" u="none" strike="noStrike" kern="1200" spc="0" baseline="0">
              <a:solidFill>
                <a:schemeClr val="accent4">
                  <a:lumMod val="75000"/>
                </a:schemeClr>
              </a:solidFill>
              <a:latin typeface="Times New Roman" panose="02020603050405020304" pitchFamily="18" charset="0"/>
              <a:ea typeface="+mn-ea"/>
              <a:cs typeface="Times New Roman" panose="02020603050405020304" pitchFamily="18" charset="0"/>
            </a:defRPr>
          </a:pPr>
          <a:endParaRPr lang="en-V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Times New Roman" panose="02020603050405020304" pitchFamily="18" charset="0"/>
                  <a:ea typeface="+mn-ea"/>
                  <a:cs typeface="Times New Roman" panose="02020603050405020304" pitchFamily="18" charset="0"/>
                </a:defRPr>
              </a:pPr>
              <a:endParaRPr lang="en-VN"/>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pivotFmt>
      <c:pivotFmt>
        <c:idx val="2"/>
        <c:spPr>
          <a:solidFill>
            <a:schemeClr val="accent1">
              <a:lumMod val="60000"/>
              <a:lumOff val="40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Times New Roman" panose="02020603050405020304" pitchFamily="18" charset="0"/>
                  <a:ea typeface="+mn-ea"/>
                  <a:cs typeface="Times New Roman" panose="02020603050405020304" pitchFamily="18" charset="0"/>
                </a:defRPr>
              </a:pPr>
              <a:endParaRPr lang="en-VN"/>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Times New Roman" panose="02020603050405020304" pitchFamily="18" charset="0"/>
                  <a:ea typeface="+mn-ea"/>
                  <a:cs typeface="Times New Roman" panose="02020603050405020304" pitchFamily="18" charset="0"/>
                </a:defRPr>
              </a:pPr>
              <a:endParaRPr lang="en-VN"/>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schemeClr>
          </a:solidFill>
          <a:ln>
            <a:noFill/>
          </a:ln>
          <a:effectLst/>
        </c:spPr>
      </c:pivotFmt>
      <c:pivotFmt>
        <c:idx val="8"/>
        <c:spPr>
          <a:solidFill>
            <a:schemeClr val="accent1">
              <a:lumMod val="60000"/>
              <a:lumOff val="40000"/>
            </a:schemeClr>
          </a:solidFill>
          <a:ln>
            <a:noFill/>
          </a:ln>
          <a:effectLst/>
        </c:spPr>
      </c:pivotFmt>
    </c:pivotFmts>
    <c:plotArea>
      <c:layout/>
      <c:barChart>
        <c:barDir val="col"/>
        <c:grouping val="clustered"/>
        <c:varyColors val="0"/>
        <c:ser>
          <c:idx val="0"/>
          <c:order val="0"/>
          <c:tx>
            <c:strRef>
              <c:f>'TASK 2'!$M$4</c:f>
              <c:strCache>
                <c:ptCount val="1"/>
                <c:pt idx="0">
                  <c:v>Tổng</c:v>
                </c:pt>
              </c:strCache>
            </c:strRef>
          </c:tx>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8-A31E-B742-A494-13AAD17672E4}"/>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9-A31E-B742-A494-13AAD17672E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Times New Roman" panose="02020603050405020304" pitchFamily="18" charset="0"/>
                    <a:ea typeface="+mn-ea"/>
                    <a:cs typeface="Times New Roman" panose="02020603050405020304" pitchFamily="18" charset="0"/>
                  </a:defRPr>
                </a:pPr>
                <a:endParaRPr lang="en-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2'!$L$5:$L$7</c:f>
              <c:strCache>
                <c:ptCount val="2"/>
                <c:pt idx="0">
                  <c:v>Female</c:v>
                </c:pt>
                <c:pt idx="1">
                  <c:v>Male</c:v>
                </c:pt>
              </c:strCache>
            </c:strRef>
          </c:cat>
          <c:val>
            <c:numRef>
              <c:f>'TASK 2'!$M$5:$M$7</c:f>
              <c:numCache>
                <c:formatCode>General</c:formatCode>
                <c:ptCount val="2"/>
                <c:pt idx="0">
                  <c:v>491</c:v>
                </c:pt>
                <c:pt idx="1">
                  <c:v>509</c:v>
                </c:pt>
              </c:numCache>
            </c:numRef>
          </c:val>
          <c:extLst>
            <c:ext xmlns:c16="http://schemas.microsoft.com/office/drawing/2014/chart" uri="{C3380CC4-5D6E-409C-BE32-E72D297353CC}">
              <c16:uniqueId val="{00000000-A31E-B742-A494-13AAD17672E4}"/>
            </c:ext>
          </c:extLst>
        </c:ser>
        <c:dLbls>
          <c:showLegendKey val="0"/>
          <c:showVal val="0"/>
          <c:showCatName val="0"/>
          <c:showSerName val="0"/>
          <c:showPercent val="0"/>
          <c:showBubbleSize val="0"/>
        </c:dLbls>
        <c:gapWidth val="0"/>
        <c:overlap val="-27"/>
        <c:axId val="453362303"/>
        <c:axId val="241893807"/>
      </c:barChart>
      <c:catAx>
        <c:axId val="453362303"/>
        <c:scaling>
          <c:orientation val="minMax"/>
        </c:scaling>
        <c:delete val="0"/>
        <c:axPos val="b"/>
        <c:title>
          <c:tx>
            <c:rich>
              <a:bodyPr rot="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r>
                  <a:rPr lang="en-GB" i="1">
                    <a:solidFill>
                      <a:schemeClr val="accent1">
                        <a:lumMod val="60000"/>
                        <a:lumOff val="40000"/>
                      </a:schemeClr>
                    </a:solidFill>
                  </a:rPr>
                  <a:t>Gender</a:t>
                </a:r>
              </a:p>
            </c:rich>
          </c:tx>
          <c:overlay val="0"/>
          <c:spPr>
            <a:noFill/>
            <a:ln>
              <a:noFill/>
            </a:ln>
            <a:effectLst/>
          </c:spPr>
          <c:txPr>
            <a:bodyPr rot="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1" u="none" strike="noStrike" kern="1200" baseline="0">
                <a:solidFill>
                  <a:schemeClr val="accent4">
                    <a:lumMod val="75000"/>
                  </a:schemeClr>
                </a:solidFill>
                <a:latin typeface="Times New Roman" panose="02020603050405020304" pitchFamily="18" charset="0"/>
                <a:ea typeface="+mn-ea"/>
                <a:cs typeface="Times New Roman" panose="02020603050405020304" pitchFamily="18" charset="0"/>
              </a:defRPr>
            </a:pPr>
            <a:endParaRPr lang="en-VN"/>
          </a:p>
        </c:txPr>
        <c:crossAx val="241893807"/>
        <c:crosses val="autoZero"/>
        <c:auto val="1"/>
        <c:lblAlgn val="ctr"/>
        <c:lblOffset val="100"/>
        <c:noMultiLvlLbl val="0"/>
      </c:catAx>
      <c:valAx>
        <c:axId val="241893807"/>
        <c:scaling>
          <c:orientation val="minMax"/>
          <c:min val="0"/>
        </c:scaling>
        <c:delete val="0"/>
        <c:axPos val="l"/>
        <c:title>
          <c:tx>
            <c:rich>
              <a:bodyPr rot="-540000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r>
                  <a:rPr lang="en-GB" b="0" i="1">
                    <a:solidFill>
                      <a:schemeClr val="accent1">
                        <a:lumMod val="60000"/>
                        <a:lumOff val="40000"/>
                      </a:schemeClr>
                    </a:solidFill>
                  </a:rPr>
                  <a:t>Number of</a:t>
                </a:r>
                <a:r>
                  <a:rPr lang="en-GB" b="0" i="1" baseline="0">
                    <a:solidFill>
                      <a:schemeClr val="accent1">
                        <a:lumMod val="60000"/>
                        <a:lumOff val="40000"/>
                      </a:schemeClr>
                    </a:solidFill>
                  </a:rPr>
                  <a:t> observations</a:t>
                </a:r>
                <a:endParaRPr lang="en-GB" b="0" i="1">
                  <a:solidFill>
                    <a:schemeClr val="accent1">
                      <a:lumMod val="60000"/>
                      <a:lumOff val="40000"/>
                    </a:schemeClr>
                  </a:solidFill>
                </a:endParaRPr>
              </a:p>
            </c:rich>
          </c:tx>
          <c:layout>
            <c:manualLayout>
              <c:xMode val="edge"/>
              <c:yMode val="edge"/>
              <c:x val="3.0260659734369026E-2"/>
              <c:y val="0.26649038562889293"/>
            </c:manualLayout>
          </c:layout>
          <c:overlay val="0"/>
          <c:spPr>
            <a:noFill/>
            <a:ln>
              <a:noFill/>
            </a:ln>
            <a:effectLst/>
          </c:spPr>
          <c:txPr>
            <a:bodyPr rot="-540000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VN"/>
          </a:p>
        </c:txPr>
        <c:crossAx val="4533623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accent4">
                  <a:lumMod val="75000"/>
                </a:schemeClr>
              </a:solidFill>
              <a:latin typeface="Times New Roman" panose="02020603050405020304" pitchFamily="18" charset="0"/>
              <a:ea typeface="+mn-ea"/>
              <a:cs typeface="Times New Roman" panose="02020603050405020304" pitchFamily="18" charset="0"/>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pivotSource>
    <c:name>[Huyen Trang - Excel file.xlsx]TASK 2!PivotTable6</c:name>
    <c:fmtId val="0"/>
  </c:pivotSource>
  <c:chart>
    <c:title>
      <c:tx>
        <c:rich>
          <a:bodyPr rot="0" spcFirstLastPara="1" vertOverflow="ellipsis" vert="horz" wrap="square" anchor="ctr" anchorCtr="1"/>
          <a:lstStyle/>
          <a:p>
            <a:pPr>
              <a:defRPr sz="1600" b="1" i="0" u="none" strike="noStrike" kern="1200" spc="0" baseline="0">
                <a:solidFill>
                  <a:schemeClr val="accent4">
                    <a:lumMod val="75000"/>
                  </a:schemeClr>
                </a:solidFill>
                <a:latin typeface="Times New Roman" panose="02020603050405020304" pitchFamily="18" charset="0"/>
                <a:ea typeface="+mn-ea"/>
                <a:cs typeface="Times New Roman" panose="02020603050405020304" pitchFamily="18" charset="0"/>
              </a:defRPr>
            </a:pPr>
            <a:r>
              <a:rPr lang="en-US" sz="1600" b="1">
                <a:solidFill>
                  <a:schemeClr val="accent4">
                    <a:lumMod val="75000"/>
                  </a:schemeClr>
                </a:solidFill>
              </a:rPr>
              <a:t>FREQUENCY DISTRIBUTION OF AGE RANGE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4">
                  <a:lumMod val="75000"/>
                </a:schemeClr>
              </a:solidFill>
              <a:latin typeface="Times New Roman" panose="02020603050405020304" pitchFamily="18" charset="0"/>
              <a:ea typeface="+mn-ea"/>
              <a:cs typeface="Times New Roman" panose="02020603050405020304" pitchFamily="18" charset="0"/>
            </a:defRPr>
          </a:pPr>
          <a:endParaRPr lang="en-VN"/>
        </a:p>
      </c:txPr>
    </c:title>
    <c:autoTitleDeleted val="0"/>
    <c:pivotFmts>
      <c:pivotFmt>
        <c:idx val="0"/>
        <c:spPr>
          <a:solidFill>
            <a:schemeClr val="accent4">
              <a:lumMod val="60000"/>
              <a:lumOff val="40000"/>
              <a:alpha val="85000"/>
            </a:schemeClr>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2'!$M$17</c:f>
              <c:strCache>
                <c:ptCount val="1"/>
                <c:pt idx="0">
                  <c:v>Tổng</c:v>
                </c:pt>
              </c:strCache>
            </c:strRef>
          </c:tx>
          <c:spPr>
            <a:solidFill>
              <a:schemeClr val="accent4">
                <a:lumMod val="60000"/>
                <a:lumOff val="40000"/>
                <a:alpha val="85000"/>
              </a:schemeClr>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2'!$L$18:$L$30</c:f>
              <c:strCache>
                <c:ptCount val="12"/>
                <c:pt idx="0">
                  <c:v>under 20</c:v>
                </c:pt>
                <c:pt idx="1">
                  <c:v>20 to 24</c:v>
                </c:pt>
                <c:pt idx="2">
                  <c:v>25 to 29</c:v>
                </c:pt>
                <c:pt idx="3">
                  <c:v>30 to 34</c:v>
                </c:pt>
                <c:pt idx="4">
                  <c:v>35 to 39</c:v>
                </c:pt>
                <c:pt idx="5">
                  <c:v>40 to 44</c:v>
                </c:pt>
                <c:pt idx="6">
                  <c:v>45 to 49</c:v>
                </c:pt>
                <c:pt idx="7">
                  <c:v>50 to 54</c:v>
                </c:pt>
                <c:pt idx="8">
                  <c:v>55 to 59</c:v>
                </c:pt>
                <c:pt idx="9">
                  <c:v>60 to 64</c:v>
                </c:pt>
                <c:pt idx="10">
                  <c:v>65 to 69</c:v>
                </c:pt>
                <c:pt idx="11">
                  <c:v>70 and over</c:v>
                </c:pt>
              </c:strCache>
            </c:strRef>
          </c:cat>
          <c:val>
            <c:numRef>
              <c:f>'TASK 2'!$M$18:$M$30</c:f>
              <c:numCache>
                <c:formatCode>General</c:formatCode>
                <c:ptCount val="12"/>
                <c:pt idx="0">
                  <c:v>25</c:v>
                </c:pt>
                <c:pt idx="1">
                  <c:v>99</c:v>
                </c:pt>
                <c:pt idx="2">
                  <c:v>107</c:v>
                </c:pt>
                <c:pt idx="3">
                  <c:v>99</c:v>
                </c:pt>
                <c:pt idx="4">
                  <c:v>85</c:v>
                </c:pt>
                <c:pt idx="5">
                  <c:v>108</c:v>
                </c:pt>
                <c:pt idx="6">
                  <c:v>108</c:v>
                </c:pt>
                <c:pt idx="7">
                  <c:v>110</c:v>
                </c:pt>
                <c:pt idx="8">
                  <c:v>83</c:v>
                </c:pt>
                <c:pt idx="9">
                  <c:v>75</c:v>
                </c:pt>
                <c:pt idx="10">
                  <c:v>38</c:v>
                </c:pt>
                <c:pt idx="11">
                  <c:v>63</c:v>
                </c:pt>
              </c:numCache>
            </c:numRef>
          </c:val>
          <c:extLst>
            <c:ext xmlns:c16="http://schemas.microsoft.com/office/drawing/2014/chart" uri="{C3380CC4-5D6E-409C-BE32-E72D297353CC}">
              <c16:uniqueId val="{00000000-E81B-D549-B02F-C03D1F51D37B}"/>
            </c:ext>
          </c:extLst>
        </c:ser>
        <c:dLbls>
          <c:showLegendKey val="0"/>
          <c:showVal val="0"/>
          <c:showCatName val="0"/>
          <c:showSerName val="0"/>
          <c:showPercent val="0"/>
          <c:showBubbleSize val="0"/>
        </c:dLbls>
        <c:gapWidth val="0"/>
        <c:overlap val="-27"/>
        <c:axId val="1223944159"/>
        <c:axId val="734810575"/>
      </c:barChart>
      <c:catAx>
        <c:axId val="1223944159"/>
        <c:scaling>
          <c:orientation val="minMax"/>
        </c:scaling>
        <c:delete val="0"/>
        <c:axPos val="b"/>
        <c:title>
          <c:tx>
            <c:rich>
              <a:bodyPr rot="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r>
                  <a:rPr lang="en-GB" i="1">
                    <a:solidFill>
                      <a:schemeClr val="accent1">
                        <a:lumMod val="60000"/>
                        <a:lumOff val="40000"/>
                      </a:schemeClr>
                    </a:solidFill>
                  </a:rPr>
                  <a:t>Age Ranges</a:t>
                </a:r>
              </a:p>
            </c:rich>
          </c:tx>
          <c:overlay val="0"/>
          <c:spPr>
            <a:noFill/>
            <a:ln>
              <a:noFill/>
            </a:ln>
            <a:effectLst/>
          </c:spPr>
          <c:txPr>
            <a:bodyPr rot="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280000" spcFirstLastPara="1" vertOverflow="ellipsis" wrap="square" anchor="t" anchorCtr="1"/>
          <a:lstStyle/>
          <a:p>
            <a:pPr>
              <a:defRPr sz="900" b="0" i="0" u="none" strike="noStrike" kern="1200" baseline="0">
                <a:solidFill>
                  <a:schemeClr val="tx2">
                    <a:lumMod val="90000"/>
                    <a:lumOff val="10000"/>
                  </a:schemeClr>
                </a:solidFill>
                <a:latin typeface="Times New Roman" panose="02020603050405020304" pitchFamily="18" charset="0"/>
                <a:ea typeface="+mn-ea"/>
                <a:cs typeface="Times New Roman" panose="02020603050405020304" pitchFamily="18" charset="0"/>
              </a:defRPr>
            </a:pPr>
            <a:endParaRPr lang="en-VN"/>
          </a:p>
        </c:txPr>
        <c:crossAx val="734810575"/>
        <c:crosses val="autoZero"/>
        <c:auto val="1"/>
        <c:lblAlgn val="ctr"/>
        <c:lblOffset val="100"/>
        <c:noMultiLvlLbl val="0"/>
      </c:catAx>
      <c:valAx>
        <c:axId val="734810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r>
                  <a:rPr lang="en-GB" i="1">
                    <a:solidFill>
                      <a:schemeClr val="accent1">
                        <a:lumMod val="60000"/>
                        <a:lumOff val="40000"/>
                      </a:schemeClr>
                    </a:solidFill>
                  </a:rPr>
                  <a:t>Number of observations</a:t>
                </a:r>
              </a:p>
            </c:rich>
          </c:tx>
          <c:overlay val="0"/>
          <c:spPr>
            <a:noFill/>
            <a:ln>
              <a:noFill/>
            </a:ln>
            <a:effectLst/>
          </c:spPr>
          <c:txPr>
            <a:bodyPr rot="-540000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VN"/>
          </a:p>
        </c:txPr>
        <c:crossAx val="12239441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pivotSource>
    <c:name>[Huyen Trang - Excel file.xlsx]TASK 2!PivotTable1</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i="0" u="none" strike="noStrike" kern="1200" spc="0" baseline="0">
                <a:solidFill>
                  <a:schemeClr val="accent4">
                    <a:lumMod val="75000"/>
                  </a:schemeClr>
                </a:solidFill>
                <a:latin typeface="Times New Roman" panose="02020603050405020304" pitchFamily="18" charset="0"/>
                <a:cs typeface="Times New Roman" panose="02020603050405020304" pitchFamily="18" charset="0"/>
              </a:rPr>
              <a:t>FREQUENCY DISTRIBUTION OF OCCUPATION CODE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VN"/>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2'!$M$34</c:f>
              <c:strCache>
                <c:ptCount val="1"/>
                <c:pt idx="0">
                  <c:v>Tổng</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2'!$L$35:$L$45</c:f>
              <c:strCache>
                <c:ptCount val="10"/>
                <c:pt idx="0">
                  <c:v>Clerical and Administrative Workers</c:v>
                </c:pt>
                <c:pt idx="1">
                  <c:v>Community and Personal Service Workers</c:v>
                </c:pt>
                <c:pt idx="2">
                  <c:v>Consultants, apprentices and type not specified or not listed</c:v>
                </c:pt>
                <c:pt idx="3">
                  <c:v>Labourers</c:v>
                </c:pt>
                <c:pt idx="4">
                  <c:v>Machinery operators and drivers</c:v>
                </c:pt>
                <c:pt idx="5">
                  <c:v>Managers</c:v>
                </c:pt>
                <c:pt idx="6">
                  <c:v>Occupation not listed/ Occupation not specified</c:v>
                </c:pt>
                <c:pt idx="7">
                  <c:v>Professionals</c:v>
                </c:pt>
                <c:pt idx="8">
                  <c:v>Sales workers</c:v>
                </c:pt>
                <c:pt idx="9">
                  <c:v>Technicians and Trades Workers</c:v>
                </c:pt>
              </c:strCache>
            </c:strRef>
          </c:cat>
          <c:val>
            <c:numRef>
              <c:f>'TASK 2'!$M$35:$M$45</c:f>
              <c:numCache>
                <c:formatCode>General</c:formatCode>
                <c:ptCount val="10"/>
                <c:pt idx="0">
                  <c:v>124</c:v>
                </c:pt>
                <c:pt idx="1">
                  <c:v>81</c:v>
                </c:pt>
                <c:pt idx="2">
                  <c:v>60</c:v>
                </c:pt>
                <c:pt idx="3">
                  <c:v>68</c:v>
                </c:pt>
                <c:pt idx="4">
                  <c:v>51</c:v>
                </c:pt>
                <c:pt idx="5">
                  <c:v>110</c:v>
                </c:pt>
                <c:pt idx="6">
                  <c:v>193</c:v>
                </c:pt>
                <c:pt idx="7">
                  <c:v>162</c:v>
                </c:pt>
                <c:pt idx="8">
                  <c:v>57</c:v>
                </c:pt>
                <c:pt idx="9">
                  <c:v>94</c:v>
                </c:pt>
              </c:numCache>
            </c:numRef>
          </c:val>
          <c:extLst>
            <c:ext xmlns:c16="http://schemas.microsoft.com/office/drawing/2014/chart" uri="{C3380CC4-5D6E-409C-BE32-E72D297353CC}">
              <c16:uniqueId val="{00000000-66FB-0A44-83A7-CB095A3D1DA4}"/>
            </c:ext>
          </c:extLst>
        </c:ser>
        <c:dLbls>
          <c:showLegendKey val="0"/>
          <c:showVal val="0"/>
          <c:showCatName val="0"/>
          <c:showSerName val="0"/>
          <c:showPercent val="0"/>
          <c:showBubbleSize val="0"/>
        </c:dLbls>
        <c:gapWidth val="5"/>
        <c:axId val="1686256400"/>
        <c:axId val="379680495"/>
      </c:barChart>
      <c:catAx>
        <c:axId val="1686256400"/>
        <c:scaling>
          <c:orientation val="minMax"/>
        </c:scaling>
        <c:delete val="0"/>
        <c:axPos val="l"/>
        <c:title>
          <c:tx>
            <c:rich>
              <a:bodyPr rot="-540000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r>
                  <a:rPr lang="en-US" i="1">
                    <a:solidFill>
                      <a:schemeClr val="accent1">
                        <a:lumMod val="60000"/>
                        <a:lumOff val="40000"/>
                      </a:schemeClr>
                    </a:solidFill>
                  </a:rPr>
                  <a:t>Occupation</a:t>
                </a:r>
                <a:r>
                  <a:rPr lang="en-US" i="1" baseline="0">
                    <a:solidFill>
                      <a:schemeClr val="accent1">
                        <a:lumMod val="60000"/>
                        <a:lumOff val="40000"/>
                      </a:schemeClr>
                    </a:solidFill>
                  </a:rPr>
                  <a:t> Code</a:t>
                </a:r>
                <a:endParaRPr lang="en-US" i="1">
                  <a:solidFill>
                    <a:schemeClr val="accent1">
                      <a:lumMod val="60000"/>
                      <a:lumOff val="40000"/>
                    </a:schemeClr>
                  </a:solidFill>
                </a:endParaRPr>
              </a:p>
            </c:rich>
          </c:tx>
          <c:overlay val="0"/>
          <c:spPr>
            <a:noFill/>
            <a:ln>
              <a:noFill/>
            </a:ln>
            <a:effectLst/>
          </c:spPr>
          <c:txPr>
            <a:bodyPr rot="-540000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1">
                    <a:lumMod val="75000"/>
                  </a:schemeClr>
                </a:solidFill>
                <a:latin typeface="Times New Roman" panose="02020603050405020304" pitchFamily="18" charset="0"/>
                <a:ea typeface="+mn-ea"/>
                <a:cs typeface="Times New Roman" panose="02020603050405020304" pitchFamily="18" charset="0"/>
              </a:defRPr>
            </a:pPr>
            <a:endParaRPr lang="en-VN"/>
          </a:p>
        </c:txPr>
        <c:crossAx val="379680495"/>
        <c:crosses val="autoZero"/>
        <c:auto val="1"/>
        <c:lblAlgn val="ctr"/>
        <c:lblOffset val="100"/>
        <c:noMultiLvlLbl val="0"/>
      </c:catAx>
      <c:valAx>
        <c:axId val="379680495"/>
        <c:scaling>
          <c:orientation val="minMax"/>
          <c:max val="2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r>
                  <a:rPr lang="en-GB" i="1">
                    <a:solidFill>
                      <a:schemeClr val="accent1">
                        <a:lumMod val="60000"/>
                        <a:lumOff val="40000"/>
                      </a:schemeClr>
                    </a:solidFill>
                  </a:rPr>
                  <a:t>Number of observations</a:t>
                </a:r>
              </a:p>
            </c:rich>
          </c:tx>
          <c:overlay val="0"/>
          <c:spPr>
            <a:noFill/>
            <a:ln>
              <a:noFill/>
            </a:ln>
            <a:effectLst/>
          </c:spPr>
          <c:txPr>
            <a:bodyPr rot="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Times New Roman" panose="02020603050405020304" pitchFamily="18" charset="0"/>
                <a:ea typeface="+mn-ea"/>
                <a:cs typeface="Times New Roman" panose="02020603050405020304" pitchFamily="18" charset="0"/>
              </a:defRPr>
            </a:pPr>
            <a:endParaRPr lang="en-VN"/>
          </a:p>
        </c:txPr>
        <c:crossAx val="168625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pivotSource>
    <c:name>[Huyen Trang - Excel file.xlsx]TASK 2!PivotTable2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accent4">
                    <a:lumMod val="75000"/>
                  </a:schemeClr>
                </a:solidFill>
                <a:latin typeface="Times New Roman" panose="02020603050405020304" pitchFamily="18" charset="0"/>
                <a:cs typeface="Times New Roman" panose="02020603050405020304" pitchFamily="18" charset="0"/>
              </a:rPr>
              <a:t>RELATIVE FREQUENCY DISTRIBUTION OF PARTNER 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VN"/>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VN"/>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pivotFmt>
      <c:pivotFmt>
        <c:idx val="2"/>
        <c:spPr>
          <a:solidFill>
            <a:schemeClr val="accent1">
              <a:lumMod val="60000"/>
              <a:lumOff val="40000"/>
            </a:schemeClr>
          </a:solidFill>
          <a:ln>
            <a:noFill/>
          </a:ln>
          <a:effectLst/>
        </c:spPr>
      </c:pivotFmt>
    </c:pivotFmts>
    <c:plotArea>
      <c:layout/>
      <c:pieChart>
        <c:varyColors val="1"/>
        <c:ser>
          <c:idx val="0"/>
          <c:order val="0"/>
          <c:tx>
            <c:strRef>
              <c:f>'TASK 2'!$M$49</c:f>
              <c:strCache>
                <c:ptCount val="1"/>
                <c:pt idx="0">
                  <c:v>Tổng</c:v>
                </c:pt>
              </c:strCache>
            </c:strRef>
          </c:tx>
          <c:spPr>
            <a:solidFill>
              <a:schemeClr val="accent1">
                <a:lumMod val="60000"/>
                <a:lumOff val="40000"/>
              </a:schemeClr>
            </a:solidFill>
          </c:spPr>
          <c:dPt>
            <c:idx val="0"/>
            <c:bubble3D val="0"/>
            <c:spPr>
              <a:solidFill>
                <a:schemeClr val="accent1">
                  <a:lumMod val="60000"/>
                  <a:lumOff val="40000"/>
                </a:schemeClr>
              </a:solidFill>
              <a:ln>
                <a:noFill/>
              </a:ln>
              <a:effectLst/>
            </c:spPr>
            <c:extLst>
              <c:ext xmlns:c16="http://schemas.microsoft.com/office/drawing/2014/chart" uri="{C3380CC4-5D6E-409C-BE32-E72D297353CC}">
                <c16:uniqueId val="{00000003-0DAC-CC4C-A6DA-F1693F0BDA73}"/>
              </c:ext>
            </c:extLst>
          </c:dPt>
          <c:dPt>
            <c:idx val="1"/>
            <c:bubble3D val="0"/>
            <c:spPr>
              <a:solidFill>
                <a:schemeClr val="accent4">
                  <a:lumMod val="20000"/>
                  <a:lumOff val="80000"/>
                </a:schemeClr>
              </a:solidFill>
              <a:ln>
                <a:noFill/>
              </a:ln>
              <a:effectLst/>
            </c:spPr>
            <c:extLst>
              <c:ext xmlns:c16="http://schemas.microsoft.com/office/drawing/2014/chart" uri="{C3380CC4-5D6E-409C-BE32-E72D297353CC}">
                <c16:uniqueId val="{00000002-0DAC-CC4C-A6DA-F1693F0BDA73}"/>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75000"/>
                      </a:schemeClr>
                    </a:solidFill>
                    <a:latin typeface="+mn-lt"/>
                    <a:ea typeface="+mn-ea"/>
                    <a:cs typeface="+mn-cs"/>
                  </a:defRPr>
                </a:pPr>
                <a:endParaRPr lang="en-VN"/>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2'!$L$50:$L$52</c:f>
              <c:strCache>
                <c:ptCount val="2"/>
                <c:pt idx="0">
                  <c:v>Partnered</c:v>
                </c:pt>
                <c:pt idx="1">
                  <c:v>Single</c:v>
                </c:pt>
              </c:strCache>
            </c:strRef>
          </c:cat>
          <c:val>
            <c:numRef>
              <c:f>'TASK 2'!$M$50:$M$52</c:f>
              <c:numCache>
                <c:formatCode>General</c:formatCode>
                <c:ptCount val="2"/>
                <c:pt idx="0">
                  <c:v>588</c:v>
                </c:pt>
                <c:pt idx="1">
                  <c:v>412</c:v>
                </c:pt>
              </c:numCache>
            </c:numRef>
          </c:val>
          <c:extLst>
            <c:ext xmlns:c16="http://schemas.microsoft.com/office/drawing/2014/chart" uri="{C3380CC4-5D6E-409C-BE32-E72D297353CC}">
              <c16:uniqueId val="{00000000-0DAC-CC4C-A6DA-F1693F0BDA7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pivotSource>
    <c:name>[Huyen Trang - Excel file.xlsx]TASK 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accent4">
                    <a:lumMod val="75000"/>
                  </a:schemeClr>
                </a:solidFill>
                <a:latin typeface="Times New Roman" panose="02020603050405020304" pitchFamily="18" charset="0"/>
                <a:cs typeface="Times New Roman" panose="02020603050405020304" pitchFamily="18" charset="0"/>
              </a:rPr>
              <a:t>FREQUENCY DISTRIBUTION OF  LODGMENT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pivotFmt>
      <c:pivotFmt>
        <c:idx val="2"/>
        <c:spPr>
          <a:solidFill>
            <a:schemeClr val="accent4"/>
          </a:solidFill>
          <a:ln>
            <a:noFill/>
          </a:ln>
          <a:effectLst/>
        </c:spPr>
      </c:pivotFmt>
    </c:pivotFmts>
    <c:plotArea>
      <c:layout/>
      <c:barChart>
        <c:barDir val="col"/>
        <c:grouping val="clustered"/>
        <c:varyColors val="0"/>
        <c:ser>
          <c:idx val="0"/>
          <c:order val="0"/>
          <c:tx>
            <c:strRef>
              <c:f>'TASK 2'!$M$64</c:f>
              <c:strCache>
                <c:ptCount val="1"/>
                <c:pt idx="0">
                  <c:v>Tổng</c:v>
                </c:pt>
              </c:strCache>
            </c:strRef>
          </c:tx>
          <c:spPr>
            <a:solidFill>
              <a:schemeClr val="accent4"/>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2-561B-304A-BA5E-998E22DEDE7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2'!$L$65:$L$67</c:f>
              <c:strCache>
                <c:ptCount val="2"/>
                <c:pt idx="0">
                  <c:v>Self Prepared</c:v>
                </c:pt>
                <c:pt idx="1">
                  <c:v>Tax Agent</c:v>
                </c:pt>
              </c:strCache>
            </c:strRef>
          </c:cat>
          <c:val>
            <c:numRef>
              <c:f>'TASK 2'!$M$65:$M$67</c:f>
              <c:numCache>
                <c:formatCode>General</c:formatCode>
                <c:ptCount val="2"/>
                <c:pt idx="0">
                  <c:v>233</c:v>
                </c:pt>
                <c:pt idx="1">
                  <c:v>767</c:v>
                </c:pt>
              </c:numCache>
            </c:numRef>
          </c:val>
          <c:extLst>
            <c:ext xmlns:c16="http://schemas.microsoft.com/office/drawing/2014/chart" uri="{C3380CC4-5D6E-409C-BE32-E72D297353CC}">
              <c16:uniqueId val="{00000000-561B-304A-BA5E-998E22DEDE72}"/>
            </c:ext>
          </c:extLst>
        </c:ser>
        <c:dLbls>
          <c:showLegendKey val="0"/>
          <c:showVal val="0"/>
          <c:showCatName val="0"/>
          <c:showSerName val="0"/>
          <c:showPercent val="0"/>
          <c:showBubbleSize val="0"/>
        </c:dLbls>
        <c:gapWidth val="0"/>
        <c:overlap val="-27"/>
        <c:axId val="536893711"/>
        <c:axId val="537659583"/>
      </c:barChart>
      <c:catAx>
        <c:axId val="536893711"/>
        <c:scaling>
          <c:orientation val="minMax"/>
        </c:scaling>
        <c:delete val="0"/>
        <c:axPos val="b"/>
        <c:title>
          <c:tx>
            <c:rich>
              <a:bodyPr rot="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r>
                  <a:rPr lang="en-US" i="1">
                    <a:solidFill>
                      <a:schemeClr val="accent1">
                        <a:lumMod val="60000"/>
                        <a:lumOff val="40000"/>
                      </a:schemeClr>
                    </a:solidFill>
                    <a:latin typeface="Times New Roman" panose="02020603050405020304" pitchFamily="18" charset="0"/>
                    <a:cs typeface="Times New Roman" panose="02020603050405020304" pitchFamily="18" charset="0"/>
                  </a:rPr>
                  <a:t>Lodgement Method</a:t>
                </a:r>
              </a:p>
            </c:rich>
          </c:tx>
          <c:overlay val="0"/>
          <c:spPr>
            <a:noFill/>
            <a:ln>
              <a:noFill/>
            </a:ln>
            <a:effectLst/>
          </c:spPr>
          <c:txPr>
            <a:bodyPr rot="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VN"/>
          </a:p>
        </c:txPr>
        <c:crossAx val="537659583"/>
        <c:crosses val="autoZero"/>
        <c:auto val="1"/>
        <c:lblAlgn val="ctr"/>
        <c:lblOffset val="100"/>
        <c:noMultiLvlLbl val="0"/>
      </c:catAx>
      <c:valAx>
        <c:axId val="537659583"/>
        <c:scaling>
          <c:orientation val="minMax"/>
          <c:max val="8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r>
                  <a:rPr lang="en-GB" b="0" i="1">
                    <a:solidFill>
                      <a:schemeClr val="accent1">
                        <a:lumMod val="60000"/>
                        <a:lumOff val="40000"/>
                      </a:schemeClr>
                    </a:solidFill>
                    <a:latin typeface="Times New Roman" panose="02020603050405020304" pitchFamily="18" charset="0"/>
                    <a:cs typeface="Times New Roman" panose="02020603050405020304" pitchFamily="18" charset="0"/>
                  </a:rPr>
                  <a:t>Number</a:t>
                </a:r>
                <a:r>
                  <a:rPr lang="en-GB" b="0" i="1" baseline="0">
                    <a:solidFill>
                      <a:schemeClr val="accent1">
                        <a:lumMod val="60000"/>
                        <a:lumOff val="40000"/>
                      </a:schemeClr>
                    </a:solidFill>
                    <a:latin typeface="Times New Roman" panose="02020603050405020304" pitchFamily="18" charset="0"/>
                    <a:cs typeface="Times New Roman" panose="02020603050405020304" pitchFamily="18" charset="0"/>
                  </a:rPr>
                  <a:t> of observations</a:t>
                </a:r>
                <a:endParaRPr lang="en-GB" b="0" i="1">
                  <a:solidFill>
                    <a:schemeClr val="accent1">
                      <a:lumMod val="60000"/>
                      <a:lumOff val="40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36893711"/>
        <c:crosses val="autoZero"/>
        <c:crossBetween val="between"/>
        <c:majorUnit val="200"/>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pivotSource>
    <c:name>[Huyen Trang - Excel file.xlsx]TASK 2!PivotTable4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r>
              <a:rPr lang="en-US" sz="1100" b="1" i="0" u="none" strike="noStrike" kern="1200" spc="0" baseline="0">
                <a:solidFill>
                  <a:schemeClr val="accent4">
                    <a:lumMod val="75000"/>
                  </a:schemeClr>
                </a:solidFill>
                <a:latin typeface="Times New Roman" panose="02020603050405020304" pitchFamily="18" charset="0"/>
                <a:cs typeface="Times New Roman" panose="02020603050405020304" pitchFamily="18" charset="0"/>
              </a:rPr>
              <a:t>RELATIVE FREQUENCY DISTRIBUTION OF PRIVATE HEALTH INSURANCE INDICATOR (PHI)</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endParaRPr lang="en-VN"/>
        </a:p>
      </c:txPr>
    </c:title>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VN"/>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pivotFmt>
    </c:pivotFmts>
    <c:plotArea>
      <c:layout/>
      <c:pieChart>
        <c:varyColors val="1"/>
        <c:ser>
          <c:idx val="0"/>
          <c:order val="0"/>
          <c:tx>
            <c:strRef>
              <c:f>'TASK 2'!$M$82</c:f>
              <c:strCache>
                <c:ptCount val="1"/>
                <c:pt idx="0">
                  <c:v>Tổng</c:v>
                </c:pt>
              </c:strCache>
            </c:strRef>
          </c:tx>
          <c:spPr>
            <a:solidFill>
              <a:schemeClr val="accent4">
                <a:lumMod val="20000"/>
                <a:lumOff val="80000"/>
              </a:schemeClr>
            </a:solidFill>
          </c:spPr>
          <c:dPt>
            <c:idx val="0"/>
            <c:bubble3D val="0"/>
            <c:spPr>
              <a:solidFill>
                <a:schemeClr val="accent4">
                  <a:lumMod val="20000"/>
                  <a:lumOff val="80000"/>
                </a:schemeClr>
              </a:solidFill>
              <a:ln>
                <a:noFill/>
              </a:ln>
              <a:effectLst/>
            </c:spPr>
            <c:extLst>
              <c:ext xmlns:c16="http://schemas.microsoft.com/office/drawing/2014/chart" uri="{C3380CC4-5D6E-409C-BE32-E72D297353CC}">
                <c16:uniqueId val="{00000003-0337-2B47-91A4-565A80E8780D}"/>
              </c:ext>
            </c:extLst>
          </c:dPt>
          <c:dPt>
            <c:idx val="1"/>
            <c:bubble3D val="0"/>
            <c:spPr>
              <a:solidFill>
                <a:schemeClr val="accent1">
                  <a:lumMod val="60000"/>
                  <a:lumOff val="40000"/>
                </a:schemeClr>
              </a:solidFill>
              <a:ln>
                <a:noFill/>
              </a:ln>
              <a:effectLst/>
            </c:spPr>
            <c:extLst>
              <c:ext xmlns:c16="http://schemas.microsoft.com/office/drawing/2014/chart" uri="{C3380CC4-5D6E-409C-BE32-E72D297353CC}">
                <c16:uniqueId val="{00000002-0337-2B47-91A4-565A80E8780D}"/>
              </c:ext>
            </c:extLst>
          </c:dPt>
          <c:dLbls>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VN"/>
                </a:p>
              </c:txPr>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37-2B47-91A4-565A80E8780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2'!$L$83:$L$85</c:f>
              <c:strCache>
                <c:ptCount val="2"/>
                <c:pt idx="0">
                  <c:v>No PHI</c:v>
                </c:pt>
                <c:pt idx="1">
                  <c:v>PHI</c:v>
                </c:pt>
              </c:strCache>
            </c:strRef>
          </c:cat>
          <c:val>
            <c:numRef>
              <c:f>'TASK 2'!$M$83:$M$85</c:f>
              <c:numCache>
                <c:formatCode>0.0%</c:formatCode>
                <c:ptCount val="2"/>
                <c:pt idx="0">
                  <c:v>0.42199999999999999</c:v>
                </c:pt>
                <c:pt idx="1">
                  <c:v>0.57799999999999996</c:v>
                </c:pt>
              </c:numCache>
            </c:numRef>
          </c:val>
          <c:extLst>
            <c:ext xmlns:c16="http://schemas.microsoft.com/office/drawing/2014/chart" uri="{C3380CC4-5D6E-409C-BE32-E72D297353CC}">
              <c16:uniqueId val="{00000000-0337-2B47-91A4-565A80E8780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pivotSource>
    <c:name>[Huyen Trang - Excel file.xlsx]TASK 2!PivotTable7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chemeClr val="accent4">
                    <a:lumMod val="75000"/>
                  </a:schemeClr>
                </a:solidFill>
                <a:latin typeface="Times New Roman" panose="02020603050405020304" pitchFamily="18" charset="0"/>
                <a:cs typeface="Times New Roman" panose="02020603050405020304" pitchFamily="18" charset="0"/>
              </a:rPr>
              <a:t>DISTRIBUTION OF TOTAL INCOME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endParaRPr lang="en-VN"/>
        </a:p>
      </c:txPr>
    </c:title>
    <c:autoTitleDeleted val="0"/>
    <c:pivotFmts>
      <c:pivotFmt>
        <c:idx val="0"/>
        <c:spPr>
          <a:solidFill>
            <a:schemeClr val="accent1">
              <a:lumMod val="60000"/>
              <a:lumOff val="40000"/>
            </a:schemeClr>
          </a:soli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2'!$M$97</c:f>
              <c:strCache>
                <c:ptCount val="1"/>
                <c:pt idx="0">
                  <c:v>Tổng</c:v>
                </c:pt>
              </c:strCache>
            </c:strRef>
          </c:tx>
          <c:spPr>
            <a:solidFill>
              <a:schemeClr val="accent1">
                <a:lumMod val="60000"/>
                <a:lumOff val="40000"/>
              </a:schemeClr>
            </a:solidFill>
            <a:ln>
              <a:solidFill>
                <a:schemeClr val="accent1">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2'!$L$98:$L$107</c:f>
              <c:strCache>
                <c:ptCount val="9"/>
                <c:pt idx="0">
                  <c:v>&lt;0</c:v>
                </c:pt>
                <c:pt idx="1">
                  <c:v>0-49999</c:v>
                </c:pt>
                <c:pt idx="2">
                  <c:v>50000-99999</c:v>
                </c:pt>
                <c:pt idx="3">
                  <c:v>100000-149999</c:v>
                </c:pt>
                <c:pt idx="4">
                  <c:v>150000-199999</c:v>
                </c:pt>
                <c:pt idx="5">
                  <c:v>200000-249999</c:v>
                </c:pt>
                <c:pt idx="6">
                  <c:v>250000-299999</c:v>
                </c:pt>
                <c:pt idx="7">
                  <c:v>300000-350000</c:v>
                </c:pt>
                <c:pt idx="8">
                  <c:v>&gt;350000</c:v>
                </c:pt>
              </c:strCache>
            </c:strRef>
          </c:cat>
          <c:val>
            <c:numRef>
              <c:f>'TASK 2'!$M$98:$M$107</c:f>
              <c:numCache>
                <c:formatCode>General</c:formatCode>
                <c:ptCount val="9"/>
                <c:pt idx="0">
                  <c:v>4</c:v>
                </c:pt>
                <c:pt idx="1">
                  <c:v>533</c:v>
                </c:pt>
                <c:pt idx="2">
                  <c:v>319</c:v>
                </c:pt>
                <c:pt idx="3">
                  <c:v>92</c:v>
                </c:pt>
                <c:pt idx="4">
                  <c:v>22</c:v>
                </c:pt>
                <c:pt idx="5">
                  <c:v>14</c:v>
                </c:pt>
                <c:pt idx="6">
                  <c:v>3</c:v>
                </c:pt>
                <c:pt idx="7">
                  <c:v>8</c:v>
                </c:pt>
                <c:pt idx="8">
                  <c:v>5</c:v>
                </c:pt>
              </c:numCache>
            </c:numRef>
          </c:val>
          <c:extLst>
            <c:ext xmlns:c16="http://schemas.microsoft.com/office/drawing/2014/chart" uri="{C3380CC4-5D6E-409C-BE32-E72D297353CC}">
              <c16:uniqueId val="{00000000-EFB1-F447-93CC-954B84E76FE2}"/>
            </c:ext>
          </c:extLst>
        </c:ser>
        <c:dLbls>
          <c:showLegendKey val="0"/>
          <c:showVal val="0"/>
          <c:showCatName val="0"/>
          <c:showSerName val="0"/>
          <c:showPercent val="0"/>
          <c:showBubbleSize val="0"/>
        </c:dLbls>
        <c:gapWidth val="10"/>
        <c:axId val="1653519712"/>
        <c:axId val="1495906335"/>
      </c:barChart>
      <c:catAx>
        <c:axId val="1653519712"/>
        <c:scaling>
          <c:orientation val="minMax"/>
        </c:scaling>
        <c:delete val="0"/>
        <c:axPos val="l"/>
        <c:title>
          <c:tx>
            <c:rich>
              <a:bodyPr rot="-540000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r>
                  <a:rPr lang="en-US" i="1">
                    <a:solidFill>
                      <a:schemeClr val="accent1">
                        <a:lumMod val="60000"/>
                        <a:lumOff val="40000"/>
                      </a:schemeClr>
                    </a:solidFill>
                    <a:latin typeface="Times New Roman" panose="02020603050405020304" pitchFamily="18" charset="0"/>
                    <a:cs typeface="Times New Roman" panose="02020603050405020304" pitchFamily="18" charset="0"/>
                  </a:rPr>
                  <a:t>Total Income Groups</a:t>
                </a:r>
              </a:p>
            </c:rich>
          </c:tx>
          <c:overlay val="0"/>
          <c:spPr>
            <a:noFill/>
            <a:ln>
              <a:noFill/>
            </a:ln>
            <a:effectLst/>
          </c:spPr>
          <c:txPr>
            <a:bodyPr rot="-540000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endParaRPr lang="en-US"/>
            </a:p>
          </c:txPr>
        </c:title>
        <c:numFmt formatCode="[$$-C09]#,##0;[Red][$$-C09]#,##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j-lt"/>
                <a:ea typeface="+mn-ea"/>
                <a:cs typeface="Times New Roman" panose="02020603050405020304" pitchFamily="18" charset="0"/>
              </a:defRPr>
            </a:pPr>
            <a:endParaRPr lang="en-VN"/>
          </a:p>
        </c:txPr>
        <c:crossAx val="1495906335"/>
        <c:crosses val="autoZero"/>
        <c:auto val="1"/>
        <c:lblAlgn val="ctr"/>
        <c:lblOffset val="100"/>
        <c:noMultiLvlLbl val="0"/>
      </c:catAx>
      <c:valAx>
        <c:axId val="1495906335"/>
        <c:scaling>
          <c:orientation val="minMax"/>
        </c:scaling>
        <c:delete val="1"/>
        <c:axPos val="b"/>
        <c:title>
          <c:tx>
            <c:rich>
              <a:bodyPr rot="0" spcFirstLastPara="1" vertOverflow="ellipsis" vert="horz" wrap="square" anchor="ctr" anchorCtr="1"/>
              <a:lstStyle/>
              <a:p>
                <a:pPr>
                  <a:defRPr sz="1000" b="0" i="1" u="none" strike="noStrike" kern="1200" baseline="0">
                    <a:solidFill>
                      <a:schemeClr val="accent1">
                        <a:lumMod val="60000"/>
                        <a:lumOff val="40000"/>
                      </a:schemeClr>
                    </a:solidFill>
                    <a:latin typeface="+mn-lt"/>
                    <a:ea typeface="+mn-ea"/>
                    <a:cs typeface="+mn-cs"/>
                  </a:defRPr>
                </a:pPr>
                <a:r>
                  <a:rPr lang="en-US" i="1">
                    <a:solidFill>
                      <a:schemeClr val="accent1">
                        <a:lumMod val="60000"/>
                        <a:lumOff val="40000"/>
                      </a:schemeClr>
                    </a:solidFill>
                  </a:rPr>
                  <a:t>Number of observations</a:t>
                </a:r>
              </a:p>
            </c:rich>
          </c:tx>
          <c:overlay val="0"/>
          <c:spPr>
            <a:noFill/>
            <a:ln>
              <a:noFill/>
            </a:ln>
            <a:effectLst/>
          </c:spPr>
          <c:txPr>
            <a:bodyPr rot="0" spcFirstLastPara="1" vertOverflow="ellipsis" vert="horz" wrap="square" anchor="ctr" anchorCtr="1"/>
            <a:lstStyle/>
            <a:p>
              <a:pPr>
                <a:defRPr sz="1000" b="0" i="1" u="none" strike="noStrike" kern="1200" baseline="0">
                  <a:solidFill>
                    <a:schemeClr val="accent1">
                      <a:lumMod val="60000"/>
                      <a:lumOff val="40000"/>
                    </a:schemeClr>
                  </a:solidFill>
                  <a:latin typeface="+mn-lt"/>
                  <a:ea typeface="+mn-ea"/>
                  <a:cs typeface="+mn-cs"/>
                </a:defRPr>
              </a:pPr>
              <a:endParaRPr lang="en-US"/>
            </a:p>
          </c:txPr>
        </c:title>
        <c:numFmt formatCode="General" sourceLinked="1"/>
        <c:majorTickMark val="none"/>
        <c:minorTickMark val="none"/>
        <c:tickLblPos val="nextTo"/>
        <c:crossAx val="16535197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pivotSource>
    <c:name>[Huyen Trang - Excel file.xlsx]TASK 2!PivotTable9</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r>
              <a:rPr lang="en-US" sz="1400" b="1" i="0" u="none" strike="noStrike" kern="1200" spc="0" baseline="0">
                <a:solidFill>
                  <a:schemeClr val="accent4">
                    <a:lumMod val="75000"/>
                  </a:schemeClr>
                </a:solidFill>
                <a:latin typeface="Times New Roman" panose="02020603050405020304" pitchFamily="18" charset="0"/>
                <a:cs typeface="Times New Roman" panose="02020603050405020304" pitchFamily="18" charset="0"/>
              </a:rPr>
              <a:t>FREQUENCY DISTRIBUTION OF TOTAL DEDUCTIONS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VN"/>
        </a:p>
      </c:txPr>
    </c:title>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2'!$M$119</c:f>
              <c:strCache>
                <c:ptCount val="1"/>
                <c:pt idx="0">
                  <c:v>Tổng</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2'!$L$120:$L$127</c:f>
              <c:strCache>
                <c:ptCount val="7"/>
                <c:pt idx="0">
                  <c:v>0-4999</c:v>
                </c:pt>
                <c:pt idx="1">
                  <c:v>5000-9999</c:v>
                </c:pt>
                <c:pt idx="2">
                  <c:v>10000-14999</c:v>
                </c:pt>
                <c:pt idx="3">
                  <c:v>15000-19999</c:v>
                </c:pt>
                <c:pt idx="4">
                  <c:v>20000-24999</c:v>
                </c:pt>
                <c:pt idx="5">
                  <c:v>25000-29999</c:v>
                </c:pt>
                <c:pt idx="6">
                  <c:v>&gt;35000</c:v>
                </c:pt>
              </c:strCache>
            </c:strRef>
          </c:cat>
          <c:val>
            <c:numRef>
              <c:f>'TASK 2'!$M$120:$M$127</c:f>
              <c:numCache>
                <c:formatCode>General</c:formatCode>
                <c:ptCount val="7"/>
                <c:pt idx="0">
                  <c:v>860</c:v>
                </c:pt>
                <c:pt idx="1">
                  <c:v>94</c:v>
                </c:pt>
                <c:pt idx="2">
                  <c:v>17</c:v>
                </c:pt>
                <c:pt idx="3">
                  <c:v>11</c:v>
                </c:pt>
                <c:pt idx="4">
                  <c:v>6</c:v>
                </c:pt>
                <c:pt idx="5">
                  <c:v>7</c:v>
                </c:pt>
                <c:pt idx="6">
                  <c:v>5</c:v>
                </c:pt>
              </c:numCache>
            </c:numRef>
          </c:val>
          <c:extLst>
            <c:ext xmlns:c16="http://schemas.microsoft.com/office/drawing/2014/chart" uri="{C3380CC4-5D6E-409C-BE32-E72D297353CC}">
              <c16:uniqueId val="{00000000-022F-9148-94D8-D399C16EC153}"/>
            </c:ext>
          </c:extLst>
        </c:ser>
        <c:dLbls>
          <c:showLegendKey val="0"/>
          <c:showVal val="0"/>
          <c:showCatName val="0"/>
          <c:showSerName val="0"/>
          <c:showPercent val="0"/>
          <c:showBubbleSize val="0"/>
        </c:dLbls>
        <c:gapWidth val="5"/>
        <c:axId val="1167870911"/>
        <c:axId val="1489224959"/>
      </c:barChart>
      <c:catAx>
        <c:axId val="1167870911"/>
        <c:scaling>
          <c:orientation val="minMax"/>
        </c:scaling>
        <c:delete val="0"/>
        <c:axPos val="l"/>
        <c:title>
          <c:tx>
            <c:rich>
              <a:bodyPr rot="-540000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r>
                  <a:rPr lang="en-US" i="1">
                    <a:solidFill>
                      <a:schemeClr val="accent1">
                        <a:lumMod val="60000"/>
                        <a:lumOff val="40000"/>
                      </a:schemeClr>
                    </a:solidFill>
                  </a:rPr>
                  <a:t>Deduction Groups</a:t>
                </a:r>
              </a:p>
            </c:rich>
          </c:tx>
          <c:overlay val="0"/>
          <c:spPr>
            <a:noFill/>
            <a:ln>
              <a:noFill/>
            </a:ln>
            <a:effectLst/>
          </c:spPr>
          <c:txPr>
            <a:bodyPr rot="-540000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j-lt"/>
                <a:ea typeface="+mn-ea"/>
                <a:cs typeface="Times New Roman" panose="02020603050405020304" pitchFamily="18" charset="0"/>
              </a:defRPr>
            </a:pPr>
            <a:endParaRPr lang="en-VN"/>
          </a:p>
        </c:txPr>
        <c:crossAx val="1489224959"/>
        <c:crosses val="autoZero"/>
        <c:auto val="1"/>
        <c:lblAlgn val="ctr"/>
        <c:lblOffset val="100"/>
        <c:noMultiLvlLbl val="0"/>
      </c:catAx>
      <c:valAx>
        <c:axId val="1489224959"/>
        <c:scaling>
          <c:orientation val="minMax"/>
          <c:max val="900"/>
        </c:scaling>
        <c:delete val="1"/>
        <c:axPos val="b"/>
        <c:title>
          <c:tx>
            <c:rich>
              <a:bodyPr rot="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r>
                  <a:rPr lang="en-US" i="1">
                    <a:solidFill>
                      <a:schemeClr val="accent1">
                        <a:lumMod val="60000"/>
                        <a:lumOff val="40000"/>
                      </a:schemeClr>
                    </a:solidFill>
                  </a:rPr>
                  <a:t>Number of observations</a:t>
                </a:r>
              </a:p>
            </c:rich>
          </c:tx>
          <c:overlay val="0"/>
          <c:spPr>
            <a:noFill/>
            <a:ln>
              <a:noFill/>
            </a:ln>
            <a:effectLst/>
          </c:spPr>
          <c:txPr>
            <a:bodyPr rot="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crossAx val="116787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pivotSource>
    <c:name>[Huyen Trang - Excel file.xlsx]TASK 2!PivotTable10</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accent4">
                    <a:lumMod val="75000"/>
                  </a:schemeClr>
                </a:solidFill>
                <a:latin typeface="Times New Roman" panose="02020603050405020304" pitchFamily="18" charset="0"/>
                <a:cs typeface="Times New Roman" panose="02020603050405020304" pitchFamily="18" charset="0"/>
              </a:rPr>
              <a:t>FREQUENCY DISTRIBUTION OF TAXABLE INCOME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VN"/>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2'!$M$140</c:f>
              <c:strCache>
                <c:ptCount val="1"/>
                <c:pt idx="0">
                  <c:v>Tổng</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2'!$L$141:$L$150</c:f>
              <c:strCache>
                <c:ptCount val="9"/>
                <c:pt idx="0">
                  <c:v>&lt;0</c:v>
                </c:pt>
                <c:pt idx="1">
                  <c:v>0-49999</c:v>
                </c:pt>
                <c:pt idx="2">
                  <c:v>50000-99999</c:v>
                </c:pt>
                <c:pt idx="3">
                  <c:v>100000-149999</c:v>
                </c:pt>
                <c:pt idx="4">
                  <c:v>150000-199999</c:v>
                </c:pt>
                <c:pt idx="5">
                  <c:v>200000-249999</c:v>
                </c:pt>
                <c:pt idx="6">
                  <c:v>250000-299999</c:v>
                </c:pt>
                <c:pt idx="7">
                  <c:v>300000-350000</c:v>
                </c:pt>
                <c:pt idx="8">
                  <c:v>&gt;350000</c:v>
                </c:pt>
              </c:strCache>
            </c:strRef>
          </c:cat>
          <c:val>
            <c:numRef>
              <c:f>'TASK 2'!$M$141:$M$150</c:f>
              <c:numCache>
                <c:formatCode>General</c:formatCode>
                <c:ptCount val="9"/>
                <c:pt idx="0">
                  <c:v>5</c:v>
                </c:pt>
                <c:pt idx="1">
                  <c:v>553</c:v>
                </c:pt>
                <c:pt idx="2">
                  <c:v>313</c:v>
                </c:pt>
                <c:pt idx="3">
                  <c:v>81</c:v>
                </c:pt>
                <c:pt idx="4">
                  <c:v>22</c:v>
                </c:pt>
                <c:pt idx="5">
                  <c:v>11</c:v>
                </c:pt>
                <c:pt idx="6">
                  <c:v>4</c:v>
                </c:pt>
                <c:pt idx="7">
                  <c:v>7</c:v>
                </c:pt>
                <c:pt idx="8">
                  <c:v>4</c:v>
                </c:pt>
              </c:numCache>
            </c:numRef>
          </c:val>
          <c:extLst>
            <c:ext xmlns:c16="http://schemas.microsoft.com/office/drawing/2014/chart" uri="{C3380CC4-5D6E-409C-BE32-E72D297353CC}">
              <c16:uniqueId val="{00000000-9857-7548-A93C-29412359CF4B}"/>
            </c:ext>
          </c:extLst>
        </c:ser>
        <c:dLbls>
          <c:showLegendKey val="0"/>
          <c:showVal val="0"/>
          <c:showCatName val="0"/>
          <c:showSerName val="0"/>
          <c:showPercent val="0"/>
          <c:showBubbleSize val="0"/>
        </c:dLbls>
        <c:gapWidth val="5"/>
        <c:axId val="573640175"/>
        <c:axId val="1216770415"/>
      </c:barChart>
      <c:catAx>
        <c:axId val="573640175"/>
        <c:scaling>
          <c:orientation val="minMax"/>
        </c:scaling>
        <c:delete val="0"/>
        <c:axPos val="l"/>
        <c:title>
          <c:tx>
            <c:rich>
              <a:bodyPr rot="-540000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r>
                  <a:rPr lang="en-US" i="1">
                    <a:solidFill>
                      <a:schemeClr val="accent1">
                        <a:lumMod val="60000"/>
                        <a:lumOff val="40000"/>
                      </a:schemeClr>
                    </a:solidFill>
                    <a:latin typeface="Times New Roman" panose="02020603050405020304" pitchFamily="18" charset="0"/>
                    <a:cs typeface="Times New Roman" panose="02020603050405020304" pitchFamily="18" charset="0"/>
                  </a:rPr>
                  <a:t>Taxable Income Groups</a:t>
                </a:r>
              </a:p>
            </c:rich>
          </c:tx>
          <c:overlay val="0"/>
          <c:spPr>
            <a:noFill/>
            <a:ln>
              <a:noFill/>
            </a:ln>
            <a:effectLst/>
          </c:spPr>
          <c:txPr>
            <a:bodyPr rot="-540000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j-lt"/>
                <a:ea typeface="+mn-ea"/>
                <a:cs typeface="+mn-cs"/>
              </a:defRPr>
            </a:pPr>
            <a:endParaRPr lang="en-VN"/>
          </a:p>
        </c:txPr>
        <c:crossAx val="1216770415"/>
        <c:crosses val="autoZero"/>
        <c:auto val="1"/>
        <c:lblAlgn val="ctr"/>
        <c:lblOffset val="100"/>
        <c:noMultiLvlLbl val="0"/>
      </c:catAx>
      <c:valAx>
        <c:axId val="1216770415"/>
        <c:scaling>
          <c:orientation val="minMax"/>
        </c:scaling>
        <c:delete val="1"/>
        <c:axPos val="b"/>
        <c:title>
          <c:tx>
            <c:rich>
              <a:bodyPr rot="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r>
                  <a:rPr lang="en-US" i="1">
                    <a:solidFill>
                      <a:schemeClr val="accent1">
                        <a:lumMod val="60000"/>
                        <a:lumOff val="40000"/>
                      </a:schemeClr>
                    </a:solidFill>
                    <a:latin typeface="Times New Roman" panose="02020603050405020304" pitchFamily="18" charset="0"/>
                    <a:cs typeface="Times New Roman" panose="02020603050405020304" pitchFamily="18" charset="0"/>
                  </a:rPr>
                  <a:t>Number of observations</a:t>
                </a:r>
              </a:p>
            </c:rich>
          </c:tx>
          <c:overlay val="0"/>
          <c:spPr>
            <a:noFill/>
            <a:ln>
              <a:noFill/>
            </a:ln>
            <a:effectLst/>
          </c:spPr>
          <c:txPr>
            <a:bodyPr rot="0" spcFirstLastPara="1" vertOverflow="ellipsis" vert="horz" wrap="square" anchor="ctr" anchorCtr="1"/>
            <a:lstStyle/>
            <a:p>
              <a:pPr>
                <a:defRPr sz="1000" b="0" i="1" u="none" strike="noStrike" kern="120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crossAx val="5736401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pivotSource>
    <c:name>[Huyen Trang - Excel file.xlsx]Bar | Income - Age!P1</c:name>
    <c:fmtId val="5"/>
  </c:pivotSource>
  <c:chart>
    <c:title>
      <c:tx>
        <c:rich>
          <a:bodyPr rot="0" spcFirstLastPara="1" vertOverflow="ellipsis" vert="horz" wrap="square" anchor="ctr" anchorCtr="1"/>
          <a:lstStyle/>
          <a:p>
            <a:pPr>
              <a:defRPr sz="16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r>
              <a:rPr lang="en-US" sz="1600" b="1">
                <a:solidFill>
                  <a:schemeClr val="accent1"/>
                </a:solidFill>
              </a:rPr>
              <a:t>AVARAGE TOTAL INCOME PER AGE GROUP</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autoTitleDeleted val="0"/>
    <c:pivotFmts>
      <c:pivotFmt>
        <c:idx val="0"/>
        <c:spPr>
          <a:solidFill>
            <a:schemeClr val="accent4">
              <a:lumMod val="60000"/>
              <a:lumOff val="40000"/>
            </a:schemeClr>
          </a:solidFill>
          <a:ln>
            <a:noFill/>
          </a:ln>
          <a:effectLst/>
        </c:spPr>
        <c:dLbl>
          <c:idx val="0"/>
          <c:numFmt formatCode="[$$-C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lumMod val="60000"/>
              <a:lumOff val="40000"/>
            </a:schemeClr>
          </a:solidFill>
          <a:ln>
            <a:noFill/>
          </a:ln>
          <a:effectLst/>
        </c:spPr>
        <c:dLbl>
          <c:idx val="0"/>
          <c:numFmt formatCode="[$$-C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 Income - Age'!$B$3</c:f>
              <c:strCache>
                <c:ptCount val="1"/>
                <c:pt idx="0">
                  <c:v>Tổng</c:v>
                </c:pt>
              </c:strCache>
            </c:strRef>
          </c:tx>
          <c:spPr>
            <a:solidFill>
              <a:schemeClr val="accent4">
                <a:lumMod val="60000"/>
                <a:lumOff val="40000"/>
              </a:schemeClr>
            </a:solidFill>
            <a:ln>
              <a:noFill/>
            </a:ln>
            <a:effectLst/>
          </c:spPr>
          <c:invertIfNegative val="0"/>
          <c:cat>
            <c:strRef>
              <c:f>'Bar | Income - Age'!$A$4:$A$16</c:f>
              <c:strCache>
                <c:ptCount val="12"/>
                <c:pt idx="0">
                  <c:v>under 20</c:v>
                </c:pt>
                <c:pt idx="1">
                  <c:v>20 to 24</c:v>
                </c:pt>
                <c:pt idx="2">
                  <c:v>25 to 29</c:v>
                </c:pt>
                <c:pt idx="3">
                  <c:v>30 to 34</c:v>
                </c:pt>
                <c:pt idx="4">
                  <c:v>35 to 39</c:v>
                </c:pt>
                <c:pt idx="5">
                  <c:v>40 to 44</c:v>
                </c:pt>
                <c:pt idx="6">
                  <c:v>45 to 49</c:v>
                </c:pt>
                <c:pt idx="7">
                  <c:v>50 to 54</c:v>
                </c:pt>
                <c:pt idx="8">
                  <c:v>55 to 59</c:v>
                </c:pt>
                <c:pt idx="9">
                  <c:v>60 to 64</c:v>
                </c:pt>
                <c:pt idx="10">
                  <c:v>65 to 69</c:v>
                </c:pt>
                <c:pt idx="11">
                  <c:v>70 and over</c:v>
                </c:pt>
              </c:strCache>
            </c:strRef>
          </c:cat>
          <c:val>
            <c:numRef>
              <c:f>'Bar | Income - Age'!$B$4:$B$16</c:f>
              <c:numCache>
                <c:formatCode>0</c:formatCode>
                <c:ptCount val="12"/>
                <c:pt idx="0">
                  <c:v>22403.759999999998</c:v>
                </c:pt>
                <c:pt idx="1">
                  <c:v>39940.585858585859</c:v>
                </c:pt>
                <c:pt idx="2">
                  <c:v>54398.560747663549</c:v>
                </c:pt>
                <c:pt idx="3">
                  <c:v>60878.696969696968</c:v>
                </c:pt>
                <c:pt idx="4">
                  <c:v>67884.282352941183</c:v>
                </c:pt>
                <c:pt idx="5">
                  <c:v>67952.944444444438</c:v>
                </c:pt>
                <c:pt idx="6">
                  <c:v>70666.574074074073</c:v>
                </c:pt>
                <c:pt idx="7">
                  <c:v>65486.436363636363</c:v>
                </c:pt>
                <c:pt idx="8">
                  <c:v>83080.421686746995</c:v>
                </c:pt>
                <c:pt idx="9">
                  <c:v>56460.973333333335</c:v>
                </c:pt>
                <c:pt idx="10">
                  <c:v>51097.631578947367</c:v>
                </c:pt>
                <c:pt idx="11">
                  <c:v>37699.111111111109</c:v>
                </c:pt>
              </c:numCache>
            </c:numRef>
          </c:val>
          <c:extLst>
            <c:ext xmlns:c16="http://schemas.microsoft.com/office/drawing/2014/chart" uri="{C3380CC4-5D6E-409C-BE32-E72D297353CC}">
              <c16:uniqueId val="{00000000-31EC-1243-BAB5-90351EB562BF}"/>
            </c:ext>
          </c:extLst>
        </c:ser>
        <c:dLbls>
          <c:showLegendKey val="0"/>
          <c:showVal val="0"/>
          <c:showCatName val="0"/>
          <c:showSerName val="0"/>
          <c:showPercent val="0"/>
          <c:showBubbleSize val="0"/>
        </c:dLbls>
        <c:gapWidth val="10"/>
        <c:overlap val="-27"/>
        <c:axId val="1168558975"/>
        <c:axId val="1204902191"/>
      </c:barChart>
      <c:catAx>
        <c:axId val="1168558975"/>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US" sz="1100" b="1">
                    <a:solidFill>
                      <a:schemeClr val="accent1"/>
                    </a:solidFill>
                  </a:rPr>
                  <a:t>AGE GROUP</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580000" spcFirstLastPara="1" vertOverflow="ellipsis"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VN"/>
          </a:p>
        </c:txPr>
        <c:crossAx val="1204902191"/>
        <c:crosses val="autoZero"/>
        <c:auto val="1"/>
        <c:lblAlgn val="ctr"/>
        <c:lblOffset val="100"/>
        <c:noMultiLvlLbl val="0"/>
      </c:catAx>
      <c:valAx>
        <c:axId val="1204902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US" sz="1100" b="1">
                    <a:solidFill>
                      <a:schemeClr val="accent1"/>
                    </a:solidFill>
                  </a:rPr>
                  <a:t>AVERAGE INCOME</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VN"/>
          </a:p>
        </c:txPr>
        <c:crossAx val="1168558975"/>
        <c:crosses val="autoZero"/>
        <c:crossBetween val="between"/>
        <c:majorUnit val="2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pivotSource>
    <c:name>[Huyen Trang - Excel file.xlsx]Pie | Gender!P2</c:name>
    <c:fmtId val="5"/>
  </c:pivotSource>
  <c:chart>
    <c:title>
      <c:tx>
        <c:rich>
          <a:bodyPr rot="0" spcFirstLastPara="1" vertOverflow="ellipsis" vert="horz" wrap="square" anchor="ctr" anchorCtr="1"/>
          <a:lstStyle/>
          <a:p>
            <a:pPr>
              <a:defRPr sz="16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r>
              <a:rPr lang="en-US" sz="1600" b="1">
                <a:solidFill>
                  <a:schemeClr val="accent1"/>
                </a:solidFill>
                <a:latin typeface="Times New Roman" panose="02020603050405020304" pitchFamily="18" charset="0"/>
                <a:cs typeface="Times New Roman" panose="02020603050405020304" pitchFamily="18" charset="0"/>
              </a:rPr>
              <a:t>GENDER</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autoTitleDeleted val="0"/>
    <c:pivotFmts>
      <c:pivotFmt>
        <c:idx val="0"/>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VN"/>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4">
              <a:lumMod val="75000"/>
            </a:schemeClr>
          </a:solidFill>
          <a:ln>
            <a:noFill/>
          </a:ln>
          <a:effectLst/>
        </c:spPr>
        <c:dLbl>
          <c:idx val="0"/>
          <c:layout>
            <c:manualLayout>
              <c:x val="3.6197899377249008E-2"/>
              <c:y val="-0.33502442403032956"/>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VN"/>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lumMod val="60000"/>
              <a:lumOff val="40000"/>
            </a:schemeClr>
          </a:solidFill>
          <a:ln>
            <a:noFill/>
          </a:ln>
          <a:effectLst/>
        </c:spPr>
        <c:dLbl>
          <c:idx val="0"/>
          <c:layout>
            <c:manualLayout>
              <c:x val="-2.3320630452390752E-2"/>
              <c:y val="0.25169145523476233"/>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VN"/>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VN"/>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4">
              <a:lumMod val="75000"/>
            </a:schemeClr>
          </a:solidFill>
          <a:ln>
            <a:noFill/>
          </a:ln>
          <a:effectLst/>
        </c:spPr>
        <c:dLbl>
          <c:idx val="0"/>
          <c:layout>
            <c:manualLayout>
              <c:x val="3.6197899377249008E-2"/>
              <c:y val="-0.33502442403032956"/>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VN"/>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lumMod val="60000"/>
              <a:lumOff val="40000"/>
            </a:schemeClr>
          </a:solidFill>
          <a:ln>
            <a:noFill/>
          </a:ln>
          <a:effectLst/>
        </c:spPr>
        <c:dLbl>
          <c:idx val="0"/>
          <c:layout>
            <c:manualLayout>
              <c:x val="-2.3320630452390752E-2"/>
              <c:y val="0.25169145523476233"/>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VN"/>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VN"/>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4">
              <a:lumMod val="75000"/>
            </a:schemeClr>
          </a:solidFill>
          <a:ln>
            <a:noFill/>
          </a:ln>
          <a:effectLst/>
        </c:spPr>
        <c:dLbl>
          <c:idx val="0"/>
          <c:layout>
            <c:manualLayout>
              <c:x val="-2.1838902487009797E-2"/>
              <c:y val="-0.41017110391320377"/>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VN"/>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9048717092629969"/>
                  <c:h val="0.11731231210834681"/>
                </c:manualLayout>
              </c15:layout>
            </c:ext>
          </c:extLst>
        </c:dLbl>
      </c:pivotFmt>
      <c:pivotFmt>
        <c:idx val="8"/>
        <c:spPr>
          <a:solidFill>
            <a:schemeClr val="accent1">
              <a:lumMod val="60000"/>
              <a:lumOff val="40000"/>
            </a:schemeClr>
          </a:solidFill>
          <a:ln>
            <a:noFill/>
          </a:ln>
          <a:effectLst/>
        </c:spPr>
        <c:dLbl>
          <c:idx val="0"/>
          <c:layout>
            <c:manualLayout>
              <c:x val="3.6472121738778965E-2"/>
              <c:y val="0.26939600121135515"/>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VN"/>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5867703571921357"/>
                  <c:h val="0.11067700033751271"/>
                </c:manualLayout>
              </c15:layout>
            </c:ext>
          </c:extLst>
        </c:dLbl>
      </c:pivotFmt>
    </c:pivotFmts>
    <c:plotArea>
      <c:layout>
        <c:manualLayout>
          <c:layoutTarget val="inner"/>
          <c:xMode val="edge"/>
          <c:yMode val="edge"/>
          <c:x val="0.16640295954284953"/>
          <c:y val="0.25075084268183495"/>
          <c:w val="0.60257236293866812"/>
          <c:h val="0.66741783852109327"/>
        </c:manualLayout>
      </c:layout>
      <c:pieChart>
        <c:varyColors val="1"/>
        <c:ser>
          <c:idx val="0"/>
          <c:order val="0"/>
          <c:tx>
            <c:strRef>
              <c:f>'Pie | Gender'!$B$3</c:f>
              <c:strCache>
                <c:ptCount val="1"/>
                <c:pt idx="0">
                  <c:v>Tổng</c:v>
                </c:pt>
              </c:strCache>
            </c:strRef>
          </c:tx>
          <c:dPt>
            <c:idx val="0"/>
            <c:bubble3D val="0"/>
            <c:spPr>
              <a:solidFill>
                <a:schemeClr val="accent4">
                  <a:lumMod val="75000"/>
                </a:schemeClr>
              </a:solidFill>
              <a:ln>
                <a:noFill/>
              </a:ln>
              <a:effectLst/>
            </c:spPr>
            <c:extLst>
              <c:ext xmlns:c16="http://schemas.microsoft.com/office/drawing/2014/chart" uri="{C3380CC4-5D6E-409C-BE32-E72D297353CC}">
                <c16:uniqueId val="{00000001-BE26-7545-88D4-2DFC67B05DB2}"/>
              </c:ext>
            </c:extLst>
          </c:dPt>
          <c:dPt>
            <c:idx val="1"/>
            <c:bubble3D val="0"/>
            <c:spPr>
              <a:solidFill>
                <a:schemeClr val="accent1">
                  <a:lumMod val="60000"/>
                  <a:lumOff val="40000"/>
                </a:schemeClr>
              </a:solidFill>
              <a:ln>
                <a:noFill/>
              </a:ln>
              <a:effectLst/>
            </c:spPr>
            <c:extLst>
              <c:ext xmlns:c16="http://schemas.microsoft.com/office/drawing/2014/chart" uri="{C3380CC4-5D6E-409C-BE32-E72D297353CC}">
                <c16:uniqueId val="{00000003-BE26-7545-88D4-2DFC67B05DB2}"/>
              </c:ext>
            </c:extLst>
          </c:dPt>
          <c:dLbls>
            <c:dLbl>
              <c:idx val="0"/>
              <c:layout>
                <c:manualLayout>
                  <c:x val="-2.1838902487009797E-2"/>
                  <c:y val="-0.41017110391320377"/>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VN"/>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9048717092629969"/>
                      <c:h val="0.11731231210834681"/>
                    </c:manualLayout>
                  </c15:layout>
                </c:ext>
                <c:ext xmlns:c16="http://schemas.microsoft.com/office/drawing/2014/chart" uri="{C3380CC4-5D6E-409C-BE32-E72D297353CC}">
                  <c16:uniqueId val="{00000001-BE26-7545-88D4-2DFC67B05DB2}"/>
                </c:ext>
              </c:extLst>
            </c:dLbl>
            <c:dLbl>
              <c:idx val="1"/>
              <c:layout>
                <c:manualLayout>
                  <c:x val="3.6472121738778965E-2"/>
                  <c:y val="0.26939600121135515"/>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VN"/>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5867703571921357"/>
                      <c:h val="0.11067700033751271"/>
                    </c:manualLayout>
                  </c15:layout>
                </c:ext>
                <c:ext xmlns:c16="http://schemas.microsoft.com/office/drawing/2014/chart" uri="{C3380CC4-5D6E-409C-BE32-E72D297353CC}">
                  <c16:uniqueId val="{00000003-BE26-7545-88D4-2DFC67B05DB2}"/>
                </c:ext>
              </c:extLst>
            </c:dLbl>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VN"/>
              </a:p>
            </c:txPr>
            <c:dLblPos val="ct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 Gender'!$A$4:$A$6</c:f>
              <c:strCache>
                <c:ptCount val="2"/>
                <c:pt idx="0">
                  <c:v>Female</c:v>
                </c:pt>
                <c:pt idx="1">
                  <c:v>Male</c:v>
                </c:pt>
              </c:strCache>
            </c:strRef>
          </c:cat>
          <c:val>
            <c:numRef>
              <c:f>'Pie | Gender'!$B$4:$B$6</c:f>
              <c:numCache>
                <c:formatCode>0.00%</c:formatCode>
                <c:ptCount val="2"/>
                <c:pt idx="0" formatCode="0.0%">
                  <c:v>0.49099999999999999</c:v>
                </c:pt>
                <c:pt idx="1">
                  <c:v>0.50900000000000001</c:v>
                </c:pt>
              </c:numCache>
            </c:numRef>
          </c:val>
          <c:extLst>
            <c:ext xmlns:c16="http://schemas.microsoft.com/office/drawing/2014/chart" uri="{C3380CC4-5D6E-409C-BE32-E72D297353CC}">
              <c16:uniqueId val="{00000004-BE26-7545-88D4-2DFC67B05DB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pivotSource>
    <c:name>[Huyen Trang - Excel file.xlsx]Line | Ded - Age &amp; Gender!P3</c:name>
    <c:fmtId val="5"/>
  </c:pivotSource>
  <c:chart>
    <c:title>
      <c:tx>
        <c:rich>
          <a:bodyPr rot="0" spcFirstLastPara="1" vertOverflow="ellipsis" vert="horz" wrap="square" anchor="ctr" anchorCtr="1"/>
          <a:lstStyle/>
          <a:p>
            <a:pPr>
              <a:defRPr sz="16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r>
              <a:rPr lang="en-US" sz="1600" b="1">
                <a:solidFill>
                  <a:schemeClr val="accent1"/>
                </a:solidFill>
              </a:rPr>
              <a:t>AVERAGE DEDUCTIONS BY GENDER &amp; AGE GROUP</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 Ded - Age &amp; Gender'!$B$3:$B$4</c:f>
              <c:strCache>
                <c:ptCount val="1"/>
                <c:pt idx="0">
                  <c:v>Female</c:v>
                </c:pt>
              </c:strCache>
            </c:strRef>
          </c:tx>
          <c:spPr>
            <a:ln w="28575" cap="rnd">
              <a:solidFill>
                <a:schemeClr val="accent4"/>
              </a:solidFill>
              <a:round/>
            </a:ln>
            <a:effectLst/>
          </c:spPr>
          <c:marker>
            <c:symbol val="none"/>
          </c:marker>
          <c:cat>
            <c:strRef>
              <c:f>'Line | Ded - Age &amp; Gender'!$A$5:$A$17</c:f>
              <c:strCache>
                <c:ptCount val="12"/>
                <c:pt idx="0">
                  <c:v>under 20</c:v>
                </c:pt>
                <c:pt idx="1">
                  <c:v>20 to 24</c:v>
                </c:pt>
                <c:pt idx="2">
                  <c:v>25 to 29</c:v>
                </c:pt>
                <c:pt idx="3">
                  <c:v>30 to 34</c:v>
                </c:pt>
                <c:pt idx="4">
                  <c:v>35 to 39</c:v>
                </c:pt>
                <c:pt idx="5">
                  <c:v>40 to 44</c:v>
                </c:pt>
                <c:pt idx="6">
                  <c:v>45 to 49</c:v>
                </c:pt>
                <c:pt idx="7">
                  <c:v>50 to 54</c:v>
                </c:pt>
                <c:pt idx="8">
                  <c:v>55 to 59</c:v>
                </c:pt>
                <c:pt idx="9">
                  <c:v>60 to 64</c:v>
                </c:pt>
                <c:pt idx="10">
                  <c:v>65 to 69</c:v>
                </c:pt>
                <c:pt idx="11">
                  <c:v>70 and over</c:v>
                </c:pt>
              </c:strCache>
            </c:strRef>
          </c:cat>
          <c:val>
            <c:numRef>
              <c:f>'Line | Ded - Age &amp; Gender'!$B$5:$B$17</c:f>
              <c:numCache>
                <c:formatCode>0</c:formatCode>
                <c:ptCount val="12"/>
                <c:pt idx="0">
                  <c:v>49.714285714285715</c:v>
                </c:pt>
                <c:pt idx="1">
                  <c:v>832.25531914893622</c:v>
                </c:pt>
                <c:pt idx="2">
                  <c:v>1674.9830508474577</c:v>
                </c:pt>
                <c:pt idx="3">
                  <c:v>1514.408163265306</c:v>
                </c:pt>
                <c:pt idx="4">
                  <c:v>2354.7948717948716</c:v>
                </c:pt>
                <c:pt idx="5">
                  <c:v>2296.6727272727271</c:v>
                </c:pt>
                <c:pt idx="6">
                  <c:v>1869.7818181818182</c:v>
                </c:pt>
                <c:pt idx="7">
                  <c:v>1266.1803278688524</c:v>
                </c:pt>
                <c:pt idx="8">
                  <c:v>1781.3695652173913</c:v>
                </c:pt>
                <c:pt idx="9">
                  <c:v>2389.212121212121</c:v>
                </c:pt>
                <c:pt idx="10">
                  <c:v>1529.3636363636363</c:v>
                </c:pt>
                <c:pt idx="11">
                  <c:v>447.34482758620692</c:v>
                </c:pt>
              </c:numCache>
            </c:numRef>
          </c:val>
          <c:smooth val="0"/>
          <c:extLst>
            <c:ext xmlns:c16="http://schemas.microsoft.com/office/drawing/2014/chart" uri="{C3380CC4-5D6E-409C-BE32-E72D297353CC}">
              <c16:uniqueId val="{00000000-1753-3642-9B38-CFE0C05D769A}"/>
            </c:ext>
          </c:extLst>
        </c:ser>
        <c:ser>
          <c:idx val="1"/>
          <c:order val="1"/>
          <c:tx>
            <c:strRef>
              <c:f>'Line | Ded - Age &amp; Gender'!$C$3:$C$4</c:f>
              <c:strCache>
                <c:ptCount val="1"/>
                <c:pt idx="0">
                  <c:v>Male</c:v>
                </c:pt>
              </c:strCache>
            </c:strRef>
          </c:tx>
          <c:spPr>
            <a:ln w="28575" cap="rnd">
              <a:solidFill>
                <a:schemeClr val="accent1">
                  <a:lumMod val="20000"/>
                  <a:lumOff val="80000"/>
                </a:schemeClr>
              </a:solidFill>
              <a:round/>
            </a:ln>
            <a:effectLst/>
          </c:spPr>
          <c:marker>
            <c:symbol val="none"/>
          </c:marker>
          <c:cat>
            <c:strRef>
              <c:f>'Line | Ded - Age &amp; Gender'!$A$5:$A$17</c:f>
              <c:strCache>
                <c:ptCount val="12"/>
                <c:pt idx="0">
                  <c:v>under 20</c:v>
                </c:pt>
                <c:pt idx="1">
                  <c:v>20 to 24</c:v>
                </c:pt>
                <c:pt idx="2">
                  <c:v>25 to 29</c:v>
                </c:pt>
                <c:pt idx="3">
                  <c:v>30 to 34</c:v>
                </c:pt>
                <c:pt idx="4">
                  <c:v>35 to 39</c:v>
                </c:pt>
                <c:pt idx="5">
                  <c:v>40 to 44</c:v>
                </c:pt>
                <c:pt idx="6">
                  <c:v>45 to 49</c:v>
                </c:pt>
                <c:pt idx="7">
                  <c:v>50 to 54</c:v>
                </c:pt>
                <c:pt idx="8">
                  <c:v>55 to 59</c:v>
                </c:pt>
                <c:pt idx="9">
                  <c:v>60 to 64</c:v>
                </c:pt>
                <c:pt idx="10">
                  <c:v>65 to 69</c:v>
                </c:pt>
                <c:pt idx="11">
                  <c:v>70 and over</c:v>
                </c:pt>
              </c:strCache>
            </c:strRef>
          </c:cat>
          <c:val>
            <c:numRef>
              <c:f>'Line | Ded - Age &amp; Gender'!$C$5:$C$17</c:f>
              <c:numCache>
                <c:formatCode>0</c:formatCode>
                <c:ptCount val="12"/>
                <c:pt idx="0">
                  <c:v>431.66666666666669</c:v>
                </c:pt>
                <c:pt idx="1">
                  <c:v>2308.5192307692309</c:v>
                </c:pt>
                <c:pt idx="2">
                  <c:v>3637.0833333333335</c:v>
                </c:pt>
                <c:pt idx="3">
                  <c:v>2881.28</c:v>
                </c:pt>
                <c:pt idx="4">
                  <c:v>3882.6304347826085</c:v>
                </c:pt>
                <c:pt idx="5">
                  <c:v>4807.3396226415098</c:v>
                </c:pt>
                <c:pt idx="6">
                  <c:v>4195.3018867924529</c:v>
                </c:pt>
                <c:pt idx="7">
                  <c:v>3257.1632653061224</c:v>
                </c:pt>
                <c:pt idx="8">
                  <c:v>5454.1081081081084</c:v>
                </c:pt>
                <c:pt idx="9">
                  <c:v>1539.5952380952381</c:v>
                </c:pt>
                <c:pt idx="10">
                  <c:v>3373.8148148148148</c:v>
                </c:pt>
                <c:pt idx="11">
                  <c:v>868.02941176470586</c:v>
                </c:pt>
              </c:numCache>
            </c:numRef>
          </c:val>
          <c:smooth val="0"/>
          <c:extLst>
            <c:ext xmlns:c16="http://schemas.microsoft.com/office/drawing/2014/chart" uri="{C3380CC4-5D6E-409C-BE32-E72D297353CC}">
              <c16:uniqueId val="{00000001-C4DA-485E-BA22-D131EE7FEF2C}"/>
            </c:ext>
          </c:extLst>
        </c:ser>
        <c:dLbls>
          <c:showLegendKey val="0"/>
          <c:showVal val="0"/>
          <c:showCatName val="0"/>
          <c:showSerName val="0"/>
          <c:showPercent val="0"/>
          <c:showBubbleSize val="0"/>
        </c:dLbls>
        <c:smooth val="0"/>
        <c:axId val="1476911503"/>
        <c:axId val="1531609887"/>
      </c:lineChart>
      <c:catAx>
        <c:axId val="1476911503"/>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US" sz="1100" b="1">
                    <a:solidFill>
                      <a:schemeClr val="accent1"/>
                    </a:solidFill>
                  </a:rPr>
                  <a:t>AGE GROUP</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crossAx val="1531609887"/>
        <c:crosses val="autoZero"/>
        <c:auto val="1"/>
        <c:lblAlgn val="ctr"/>
        <c:lblOffset val="100"/>
        <c:noMultiLvlLbl val="0"/>
      </c:catAx>
      <c:valAx>
        <c:axId val="1531609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US" sz="1100" b="1">
                    <a:solidFill>
                      <a:schemeClr val="accent1"/>
                    </a:solidFill>
                  </a:rPr>
                  <a:t>TOTAL DEDUCTIONS</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crossAx val="14769115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pivotSource>
    <c:name>[Huyen Trang - Excel file.xlsx]Bar | Tax - Occ &amp; Part!P4</c:name>
    <c:fmtId val="5"/>
  </c:pivotSource>
  <c:chart>
    <c:title>
      <c:tx>
        <c:rich>
          <a:bodyPr rot="0" spcFirstLastPara="1" vertOverflow="ellipsis" vert="horz" wrap="square" anchor="ctr" anchorCtr="1"/>
          <a:lstStyle/>
          <a:p>
            <a:pPr>
              <a:defRPr sz="14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r>
              <a:rPr lang="en-US" b="1">
                <a:solidFill>
                  <a:schemeClr val="accent1"/>
                </a:solidFill>
              </a:rPr>
              <a:t>AVERAGE TAXABLE</a:t>
            </a:r>
            <a:r>
              <a:rPr lang="en-US" b="1" baseline="0">
                <a:solidFill>
                  <a:schemeClr val="accent1"/>
                </a:solidFill>
              </a:rPr>
              <a:t> INCOME BY OCCUPATION &amp; PARTNER STATUS</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4">
              <a:lumMod val="75000"/>
            </a:schemeClr>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lumMod val="20000"/>
              <a:lumOff val="80000"/>
            </a:schemeClr>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 Tax - Occ &amp; Part'!$B$3:$B$4</c:f>
              <c:strCache>
                <c:ptCount val="1"/>
                <c:pt idx="0">
                  <c:v>Partnered</c:v>
                </c:pt>
              </c:strCache>
            </c:strRef>
          </c:tx>
          <c:spPr>
            <a:solidFill>
              <a:schemeClr val="accent4">
                <a:lumMod val="75000"/>
              </a:schemeClr>
            </a:solidFill>
            <a:ln>
              <a:noFill/>
            </a:ln>
            <a:effectLst/>
          </c:spPr>
          <c:invertIfNegative val="0"/>
          <c:cat>
            <c:strRef>
              <c:f>'Bar | Tax - Occ &amp; Part'!$A$5:$A$15</c:f>
              <c:strCache>
                <c:ptCount val="10"/>
                <c:pt idx="0">
                  <c:v>Clerical and Administrative Workers</c:v>
                </c:pt>
                <c:pt idx="1">
                  <c:v>Community and Personal Service Workers</c:v>
                </c:pt>
                <c:pt idx="2">
                  <c:v>Consultants, apprentices and type not specified or not listed</c:v>
                </c:pt>
                <c:pt idx="3">
                  <c:v>Labourers</c:v>
                </c:pt>
                <c:pt idx="4">
                  <c:v>Machinery operators and drivers</c:v>
                </c:pt>
                <c:pt idx="5">
                  <c:v>Managers</c:v>
                </c:pt>
                <c:pt idx="6">
                  <c:v>Occupation not listed/ Occupation not specified</c:v>
                </c:pt>
                <c:pt idx="7">
                  <c:v>Professionals</c:v>
                </c:pt>
                <c:pt idx="8">
                  <c:v>Sales workers</c:v>
                </c:pt>
                <c:pt idx="9">
                  <c:v>Technicians and Trades Workers</c:v>
                </c:pt>
              </c:strCache>
            </c:strRef>
          </c:cat>
          <c:val>
            <c:numRef>
              <c:f>'Bar | Tax - Occ &amp; Part'!$B$5:$B$15</c:f>
              <c:numCache>
                <c:formatCode>0</c:formatCode>
                <c:ptCount val="10"/>
                <c:pt idx="0">
                  <c:v>52584.971830985916</c:v>
                </c:pt>
                <c:pt idx="1">
                  <c:v>44549.275000000001</c:v>
                </c:pt>
                <c:pt idx="2">
                  <c:v>40279.695652173912</c:v>
                </c:pt>
                <c:pt idx="3">
                  <c:v>48515.9375</c:v>
                </c:pt>
                <c:pt idx="4">
                  <c:v>73717</c:v>
                </c:pt>
                <c:pt idx="5">
                  <c:v>100707.32894736843</c:v>
                </c:pt>
                <c:pt idx="6">
                  <c:v>39923.7578125</c:v>
                </c:pt>
                <c:pt idx="7">
                  <c:v>86899.675438596489</c:v>
                </c:pt>
                <c:pt idx="8">
                  <c:v>43058.15</c:v>
                </c:pt>
                <c:pt idx="9">
                  <c:v>71113.277777777781</c:v>
                </c:pt>
              </c:numCache>
            </c:numRef>
          </c:val>
          <c:extLst>
            <c:ext xmlns:c16="http://schemas.microsoft.com/office/drawing/2014/chart" uri="{C3380CC4-5D6E-409C-BE32-E72D297353CC}">
              <c16:uniqueId val="{00000000-9197-E04E-8145-B19DD5D73C23}"/>
            </c:ext>
          </c:extLst>
        </c:ser>
        <c:ser>
          <c:idx val="1"/>
          <c:order val="1"/>
          <c:tx>
            <c:strRef>
              <c:f>'Bar | Tax - Occ &amp; Part'!$C$3:$C$4</c:f>
              <c:strCache>
                <c:ptCount val="1"/>
                <c:pt idx="0">
                  <c:v>Single</c:v>
                </c:pt>
              </c:strCache>
            </c:strRef>
          </c:tx>
          <c:spPr>
            <a:solidFill>
              <a:schemeClr val="accent1">
                <a:lumMod val="20000"/>
                <a:lumOff val="80000"/>
              </a:schemeClr>
            </a:solidFill>
            <a:ln>
              <a:noFill/>
            </a:ln>
            <a:effectLst/>
          </c:spPr>
          <c:invertIfNegative val="0"/>
          <c:cat>
            <c:strRef>
              <c:f>'Bar | Tax - Occ &amp; Part'!$A$5:$A$15</c:f>
              <c:strCache>
                <c:ptCount val="10"/>
                <c:pt idx="0">
                  <c:v>Clerical and Administrative Workers</c:v>
                </c:pt>
                <c:pt idx="1">
                  <c:v>Community and Personal Service Workers</c:v>
                </c:pt>
                <c:pt idx="2">
                  <c:v>Consultants, apprentices and type not specified or not listed</c:v>
                </c:pt>
                <c:pt idx="3">
                  <c:v>Labourers</c:v>
                </c:pt>
                <c:pt idx="4">
                  <c:v>Machinery operators and drivers</c:v>
                </c:pt>
                <c:pt idx="5">
                  <c:v>Managers</c:v>
                </c:pt>
                <c:pt idx="6">
                  <c:v>Occupation not listed/ Occupation not specified</c:v>
                </c:pt>
                <c:pt idx="7">
                  <c:v>Professionals</c:v>
                </c:pt>
                <c:pt idx="8">
                  <c:v>Sales workers</c:v>
                </c:pt>
                <c:pt idx="9">
                  <c:v>Technicians and Trades Workers</c:v>
                </c:pt>
              </c:strCache>
            </c:strRef>
          </c:cat>
          <c:val>
            <c:numRef>
              <c:f>'Bar | Tax - Occ &amp; Part'!$C$5:$C$15</c:f>
              <c:numCache>
                <c:formatCode>0</c:formatCode>
                <c:ptCount val="10"/>
                <c:pt idx="0">
                  <c:v>54068.07547169811</c:v>
                </c:pt>
                <c:pt idx="1">
                  <c:v>35791.634146341465</c:v>
                </c:pt>
                <c:pt idx="2">
                  <c:v>37090.216216216213</c:v>
                </c:pt>
                <c:pt idx="3">
                  <c:v>36977.472222222219</c:v>
                </c:pt>
                <c:pt idx="4">
                  <c:v>55093.428571428572</c:v>
                </c:pt>
                <c:pt idx="5">
                  <c:v>60456.705882352944</c:v>
                </c:pt>
                <c:pt idx="6">
                  <c:v>37765.43076923077</c:v>
                </c:pt>
                <c:pt idx="7">
                  <c:v>72109.854166666672</c:v>
                </c:pt>
                <c:pt idx="8">
                  <c:v>30030.837837837837</c:v>
                </c:pt>
                <c:pt idx="9">
                  <c:v>61230.2</c:v>
                </c:pt>
              </c:numCache>
            </c:numRef>
          </c:val>
          <c:extLst>
            <c:ext xmlns:c16="http://schemas.microsoft.com/office/drawing/2014/chart" uri="{C3380CC4-5D6E-409C-BE32-E72D297353CC}">
              <c16:uniqueId val="{00000001-9197-E04E-8145-B19DD5D73C23}"/>
            </c:ext>
          </c:extLst>
        </c:ser>
        <c:dLbls>
          <c:showLegendKey val="0"/>
          <c:showVal val="0"/>
          <c:showCatName val="0"/>
          <c:showSerName val="0"/>
          <c:showPercent val="0"/>
          <c:showBubbleSize val="0"/>
        </c:dLbls>
        <c:gapWidth val="45"/>
        <c:axId val="1513162239"/>
        <c:axId val="1793556671"/>
      </c:barChart>
      <c:catAx>
        <c:axId val="151316223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US" b="1">
                    <a:solidFill>
                      <a:schemeClr val="accent1"/>
                    </a:solidFill>
                  </a:rPr>
                  <a:t>OCCUPATION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crossAx val="1793556671"/>
        <c:crosses val="autoZero"/>
        <c:auto val="1"/>
        <c:lblAlgn val="ctr"/>
        <c:lblOffset val="100"/>
        <c:noMultiLvlLbl val="0"/>
      </c:catAx>
      <c:valAx>
        <c:axId val="17935566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US" b="1">
                    <a:solidFill>
                      <a:schemeClr val="accent1"/>
                    </a:solidFill>
                  </a:rPr>
                  <a:t>AVERAGE</a:t>
                </a:r>
                <a:r>
                  <a:rPr lang="en-US" b="1" baseline="0">
                    <a:solidFill>
                      <a:schemeClr val="accent1"/>
                    </a:solidFill>
                  </a:rPr>
                  <a:t> TAXABLE INCOME</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US"/>
            </a:p>
          </c:txPr>
        </c:title>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VN"/>
          </a:p>
        </c:txPr>
        <c:crossAx val="1513162239"/>
        <c:crosses val="autoZero"/>
        <c:crossBetween val="between"/>
      </c:valAx>
      <c:spPr>
        <a:noFill/>
        <a:ln>
          <a:noFill/>
        </a:ln>
        <a:effectLst/>
      </c:spPr>
    </c:plotArea>
    <c:legend>
      <c:legendPos val="t"/>
      <c:layout>
        <c:manualLayout>
          <c:xMode val="edge"/>
          <c:yMode val="edge"/>
          <c:x val="0.32571192944956856"/>
          <c:y val="0.11379575311032443"/>
          <c:w val="0.46897927839744169"/>
          <c:h val="6.198178393804847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pivotSource>
    <c:name>[Huyen Trang - Excel file.xlsx]Bar | Inc - Health &amp; Occ!P5</c:name>
    <c:fmtId val="4"/>
  </c:pivotSource>
  <c:chart>
    <c:title>
      <c:tx>
        <c:rich>
          <a:bodyPr rot="0" spcFirstLastPara="1" vertOverflow="ellipsis" vert="horz" wrap="square" anchor="ctr" anchorCtr="1"/>
          <a:lstStyle/>
          <a:p>
            <a:pPr>
              <a:defRPr sz="16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r>
              <a:rPr lang="en-US" sz="1600" b="1">
                <a:solidFill>
                  <a:schemeClr val="accent1"/>
                </a:solidFill>
              </a:rPr>
              <a:t>AVERAGE INCOME BASED UPON</a:t>
            </a:r>
            <a:r>
              <a:rPr lang="en-US" sz="1600" b="1" baseline="0">
                <a:solidFill>
                  <a:schemeClr val="accent1"/>
                </a:solidFill>
              </a:rPr>
              <a:t> HEALTH COVER &amp; OCCUPATION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pivotFmt>
      <c:pivotFmt>
        <c:idx val="2"/>
        <c:spPr>
          <a:solidFill>
            <a:schemeClr val="accent4"/>
          </a:solidFill>
          <a:ln>
            <a:noFill/>
          </a:ln>
          <a:effectLst/>
        </c:spPr>
      </c:pivotFmt>
      <c:pivotFmt>
        <c:idx val="3"/>
        <c:spPr>
          <a:solidFill>
            <a:schemeClr val="accent1">
              <a:lumMod val="20000"/>
              <a:lumOff val="80000"/>
            </a:schemeClr>
          </a:solidFill>
          <a:ln>
            <a:noFill/>
          </a:ln>
          <a:effectLst/>
        </c:spPr>
      </c:pivotFmt>
      <c:pivotFmt>
        <c:idx val="4"/>
        <c:spPr>
          <a:solidFill>
            <a:schemeClr val="accent1">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lumMod val="20000"/>
              <a:lumOff val="80000"/>
            </a:schemeClr>
          </a:solidFill>
          <a:ln>
            <a:noFill/>
          </a:ln>
          <a:effectLst/>
        </c:spPr>
      </c:pivotFmt>
      <c:pivotFmt>
        <c:idx val="8"/>
        <c:spPr>
          <a:solidFill>
            <a:schemeClr val="accent1">
              <a:lumMod val="20000"/>
              <a:lumOff val="80000"/>
            </a:schemeClr>
          </a:solidFill>
          <a:ln>
            <a:noFill/>
          </a:ln>
          <a:effectLst/>
        </c:spPr>
      </c:pivotFmt>
      <c:pivotFmt>
        <c:idx val="9"/>
        <c:spPr>
          <a:solidFill>
            <a:schemeClr val="accent1">
              <a:lumMod val="20000"/>
              <a:lumOff val="80000"/>
            </a:schemeClr>
          </a:solidFill>
          <a:ln>
            <a:noFill/>
          </a:ln>
          <a:effectLst/>
        </c:spPr>
      </c:pivotFmt>
      <c:pivotFmt>
        <c:idx val="10"/>
        <c:spPr>
          <a:solidFill>
            <a:schemeClr val="accent4">
              <a:lumMod val="20000"/>
              <a:lumOff val="80000"/>
            </a:schemeClr>
          </a:solidFill>
          <a:ln>
            <a:noFill/>
          </a:ln>
          <a:effectLst/>
        </c:spPr>
      </c:pivotFmt>
      <c:pivotFmt>
        <c:idx val="11"/>
        <c:spPr>
          <a:solidFill>
            <a:schemeClr val="accent1">
              <a:lumMod val="20000"/>
              <a:lumOff val="80000"/>
            </a:schemeClr>
          </a:solidFill>
          <a:ln>
            <a:noFill/>
          </a:ln>
          <a:effectLst/>
        </c:spPr>
      </c:pivotFmt>
      <c:pivotFmt>
        <c:idx val="12"/>
        <c:spPr>
          <a:solidFill>
            <a:schemeClr val="accent4"/>
          </a:solidFill>
          <a:ln>
            <a:noFill/>
          </a:ln>
          <a:effectLst/>
        </c:spPr>
      </c:pivotFmt>
      <c:pivotFmt>
        <c:idx val="13"/>
        <c:spPr>
          <a:solidFill>
            <a:schemeClr val="accent4"/>
          </a:solidFill>
          <a:ln>
            <a:noFill/>
          </a:ln>
          <a:effectLst/>
        </c:spPr>
      </c:pivotFmt>
      <c:pivotFmt>
        <c:idx val="14"/>
        <c:spPr>
          <a:solidFill>
            <a:schemeClr val="accent4"/>
          </a:solidFill>
          <a:ln>
            <a:noFill/>
          </a:ln>
          <a:effectLst/>
        </c:spPr>
      </c:pivotFmt>
      <c:pivotFmt>
        <c:idx val="15"/>
        <c:spPr>
          <a:solidFill>
            <a:schemeClr val="accent4"/>
          </a:solidFill>
          <a:ln>
            <a:noFill/>
          </a:ln>
          <a:effectLst/>
        </c:spPr>
      </c:pivotFmt>
      <c:pivotFmt>
        <c:idx val="16"/>
        <c:spPr>
          <a:solidFill>
            <a:schemeClr val="accent4"/>
          </a:solidFill>
          <a:ln>
            <a:noFill/>
          </a:ln>
          <a:effectLst/>
        </c:spPr>
      </c:pivotFmt>
      <c:pivotFmt>
        <c:idx val="17"/>
        <c:spPr>
          <a:solidFill>
            <a:schemeClr val="accent4"/>
          </a:solidFill>
          <a:ln>
            <a:noFill/>
          </a:ln>
          <a:effectLst/>
        </c:spPr>
      </c:pivotFmt>
      <c:pivotFmt>
        <c:idx val="18"/>
        <c:spPr>
          <a:solidFill>
            <a:schemeClr val="accent4"/>
          </a:solidFill>
          <a:ln>
            <a:noFill/>
          </a:ln>
          <a:effectLst/>
        </c:spPr>
      </c:pivotFmt>
      <c:pivotFmt>
        <c:idx val="19"/>
        <c:spPr>
          <a:solidFill>
            <a:schemeClr val="accent4"/>
          </a:solidFill>
          <a:ln>
            <a:noFill/>
          </a:ln>
          <a:effectLst/>
        </c:spPr>
      </c:pivotFmt>
      <c:pivotFmt>
        <c:idx val="20"/>
        <c:spPr>
          <a:solidFill>
            <a:schemeClr val="accent4"/>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lumMod val="20000"/>
              <a:lumOff val="80000"/>
            </a:schemeClr>
          </a:solidFill>
          <a:ln>
            <a:noFill/>
          </a:ln>
          <a:effectLst/>
        </c:spPr>
      </c:pivotFmt>
      <c:pivotFmt>
        <c:idx val="23"/>
        <c:spPr>
          <a:solidFill>
            <a:schemeClr val="accent4"/>
          </a:solidFill>
          <a:ln>
            <a:noFill/>
          </a:ln>
          <a:effectLst/>
        </c:spPr>
      </c:pivotFmt>
      <c:pivotFmt>
        <c:idx val="24"/>
        <c:spPr>
          <a:solidFill>
            <a:schemeClr val="accent1">
              <a:lumMod val="20000"/>
              <a:lumOff val="80000"/>
            </a:schemeClr>
          </a:solidFill>
          <a:ln>
            <a:noFill/>
          </a:ln>
          <a:effectLst/>
        </c:spPr>
      </c:pivotFmt>
      <c:pivotFmt>
        <c:idx val="25"/>
        <c:spPr>
          <a:solidFill>
            <a:schemeClr val="accent4"/>
          </a:solidFill>
          <a:ln>
            <a:noFill/>
          </a:ln>
          <a:effectLst/>
        </c:spPr>
      </c:pivotFmt>
      <c:pivotFmt>
        <c:idx val="26"/>
        <c:spPr>
          <a:solidFill>
            <a:schemeClr val="accent1">
              <a:lumMod val="20000"/>
              <a:lumOff val="80000"/>
            </a:schemeClr>
          </a:solidFill>
          <a:ln>
            <a:noFill/>
          </a:ln>
          <a:effectLst/>
        </c:spPr>
      </c:pivotFmt>
      <c:pivotFmt>
        <c:idx val="27"/>
        <c:spPr>
          <a:solidFill>
            <a:schemeClr val="accent4"/>
          </a:solidFill>
          <a:ln>
            <a:noFill/>
          </a:ln>
          <a:effectLst/>
        </c:spPr>
      </c:pivotFmt>
      <c:pivotFmt>
        <c:idx val="28"/>
        <c:spPr>
          <a:solidFill>
            <a:schemeClr val="accent1">
              <a:lumMod val="20000"/>
              <a:lumOff val="80000"/>
            </a:schemeClr>
          </a:solidFill>
          <a:ln>
            <a:noFill/>
          </a:ln>
          <a:effectLst/>
        </c:spPr>
      </c:pivotFmt>
      <c:pivotFmt>
        <c:idx val="29"/>
        <c:spPr>
          <a:solidFill>
            <a:schemeClr val="accent4"/>
          </a:solidFill>
          <a:ln>
            <a:noFill/>
          </a:ln>
          <a:effectLst/>
        </c:spPr>
      </c:pivotFmt>
      <c:pivotFmt>
        <c:idx val="30"/>
        <c:spPr>
          <a:solidFill>
            <a:schemeClr val="accent1">
              <a:lumMod val="20000"/>
              <a:lumOff val="80000"/>
            </a:schemeClr>
          </a:solidFill>
          <a:ln>
            <a:noFill/>
          </a:ln>
          <a:effectLst/>
        </c:spPr>
      </c:pivotFmt>
      <c:pivotFmt>
        <c:idx val="31"/>
        <c:spPr>
          <a:solidFill>
            <a:schemeClr val="accent4"/>
          </a:solidFill>
          <a:ln>
            <a:noFill/>
          </a:ln>
          <a:effectLst/>
        </c:spPr>
      </c:pivotFmt>
      <c:pivotFmt>
        <c:idx val="32"/>
        <c:spPr>
          <a:solidFill>
            <a:schemeClr val="accent1">
              <a:lumMod val="20000"/>
              <a:lumOff val="80000"/>
            </a:schemeClr>
          </a:solidFill>
          <a:ln>
            <a:noFill/>
          </a:ln>
          <a:effectLst/>
        </c:spPr>
      </c:pivotFmt>
      <c:pivotFmt>
        <c:idx val="33"/>
        <c:spPr>
          <a:solidFill>
            <a:schemeClr val="accent4"/>
          </a:solidFill>
          <a:ln>
            <a:noFill/>
          </a:ln>
          <a:effectLst/>
        </c:spPr>
      </c:pivotFmt>
      <c:pivotFmt>
        <c:idx val="34"/>
        <c:spPr>
          <a:solidFill>
            <a:schemeClr val="accent1">
              <a:lumMod val="20000"/>
              <a:lumOff val="80000"/>
            </a:schemeClr>
          </a:solidFill>
          <a:ln>
            <a:noFill/>
          </a:ln>
          <a:effectLst/>
        </c:spPr>
      </c:pivotFmt>
      <c:pivotFmt>
        <c:idx val="35"/>
        <c:spPr>
          <a:solidFill>
            <a:schemeClr val="accent4"/>
          </a:solidFill>
          <a:ln>
            <a:noFill/>
          </a:ln>
          <a:effectLst/>
        </c:spPr>
      </c:pivotFmt>
      <c:pivotFmt>
        <c:idx val="36"/>
        <c:spPr>
          <a:solidFill>
            <a:schemeClr val="accent1">
              <a:lumMod val="20000"/>
              <a:lumOff val="80000"/>
            </a:schemeClr>
          </a:solidFill>
          <a:ln>
            <a:noFill/>
          </a:ln>
          <a:effectLst/>
        </c:spPr>
      </c:pivotFmt>
      <c:pivotFmt>
        <c:idx val="37"/>
        <c:spPr>
          <a:solidFill>
            <a:schemeClr val="accent4"/>
          </a:solidFill>
          <a:ln>
            <a:noFill/>
          </a:ln>
          <a:effectLst/>
        </c:spPr>
      </c:pivotFmt>
      <c:pivotFmt>
        <c:idx val="38"/>
        <c:spPr>
          <a:solidFill>
            <a:schemeClr val="accent4">
              <a:lumMod val="20000"/>
              <a:lumOff val="80000"/>
            </a:schemeClr>
          </a:solidFill>
          <a:ln>
            <a:noFill/>
          </a:ln>
          <a:effectLst/>
        </c:spPr>
      </c:pivotFmt>
      <c:pivotFmt>
        <c:idx val="39"/>
        <c:spPr>
          <a:solidFill>
            <a:schemeClr val="accent4"/>
          </a:solidFill>
          <a:ln>
            <a:noFill/>
          </a:ln>
          <a:effectLst/>
        </c:spPr>
      </c:pivotFmt>
      <c:pivotFmt>
        <c:idx val="40"/>
        <c:spPr>
          <a:solidFill>
            <a:schemeClr val="accent1">
              <a:lumMod val="20000"/>
              <a:lumOff val="80000"/>
            </a:schemeClr>
          </a:solidFill>
          <a:ln>
            <a:noFill/>
          </a:ln>
          <a:effectLst/>
        </c:spPr>
      </c:pivotFmt>
      <c:pivotFmt>
        <c:idx val="41"/>
        <c:spPr>
          <a:solidFill>
            <a:schemeClr val="accent4"/>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lumMod val="20000"/>
              <a:lumOff val="80000"/>
            </a:schemeClr>
          </a:solidFill>
          <a:ln>
            <a:noFill/>
          </a:ln>
          <a:effectLst/>
        </c:spPr>
      </c:pivotFmt>
      <c:pivotFmt>
        <c:idx val="44"/>
        <c:spPr>
          <a:solidFill>
            <a:schemeClr val="accent4"/>
          </a:solidFill>
          <a:ln>
            <a:noFill/>
          </a:ln>
          <a:effectLst/>
        </c:spPr>
      </c:pivotFmt>
      <c:pivotFmt>
        <c:idx val="45"/>
        <c:spPr>
          <a:solidFill>
            <a:schemeClr val="accent1">
              <a:lumMod val="20000"/>
              <a:lumOff val="80000"/>
            </a:schemeClr>
          </a:solidFill>
          <a:ln>
            <a:noFill/>
          </a:ln>
          <a:effectLst/>
        </c:spPr>
      </c:pivotFmt>
      <c:pivotFmt>
        <c:idx val="46"/>
        <c:spPr>
          <a:solidFill>
            <a:schemeClr val="accent4"/>
          </a:solidFill>
          <a:ln>
            <a:noFill/>
          </a:ln>
          <a:effectLst/>
        </c:spPr>
      </c:pivotFmt>
      <c:pivotFmt>
        <c:idx val="47"/>
        <c:spPr>
          <a:solidFill>
            <a:schemeClr val="accent1">
              <a:lumMod val="20000"/>
              <a:lumOff val="80000"/>
            </a:schemeClr>
          </a:solidFill>
          <a:ln>
            <a:noFill/>
          </a:ln>
          <a:effectLst/>
        </c:spPr>
      </c:pivotFmt>
      <c:pivotFmt>
        <c:idx val="48"/>
        <c:spPr>
          <a:solidFill>
            <a:schemeClr val="accent4"/>
          </a:solidFill>
          <a:ln>
            <a:noFill/>
          </a:ln>
          <a:effectLst/>
        </c:spPr>
      </c:pivotFmt>
      <c:pivotFmt>
        <c:idx val="49"/>
        <c:spPr>
          <a:solidFill>
            <a:schemeClr val="accent1">
              <a:lumMod val="20000"/>
              <a:lumOff val="80000"/>
            </a:schemeClr>
          </a:solidFill>
          <a:ln>
            <a:noFill/>
          </a:ln>
          <a:effectLst/>
        </c:spPr>
      </c:pivotFmt>
      <c:pivotFmt>
        <c:idx val="50"/>
        <c:spPr>
          <a:solidFill>
            <a:schemeClr val="accent4"/>
          </a:solidFill>
          <a:ln>
            <a:noFill/>
          </a:ln>
          <a:effectLst/>
        </c:spPr>
      </c:pivotFmt>
      <c:pivotFmt>
        <c:idx val="51"/>
        <c:spPr>
          <a:solidFill>
            <a:schemeClr val="accent1">
              <a:lumMod val="20000"/>
              <a:lumOff val="80000"/>
            </a:schemeClr>
          </a:solidFill>
          <a:ln>
            <a:noFill/>
          </a:ln>
          <a:effectLst/>
        </c:spPr>
      </c:pivotFmt>
      <c:pivotFmt>
        <c:idx val="52"/>
        <c:spPr>
          <a:solidFill>
            <a:schemeClr val="accent4"/>
          </a:solidFill>
          <a:ln>
            <a:noFill/>
          </a:ln>
          <a:effectLst/>
        </c:spPr>
      </c:pivotFmt>
      <c:pivotFmt>
        <c:idx val="53"/>
        <c:spPr>
          <a:solidFill>
            <a:schemeClr val="accent1">
              <a:lumMod val="20000"/>
              <a:lumOff val="80000"/>
            </a:schemeClr>
          </a:solidFill>
          <a:ln>
            <a:noFill/>
          </a:ln>
          <a:effectLst/>
        </c:spPr>
      </c:pivotFmt>
      <c:pivotFmt>
        <c:idx val="54"/>
        <c:spPr>
          <a:solidFill>
            <a:schemeClr val="accent4"/>
          </a:solidFill>
          <a:ln>
            <a:noFill/>
          </a:ln>
          <a:effectLst/>
        </c:spPr>
      </c:pivotFmt>
      <c:pivotFmt>
        <c:idx val="55"/>
        <c:spPr>
          <a:solidFill>
            <a:schemeClr val="accent1">
              <a:lumMod val="20000"/>
              <a:lumOff val="80000"/>
            </a:schemeClr>
          </a:solidFill>
          <a:ln>
            <a:noFill/>
          </a:ln>
          <a:effectLst/>
        </c:spPr>
      </c:pivotFmt>
      <c:pivotFmt>
        <c:idx val="56"/>
        <c:spPr>
          <a:solidFill>
            <a:schemeClr val="accent4"/>
          </a:solidFill>
          <a:ln>
            <a:noFill/>
          </a:ln>
          <a:effectLst/>
        </c:spPr>
      </c:pivotFmt>
      <c:pivotFmt>
        <c:idx val="57"/>
        <c:spPr>
          <a:solidFill>
            <a:schemeClr val="accent1">
              <a:lumMod val="20000"/>
              <a:lumOff val="80000"/>
            </a:schemeClr>
          </a:solidFill>
          <a:ln>
            <a:noFill/>
          </a:ln>
          <a:effectLst/>
        </c:spPr>
      </c:pivotFmt>
      <c:pivotFmt>
        <c:idx val="58"/>
        <c:spPr>
          <a:solidFill>
            <a:schemeClr val="accent4"/>
          </a:solidFill>
          <a:ln>
            <a:noFill/>
          </a:ln>
          <a:effectLst/>
        </c:spPr>
      </c:pivotFmt>
      <c:pivotFmt>
        <c:idx val="59"/>
        <c:spPr>
          <a:solidFill>
            <a:schemeClr val="accent4">
              <a:lumMod val="20000"/>
              <a:lumOff val="80000"/>
            </a:schemeClr>
          </a:solidFill>
          <a:ln>
            <a:noFill/>
          </a:ln>
          <a:effectLst/>
        </c:spPr>
      </c:pivotFmt>
      <c:pivotFmt>
        <c:idx val="60"/>
        <c:spPr>
          <a:solidFill>
            <a:schemeClr val="accent4"/>
          </a:solidFill>
          <a:ln>
            <a:noFill/>
          </a:ln>
          <a:effectLst/>
        </c:spPr>
      </c:pivotFmt>
      <c:pivotFmt>
        <c:idx val="61"/>
        <c:spPr>
          <a:solidFill>
            <a:schemeClr val="accent1">
              <a:lumMod val="20000"/>
              <a:lumOff val="80000"/>
            </a:schemeClr>
          </a:solidFill>
          <a:ln>
            <a:noFill/>
          </a:ln>
          <a:effectLst/>
        </c:spPr>
      </c:pivotFmt>
      <c:pivotFmt>
        <c:idx val="62"/>
        <c:spPr>
          <a:solidFill>
            <a:schemeClr val="accent4"/>
          </a:solidFill>
          <a:ln>
            <a:noFill/>
          </a:ln>
          <a:effectLst/>
        </c:spPr>
      </c:pivotFmt>
    </c:pivotFmts>
    <c:plotArea>
      <c:layout/>
      <c:barChart>
        <c:barDir val="col"/>
        <c:grouping val="clustered"/>
        <c:varyColors val="0"/>
        <c:ser>
          <c:idx val="0"/>
          <c:order val="0"/>
          <c:tx>
            <c:strRef>
              <c:f>'Bar | Inc - Health &amp; Occ'!$B$3</c:f>
              <c:strCache>
                <c:ptCount val="1"/>
                <c:pt idx="0">
                  <c:v>Tổng</c:v>
                </c:pt>
              </c:strCache>
            </c:strRef>
          </c:tx>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6F91-6C46-A72F-6786CF8692EF}"/>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6F91-6C46-A72F-6786CF8692EF}"/>
              </c:ext>
            </c:extLst>
          </c:dPt>
          <c:dPt>
            <c:idx val="2"/>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5-6F91-6C46-A72F-6786CF8692EF}"/>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F91-6C46-A72F-6786CF8692EF}"/>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6F91-6C46-A72F-6786CF8692EF}"/>
              </c:ext>
            </c:extLst>
          </c:dPt>
          <c:dPt>
            <c:idx val="5"/>
            <c:invertIfNegative val="0"/>
            <c:bubble3D val="0"/>
            <c:spPr>
              <a:solidFill>
                <a:schemeClr val="accent4"/>
              </a:solidFill>
              <a:ln>
                <a:noFill/>
              </a:ln>
              <a:effectLst/>
            </c:spPr>
            <c:extLst>
              <c:ext xmlns:c16="http://schemas.microsoft.com/office/drawing/2014/chart" uri="{C3380CC4-5D6E-409C-BE32-E72D297353CC}">
                <c16:uniqueId val="{0000000B-6F91-6C46-A72F-6786CF8692EF}"/>
              </c:ext>
            </c:extLst>
          </c:dPt>
          <c:dPt>
            <c:idx val="6"/>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D-6F91-6C46-A72F-6786CF8692EF}"/>
              </c:ext>
            </c:extLst>
          </c:dPt>
          <c:dPt>
            <c:idx val="7"/>
            <c:invertIfNegative val="0"/>
            <c:bubble3D val="0"/>
            <c:spPr>
              <a:solidFill>
                <a:schemeClr val="accent4"/>
              </a:solidFill>
              <a:ln>
                <a:noFill/>
              </a:ln>
              <a:effectLst/>
            </c:spPr>
            <c:extLst>
              <c:ext xmlns:c16="http://schemas.microsoft.com/office/drawing/2014/chart" uri="{C3380CC4-5D6E-409C-BE32-E72D297353CC}">
                <c16:uniqueId val="{0000000F-6F91-6C46-A72F-6786CF8692EF}"/>
              </c:ext>
            </c:extLst>
          </c:dPt>
          <c:dPt>
            <c:idx val="8"/>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11-6F91-6C46-A72F-6786CF8692EF}"/>
              </c:ext>
            </c:extLst>
          </c:dPt>
          <c:dPt>
            <c:idx val="9"/>
            <c:invertIfNegative val="0"/>
            <c:bubble3D val="0"/>
            <c:spPr>
              <a:solidFill>
                <a:schemeClr val="accent4"/>
              </a:solidFill>
              <a:ln>
                <a:noFill/>
              </a:ln>
              <a:effectLst/>
            </c:spPr>
            <c:extLst>
              <c:ext xmlns:c16="http://schemas.microsoft.com/office/drawing/2014/chart" uri="{C3380CC4-5D6E-409C-BE32-E72D297353CC}">
                <c16:uniqueId val="{00000013-6F91-6C46-A72F-6786CF8692EF}"/>
              </c:ext>
            </c:extLst>
          </c:dPt>
          <c:dPt>
            <c:idx val="1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15-6F91-6C46-A72F-6786CF8692EF}"/>
              </c:ext>
            </c:extLst>
          </c:dPt>
          <c:dPt>
            <c:idx val="11"/>
            <c:invertIfNegative val="0"/>
            <c:bubble3D val="0"/>
            <c:spPr>
              <a:solidFill>
                <a:schemeClr val="accent4"/>
              </a:solidFill>
              <a:ln>
                <a:noFill/>
              </a:ln>
              <a:effectLst/>
            </c:spPr>
            <c:extLst>
              <c:ext xmlns:c16="http://schemas.microsoft.com/office/drawing/2014/chart" uri="{C3380CC4-5D6E-409C-BE32-E72D297353CC}">
                <c16:uniqueId val="{00000017-6F91-6C46-A72F-6786CF8692EF}"/>
              </c:ext>
            </c:extLst>
          </c:dPt>
          <c:dPt>
            <c:idx val="12"/>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19-6F91-6C46-A72F-6786CF8692EF}"/>
              </c:ext>
            </c:extLst>
          </c:dPt>
          <c:dPt>
            <c:idx val="13"/>
            <c:invertIfNegative val="0"/>
            <c:bubble3D val="0"/>
            <c:spPr>
              <a:solidFill>
                <a:schemeClr val="accent4"/>
              </a:solidFill>
              <a:ln>
                <a:noFill/>
              </a:ln>
              <a:effectLst/>
            </c:spPr>
            <c:extLst>
              <c:ext xmlns:c16="http://schemas.microsoft.com/office/drawing/2014/chart" uri="{C3380CC4-5D6E-409C-BE32-E72D297353CC}">
                <c16:uniqueId val="{0000001B-6F91-6C46-A72F-6786CF8692EF}"/>
              </c:ext>
            </c:extLst>
          </c:dPt>
          <c:dPt>
            <c:idx val="1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1D-6F91-6C46-A72F-6786CF8692EF}"/>
              </c:ext>
            </c:extLst>
          </c:dPt>
          <c:dPt>
            <c:idx val="15"/>
            <c:invertIfNegative val="0"/>
            <c:bubble3D val="0"/>
            <c:spPr>
              <a:solidFill>
                <a:schemeClr val="accent4"/>
              </a:solidFill>
              <a:ln>
                <a:noFill/>
              </a:ln>
              <a:effectLst/>
            </c:spPr>
            <c:extLst>
              <c:ext xmlns:c16="http://schemas.microsoft.com/office/drawing/2014/chart" uri="{C3380CC4-5D6E-409C-BE32-E72D297353CC}">
                <c16:uniqueId val="{0000001F-6F91-6C46-A72F-6786CF8692EF}"/>
              </c:ext>
            </c:extLst>
          </c:dPt>
          <c:dPt>
            <c:idx val="16"/>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21-6F91-6C46-A72F-6786CF8692EF}"/>
              </c:ext>
            </c:extLst>
          </c:dPt>
          <c:dPt>
            <c:idx val="17"/>
            <c:invertIfNegative val="0"/>
            <c:bubble3D val="0"/>
            <c:spPr>
              <a:solidFill>
                <a:schemeClr val="accent4"/>
              </a:solidFill>
              <a:ln>
                <a:noFill/>
              </a:ln>
              <a:effectLst/>
            </c:spPr>
            <c:extLst>
              <c:ext xmlns:c16="http://schemas.microsoft.com/office/drawing/2014/chart" uri="{C3380CC4-5D6E-409C-BE32-E72D297353CC}">
                <c16:uniqueId val="{00000023-6F91-6C46-A72F-6786CF8692EF}"/>
              </c:ext>
            </c:extLst>
          </c:dPt>
          <c:dPt>
            <c:idx val="18"/>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25-6F91-6C46-A72F-6786CF8692EF}"/>
              </c:ext>
            </c:extLst>
          </c:dPt>
          <c:dPt>
            <c:idx val="19"/>
            <c:invertIfNegative val="0"/>
            <c:bubble3D val="0"/>
            <c:spPr>
              <a:solidFill>
                <a:schemeClr val="accent4"/>
              </a:solidFill>
              <a:ln>
                <a:noFill/>
              </a:ln>
              <a:effectLst/>
            </c:spPr>
            <c:extLst>
              <c:ext xmlns:c16="http://schemas.microsoft.com/office/drawing/2014/chart" uri="{C3380CC4-5D6E-409C-BE32-E72D297353CC}">
                <c16:uniqueId val="{00000027-6F91-6C46-A72F-6786CF8692EF}"/>
              </c:ext>
            </c:extLst>
          </c:dPt>
          <c:cat>
            <c:multiLvlStrRef>
              <c:f>'Bar | Inc - Health &amp; Occ'!$A$4:$A$34</c:f>
              <c:multiLvlStrCache>
                <c:ptCount val="20"/>
                <c:lvl>
                  <c:pt idx="0">
                    <c:v>No PHI</c:v>
                  </c:pt>
                  <c:pt idx="1">
                    <c:v>PHI</c:v>
                  </c:pt>
                  <c:pt idx="2">
                    <c:v>No PHI</c:v>
                  </c:pt>
                  <c:pt idx="3">
                    <c:v>PHI</c:v>
                  </c:pt>
                  <c:pt idx="4">
                    <c:v>No PHI</c:v>
                  </c:pt>
                  <c:pt idx="5">
                    <c:v>PHI</c:v>
                  </c:pt>
                  <c:pt idx="6">
                    <c:v>No PHI</c:v>
                  </c:pt>
                  <c:pt idx="7">
                    <c:v>PHI</c:v>
                  </c:pt>
                  <c:pt idx="8">
                    <c:v>No PHI</c:v>
                  </c:pt>
                  <c:pt idx="9">
                    <c:v>PHI</c:v>
                  </c:pt>
                  <c:pt idx="10">
                    <c:v>No PHI</c:v>
                  </c:pt>
                  <c:pt idx="11">
                    <c:v>PHI</c:v>
                  </c:pt>
                  <c:pt idx="12">
                    <c:v>No PHI</c:v>
                  </c:pt>
                  <c:pt idx="13">
                    <c:v>PHI</c:v>
                  </c:pt>
                  <c:pt idx="14">
                    <c:v>No PHI</c:v>
                  </c:pt>
                  <c:pt idx="15">
                    <c:v>PHI</c:v>
                  </c:pt>
                  <c:pt idx="16">
                    <c:v>No PHI</c:v>
                  </c:pt>
                  <c:pt idx="17">
                    <c:v>PHI</c:v>
                  </c:pt>
                  <c:pt idx="18">
                    <c:v>No PHI</c:v>
                  </c:pt>
                  <c:pt idx="19">
                    <c:v>PHI</c:v>
                  </c:pt>
                </c:lvl>
                <c:lvl>
                  <c:pt idx="0">
                    <c:v>Clerical and Administrative Workers</c:v>
                  </c:pt>
                  <c:pt idx="2">
                    <c:v>Community and Personal Service Workers</c:v>
                  </c:pt>
                  <c:pt idx="4">
                    <c:v>Consultants, apprentices and type not specified or not listed</c:v>
                  </c:pt>
                  <c:pt idx="6">
                    <c:v>Labourers</c:v>
                  </c:pt>
                  <c:pt idx="8">
                    <c:v>Machinery operators and drivers</c:v>
                  </c:pt>
                  <c:pt idx="10">
                    <c:v>Managers</c:v>
                  </c:pt>
                  <c:pt idx="12">
                    <c:v>Occupation not listed/ Occupation not specified</c:v>
                  </c:pt>
                  <c:pt idx="14">
                    <c:v>Professionals</c:v>
                  </c:pt>
                  <c:pt idx="16">
                    <c:v>Sales workers</c:v>
                  </c:pt>
                  <c:pt idx="18">
                    <c:v>Technicians and Trades Workers</c:v>
                  </c:pt>
                </c:lvl>
              </c:multiLvlStrCache>
            </c:multiLvlStrRef>
          </c:cat>
          <c:val>
            <c:numRef>
              <c:f>'Bar | Inc - Health &amp; Occ'!$B$4:$B$34</c:f>
              <c:numCache>
                <c:formatCode>_([$$-409]* #,##0_);_([$$-409]* \(#,##0\);_([$$-409]* "-"??_);_(@_)</c:formatCode>
                <c:ptCount val="20"/>
                <c:pt idx="0">
                  <c:v>43382.6</c:v>
                </c:pt>
                <c:pt idx="1">
                  <c:v>57902.821428571428</c:v>
                </c:pt>
                <c:pt idx="2">
                  <c:v>35250.607843137252</c:v>
                </c:pt>
                <c:pt idx="3">
                  <c:v>48388.23333333333</c:v>
                </c:pt>
                <c:pt idx="4">
                  <c:v>35550.942857142858</c:v>
                </c:pt>
                <c:pt idx="5">
                  <c:v>42179.519999999997</c:v>
                </c:pt>
                <c:pt idx="6">
                  <c:v>39263.654545454548</c:v>
                </c:pt>
                <c:pt idx="7">
                  <c:v>55707.538461538461</c:v>
                </c:pt>
                <c:pt idx="8">
                  <c:v>53335.241379310348</c:v>
                </c:pt>
                <c:pt idx="9">
                  <c:v>82806.818181818177</c:v>
                </c:pt>
                <c:pt idx="10">
                  <c:v>47824.5</c:v>
                </c:pt>
                <c:pt idx="11">
                  <c:v>99552.290697674413</c:v>
                </c:pt>
                <c:pt idx="12">
                  <c:v>29476.57894736842</c:v>
                </c:pt>
                <c:pt idx="13">
                  <c:v>45510.888888888891</c:v>
                </c:pt>
                <c:pt idx="14">
                  <c:v>54742.65</c:v>
                </c:pt>
                <c:pt idx="15">
                  <c:v>91624.016393442624</c:v>
                </c:pt>
                <c:pt idx="16">
                  <c:v>32638.533333333333</c:v>
                </c:pt>
                <c:pt idx="17">
                  <c:v>36783.259259259263</c:v>
                </c:pt>
                <c:pt idx="18">
                  <c:v>59530.071428571428</c:v>
                </c:pt>
                <c:pt idx="19">
                  <c:v>72866.576923076922</c:v>
                </c:pt>
              </c:numCache>
            </c:numRef>
          </c:val>
          <c:extLst>
            <c:ext xmlns:c16="http://schemas.microsoft.com/office/drawing/2014/chart" uri="{C3380CC4-5D6E-409C-BE32-E72D297353CC}">
              <c16:uniqueId val="{00000028-6F91-6C46-A72F-6786CF8692EF}"/>
            </c:ext>
          </c:extLst>
        </c:ser>
        <c:dLbls>
          <c:showLegendKey val="0"/>
          <c:showVal val="0"/>
          <c:showCatName val="0"/>
          <c:showSerName val="0"/>
          <c:showPercent val="0"/>
          <c:showBubbleSize val="0"/>
        </c:dLbls>
        <c:gapWidth val="40"/>
        <c:overlap val="-71"/>
        <c:axId val="2074618767"/>
        <c:axId val="638203231"/>
      </c:barChart>
      <c:catAx>
        <c:axId val="207461876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US" b="1">
                    <a:solidFill>
                      <a:schemeClr val="accent1"/>
                    </a:solidFill>
                  </a:rPr>
                  <a:t>HEALTH COVER &amp; OCCUPATON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numFmt formatCode="#,##0" sourceLinked="0"/>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ln>
                  <a:noFill/>
                </a:ln>
                <a:solidFill>
                  <a:schemeClr val="accent1"/>
                </a:solidFill>
                <a:latin typeface="Times New Roman" panose="02020603050405020304" pitchFamily="18" charset="0"/>
                <a:ea typeface="+mn-ea"/>
                <a:cs typeface="Times New Roman" panose="02020603050405020304" pitchFamily="18" charset="0"/>
              </a:defRPr>
            </a:pPr>
            <a:endParaRPr lang="en-VN"/>
          </a:p>
        </c:txPr>
        <c:crossAx val="638203231"/>
        <c:crosses val="autoZero"/>
        <c:auto val="1"/>
        <c:lblAlgn val="ctr"/>
        <c:lblOffset val="100"/>
        <c:tickLblSkip val="1"/>
        <c:noMultiLvlLbl val="0"/>
      </c:catAx>
      <c:valAx>
        <c:axId val="638203231"/>
        <c:scaling>
          <c:orientation val="minMax"/>
          <c:max val="120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US" b="1">
                    <a:solidFill>
                      <a:schemeClr val="accent1"/>
                    </a:solidFill>
                  </a:rPr>
                  <a:t>AVERAGE INCOME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VN"/>
          </a:p>
        </c:txPr>
        <c:crossAx val="2074618767"/>
        <c:crosses val="autoZero"/>
        <c:crossBetween val="between"/>
        <c:majorUnit val="2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pivotSource>
    <c:name>[Huyen Trang - Excel file.xlsx]Bar | Income - Age!P1</c:name>
    <c:fmtId val="0"/>
  </c:pivotSource>
  <c:chart>
    <c:title>
      <c:tx>
        <c:rich>
          <a:bodyPr rot="0" spcFirstLastPara="1" vertOverflow="ellipsis" vert="horz" wrap="square" anchor="ctr" anchorCtr="1"/>
          <a:lstStyle/>
          <a:p>
            <a:pPr>
              <a:defRPr sz="16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r>
              <a:rPr lang="en-US" sz="1600" b="1">
                <a:solidFill>
                  <a:schemeClr val="accent1"/>
                </a:solidFill>
              </a:rPr>
              <a:t>AVARAGE TOTAL INCOME PER AGE GROUP</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 Income - Age'!$B$3</c:f>
              <c:strCache>
                <c:ptCount val="1"/>
                <c:pt idx="0">
                  <c:v>Tổng</c:v>
                </c:pt>
              </c:strCache>
            </c:strRef>
          </c:tx>
          <c:spPr>
            <a:solidFill>
              <a:schemeClr val="accent4">
                <a:lumMod val="60000"/>
                <a:lumOff val="40000"/>
              </a:schemeClr>
            </a:solidFill>
            <a:ln>
              <a:noFill/>
            </a:ln>
            <a:effectLst/>
          </c:spPr>
          <c:invertIfNegative val="0"/>
          <c:cat>
            <c:strRef>
              <c:f>'Bar | Income - Age'!$A$4:$A$16</c:f>
              <c:strCache>
                <c:ptCount val="12"/>
                <c:pt idx="0">
                  <c:v>under 20</c:v>
                </c:pt>
                <c:pt idx="1">
                  <c:v>20 to 24</c:v>
                </c:pt>
                <c:pt idx="2">
                  <c:v>25 to 29</c:v>
                </c:pt>
                <c:pt idx="3">
                  <c:v>30 to 34</c:v>
                </c:pt>
                <c:pt idx="4">
                  <c:v>35 to 39</c:v>
                </c:pt>
                <c:pt idx="5">
                  <c:v>40 to 44</c:v>
                </c:pt>
                <c:pt idx="6">
                  <c:v>45 to 49</c:v>
                </c:pt>
                <c:pt idx="7">
                  <c:v>50 to 54</c:v>
                </c:pt>
                <c:pt idx="8">
                  <c:v>55 to 59</c:v>
                </c:pt>
                <c:pt idx="9">
                  <c:v>60 to 64</c:v>
                </c:pt>
                <c:pt idx="10">
                  <c:v>65 to 69</c:v>
                </c:pt>
                <c:pt idx="11">
                  <c:v>70 and over</c:v>
                </c:pt>
              </c:strCache>
            </c:strRef>
          </c:cat>
          <c:val>
            <c:numRef>
              <c:f>'Bar | Income - Age'!$B$4:$B$16</c:f>
              <c:numCache>
                <c:formatCode>0</c:formatCode>
                <c:ptCount val="12"/>
                <c:pt idx="0">
                  <c:v>22403.759999999998</c:v>
                </c:pt>
                <c:pt idx="1">
                  <c:v>39940.585858585859</c:v>
                </c:pt>
                <c:pt idx="2">
                  <c:v>54398.560747663549</c:v>
                </c:pt>
                <c:pt idx="3">
                  <c:v>60878.696969696968</c:v>
                </c:pt>
                <c:pt idx="4">
                  <c:v>67884.282352941183</c:v>
                </c:pt>
                <c:pt idx="5">
                  <c:v>67952.944444444438</c:v>
                </c:pt>
                <c:pt idx="6">
                  <c:v>70666.574074074073</c:v>
                </c:pt>
                <c:pt idx="7">
                  <c:v>65486.436363636363</c:v>
                </c:pt>
                <c:pt idx="8">
                  <c:v>83080.421686746995</c:v>
                </c:pt>
                <c:pt idx="9">
                  <c:v>56460.973333333335</c:v>
                </c:pt>
                <c:pt idx="10">
                  <c:v>51097.631578947367</c:v>
                </c:pt>
                <c:pt idx="11">
                  <c:v>37699.111111111109</c:v>
                </c:pt>
              </c:numCache>
            </c:numRef>
          </c:val>
          <c:extLst>
            <c:ext xmlns:c16="http://schemas.microsoft.com/office/drawing/2014/chart" uri="{C3380CC4-5D6E-409C-BE32-E72D297353CC}">
              <c16:uniqueId val="{00000000-F3CB-7E41-97D5-A35BD34ECCFF}"/>
            </c:ext>
          </c:extLst>
        </c:ser>
        <c:dLbls>
          <c:showLegendKey val="0"/>
          <c:showVal val="0"/>
          <c:showCatName val="0"/>
          <c:showSerName val="0"/>
          <c:showPercent val="0"/>
          <c:showBubbleSize val="0"/>
        </c:dLbls>
        <c:gapWidth val="10"/>
        <c:overlap val="-27"/>
        <c:axId val="1168558975"/>
        <c:axId val="1204902191"/>
      </c:barChart>
      <c:catAx>
        <c:axId val="11685589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US" b="1">
                    <a:solidFill>
                      <a:schemeClr val="accent1"/>
                    </a:solidFill>
                  </a:rPr>
                  <a:t>AGE GROUP</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580000" spcFirstLastPara="1" vertOverflow="ellipsis"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VN"/>
          </a:p>
        </c:txPr>
        <c:crossAx val="1204902191"/>
        <c:crosses val="autoZero"/>
        <c:auto val="1"/>
        <c:lblAlgn val="ctr"/>
        <c:lblOffset val="100"/>
        <c:noMultiLvlLbl val="0"/>
      </c:catAx>
      <c:valAx>
        <c:axId val="1204902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US" b="1">
                    <a:solidFill>
                      <a:schemeClr val="accent1"/>
                    </a:solidFill>
                  </a:rPr>
                  <a:t>AVERAGE INCOME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VN"/>
          </a:p>
        </c:txPr>
        <c:crossAx val="1168558975"/>
        <c:crosses val="autoZero"/>
        <c:crossBetween val="between"/>
        <c:majorUnit val="2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pivotSource>
    <c:name>[Huyen Trang - Excel file.xlsx]Pie | Gender!P2</c:name>
    <c:fmtId val="0"/>
  </c:pivotSource>
  <c:chart>
    <c:title>
      <c:tx>
        <c:rich>
          <a:bodyPr rot="0" spcFirstLastPara="1" vertOverflow="ellipsis" vert="horz" wrap="square" anchor="ctr" anchorCtr="1"/>
          <a:lstStyle/>
          <a:p>
            <a:pPr>
              <a:defRPr sz="16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r>
              <a:rPr lang="en-US" sz="1600" b="1">
                <a:solidFill>
                  <a:schemeClr val="accent1"/>
                </a:solidFill>
                <a:latin typeface="Times New Roman" panose="02020603050405020304" pitchFamily="18" charset="0"/>
                <a:cs typeface="Times New Roman" panose="02020603050405020304" pitchFamily="18" charset="0"/>
              </a:rPr>
              <a:t>GENDER</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autoTitleDeleted val="0"/>
    <c:pivotFmts>
      <c:pivotFmt>
        <c:idx val="0"/>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VN"/>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4">
              <a:lumMod val="75000"/>
            </a:schemeClr>
          </a:solidFill>
          <a:ln>
            <a:noFill/>
          </a:ln>
          <a:effectLst/>
        </c:spPr>
        <c:dLbl>
          <c:idx val="0"/>
          <c:layout>
            <c:manualLayout>
              <c:x val="3.6197899377249008E-2"/>
              <c:y val="-0.33502442403032956"/>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VN"/>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lumMod val="60000"/>
              <a:lumOff val="40000"/>
            </a:schemeClr>
          </a:solidFill>
          <a:ln>
            <a:noFill/>
          </a:ln>
          <a:effectLst/>
        </c:spPr>
        <c:dLbl>
          <c:idx val="0"/>
          <c:layout>
            <c:manualLayout>
              <c:x val="-2.3320630452390752E-2"/>
              <c:y val="0.25169145523476233"/>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VN"/>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'Pie | Gender'!$B$3</c:f>
              <c:strCache>
                <c:ptCount val="1"/>
                <c:pt idx="0">
                  <c:v>Tổng</c:v>
                </c:pt>
              </c:strCache>
            </c:strRef>
          </c:tx>
          <c:dPt>
            <c:idx val="0"/>
            <c:bubble3D val="0"/>
            <c:spPr>
              <a:solidFill>
                <a:schemeClr val="accent4">
                  <a:lumMod val="75000"/>
                </a:schemeClr>
              </a:solidFill>
              <a:ln>
                <a:noFill/>
              </a:ln>
              <a:effectLst/>
            </c:spPr>
            <c:extLst>
              <c:ext xmlns:c16="http://schemas.microsoft.com/office/drawing/2014/chart" uri="{C3380CC4-5D6E-409C-BE32-E72D297353CC}">
                <c16:uniqueId val="{00000002-A534-5741-880C-4FAE22685F61}"/>
              </c:ext>
            </c:extLst>
          </c:dPt>
          <c:dPt>
            <c:idx val="1"/>
            <c:bubble3D val="0"/>
            <c:spPr>
              <a:solidFill>
                <a:schemeClr val="accent1">
                  <a:lumMod val="60000"/>
                  <a:lumOff val="40000"/>
                </a:schemeClr>
              </a:solidFill>
              <a:ln>
                <a:noFill/>
              </a:ln>
              <a:effectLst/>
            </c:spPr>
            <c:extLst>
              <c:ext xmlns:c16="http://schemas.microsoft.com/office/drawing/2014/chart" uri="{C3380CC4-5D6E-409C-BE32-E72D297353CC}">
                <c16:uniqueId val="{00000003-A534-5741-880C-4FAE22685F61}"/>
              </c:ext>
            </c:extLst>
          </c:dPt>
          <c:dLbls>
            <c:dLbl>
              <c:idx val="0"/>
              <c:layout>
                <c:manualLayout>
                  <c:x val="3.6197899377249008E-2"/>
                  <c:y val="-0.33502442403032956"/>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A534-5741-880C-4FAE22685F61}"/>
                </c:ext>
              </c:extLst>
            </c:dLbl>
            <c:dLbl>
              <c:idx val="1"/>
              <c:layout>
                <c:manualLayout>
                  <c:x val="-2.3320630452390752E-2"/>
                  <c:y val="0.25169145523476233"/>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A534-5741-880C-4FAE22685F61}"/>
                </c:ext>
              </c:extLst>
            </c:dLbl>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VN"/>
              </a:p>
            </c:txPr>
            <c:dLblPos val="ct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 Gender'!$A$4:$A$6</c:f>
              <c:strCache>
                <c:ptCount val="2"/>
                <c:pt idx="0">
                  <c:v>Female</c:v>
                </c:pt>
                <c:pt idx="1">
                  <c:v>Male</c:v>
                </c:pt>
              </c:strCache>
            </c:strRef>
          </c:cat>
          <c:val>
            <c:numRef>
              <c:f>'Pie | Gender'!$B$4:$B$6</c:f>
              <c:numCache>
                <c:formatCode>0.00%</c:formatCode>
                <c:ptCount val="2"/>
                <c:pt idx="0" formatCode="0.0%">
                  <c:v>0.49099999999999999</c:v>
                </c:pt>
                <c:pt idx="1">
                  <c:v>0.50900000000000001</c:v>
                </c:pt>
              </c:numCache>
            </c:numRef>
          </c:val>
          <c:extLst>
            <c:ext xmlns:c16="http://schemas.microsoft.com/office/drawing/2014/chart" uri="{C3380CC4-5D6E-409C-BE32-E72D297353CC}">
              <c16:uniqueId val="{00000000-A534-5741-880C-4FAE22685F6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pivotSource>
    <c:name>[Huyen Trang - Excel file.xlsx]Line | Ded - Age &amp; Gender!P3</c:name>
    <c:fmtId val="0"/>
  </c:pivotSource>
  <c:chart>
    <c:title>
      <c:tx>
        <c:rich>
          <a:bodyPr rot="0" spcFirstLastPara="1" vertOverflow="ellipsis" vert="horz" wrap="square" anchor="ctr" anchorCtr="1"/>
          <a:lstStyle/>
          <a:p>
            <a:pPr>
              <a:defRPr sz="16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r>
              <a:rPr lang="en-US" sz="1600" b="1">
                <a:solidFill>
                  <a:schemeClr val="accent1"/>
                </a:solidFill>
              </a:rPr>
              <a:t>AVERAGE DEDUCTIONS BY GENDER &amp; AGE GROUP</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 Ded - Age &amp; Gender'!$B$3:$B$4</c:f>
              <c:strCache>
                <c:ptCount val="1"/>
                <c:pt idx="0">
                  <c:v>Female</c:v>
                </c:pt>
              </c:strCache>
            </c:strRef>
          </c:tx>
          <c:spPr>
            <a:ln w="28575" cap="rnd">
              <a:solidFill>
                <a:schemeClr val="accent4"/>
              </a:solidFill>
              <a:round/>
            </a:ln>
            <a:effectLst/>
          </c:spPr>
          <c:marker>
            <c:symbol val="none"/>
          </c:marker>
          <c:cat>
            <c:strRef>
              <c:f>'Line | Ded - Age &amp; Gender'!$A$5:$A$17</c:f>
              <c:strCache>
                <c:ptCount val="12"/>
                <c:pt idx="0">
                  <c:v>under 20</c:v>
                </c:pt>
                <c:pt idx="1">
                  <c:v>20 to 24</c:v>
                </c:pt>
                <c:pt idx="2">
                  <c:v>25 to 29</c:v>
                </c:pt>
                <c:pt idx="3">
                  <c:v>30 to 34</c:v>
                </c:pt>
                <c:pt idx="4">
                  <c:v>35 to 39</c:v>
                </c:pt>
                <c:pt idx="5">
                  <c:v>40 to 44</c:v>
                </c:pt>
                <c:pt idx="6">
                  <c:v>45 to 49</c:v>
                </c:pt>
                <c:pt idx="7">
                  <c:v>50 to 54</c:v>
                </c:pt>
                <c:pt idx="8">
                  <c:v>55 to 59</c:v>
                </c:pt>
                <c:pt idx="9">
                  <c:v>60 to 64</c:v>
                </c:pt>
                <c:pt idx="10">
                  <c:v>65 to 69</c:v>
                </c:pt>
                <c:pt idx="11">
                  <c:v>70 and over</c:v>
                </c:pt>
              </c:strCache>
            </c:strRef>
          </c:cat>
          <c:val>
            <c:numRef>
              <c:f>'Line | Ded - Age &amp; Gender'!$B$5:$B$17</c:f>
              <c:numCache>
                <c:formatCode>0</c:formatCode>
                <c:ptCount val="12"/>
                <c:pt idx="0">
                  <c:v>49.714285714285715</c:v>
                </c:pt>
                <c:pt idx="1">
                  <c:v>832.25531914893622</c:v>
                </c:pt>
                <c:pt idx="2">
                  <c:v>1674.9830508474577</c:v>
                </c:pt>
                <c:pt idx="3">
                  <c:v>1514.408163265306</c:v>
                </c:pt>
                <c:pt idx="4">
                  <c:v>2354.7948717948716</c:v>
                </c:pt>
                <c:pt idx="5">
                  <c:v>2296.6727272727271</c:v>
                </c:pt>
                <c:pt idx="6">
                  <c:v>1869.7818181818182</c:v>
                </c:pt>
                <c:pt idx="7">
                  <c:v>1266.1803278688524</c:v>
                </c:pt>
                <c:pt idx="8">
                  <c:v>1781.3695652173913</c:v>
                </c:pt>
                <c:pt idx="9">
                  <c:v>2389.212121212121</c:v>
                </c:pt>
                <c:pt idx="10">
                  <c:v>1529.3636363636363</c:v>
                </c:pt>
                <c:pt idx="11">
                  <c:v>447.34482758620692</c:v>
                </c:pt>
              </c:numCache>
            </c:numRef>
          </c:val>
          <c:smooth val="0"/>
          <c:extLst>
            <c:ext xmlns:c16="http://schemas.microsoft.com/office/drawing/2014/chart" uri="{C3380CC4-5D6E-409C-BE32-E72D297353CC}">
              <c16:uniqueId val="{00000000-E4C9-9F4F-9A73-CDA7CBE6AE83}"/>
            </c:ext>
          </c:extLst>
        </c:ser>
        <c:ser>
          <c:idx val="1"/>
          <c:order val="1"/>
          <c:tx>
            <c:strRef>
              <c:f>'Line | Ded - Age &amp; Gender'!$C$3:$C$4</c:f>
              <c:strCache>
                <c:ptCount val="1"/>
                <c:pt idx="0">
                  <c:v>Male</c:v>
                </c:pt>
              </c:strCache>
            </c:strRef>
          </c:tx>
          <c:spPr>
            <a:ln w="28575" cap="rnd">
              <a:solidFill>
                <a:schemeClr val="accent1">
                  <a:lumMod val="20000"/>
                  <a:lumOff val="80000"/>
                </a:schemeClr>
              </a:solidFill>
              <a:round/>
            </a:ln>
            <a:effectLst/>
          </c:spPr>
          <c:marker>
            <c:symbol val="none"/>
          </c:marker>
          <c:cat>
            <c:strRef>
              <c:f>'Line | Ded - Age &amp; Gender'!$A$5:$A$17</c:f>
              <c:strCache>
                <c:ptCount val="12"/>
                <c:pt idx="0">
                  <c:v>under 20</c:v>
                </c:pt>
                <c:pt idx="1">
                  <c:v>20 to 24</c:v>
                </c:pt>
                <c:pt idx="2">
                  <c:v>25 to 29</c:v>
                </c:pt>
                <c:pt idx="3">
                  <c:v>30 to 34</c:v>
                </c:pt>
                <c:pt idx="4">
                  <c:v>35 to 39</c:v>
                </c:pt>
                <c:pt idx="5">
                  <c:v>40 to 44</c:v>
                </c:pt>
                <c:pt idx="6">
                  <c:v>45 to 49</c:v>
                </c:pt>
                <c:pt idx="7">
                  <c:v>50 to 54</c:v>
                </c:pt>
                <c:pt idx="8">
                  <c:v>55 to 59</c:v>
                </c:pt>
                <c:pt idx="9">
                  <c:v>60 to 64</c:v>
                </c:pt>
                <c:pt idx="10">
                  <c:v>65 to 69</c:v>
                </c:pt>
                <c:pt idx="11">
                  <c:v>70 and over</c:v>
                </c:pt>
              </c:strCache>
            </c:strRef>
          </c:cat>
          <c:val>
            <c:numRef>
              <c:f>'Line | Ded - Age &amp; Gender'!$C$5:$C$17</c:f>
              <c:numCache>
                <c:formatCode>0</c:formatCode>
                <c:ptCount val="12"/>
                <c:pt idx="0">
                  <c:v>431.66666666666669</c:v>
                </c:pt>
                <c:pt idx="1">
                  <c:v>2308.5192307692309</c:v>
                </c:pt>
                <c:pt idx="2">
                  <c:v>3637.0833333333335</c:v>
                </c:pt>
                <c:pt idx="3">
                  <c:v>2881.28</c:v>
                </c:pt>
                <c:pt idx="4">
                  <c:v>3882.6304347826085</c:v>
                </c:pt>
                <c:pt idx="5">
                  <c:v>4807.3396226415098</c:v>
                </c:pt>
                <c:pt idx="6">
                  <c:v>4195.3018867924529</c:v>
                </c:pt>
                <c:pt idx="7">
                  <c:v>3257.1632653061224</c:v>
                </c:pt>
                <c:pt idx="8">
                  <c:v>5454.1081081081084</c:v>
                </c:pt>
                <c:pt idx="9">
                  <c:v>1539.5952380952381</c:v>
                </c:pt>
                <c:pt idx="10">
                  <c:v>3373.8148148148148</c:v>
                </c:pt>
                <c:pt idx="11">
                  <c:v>868.02941176470586</c:v>
                </c:pt>
              </c:numCache>
            </c:numRef>
          </c:val>
          <c:smooth val="0"/>
          <c:extLst>
            <c:ext xmlns:c16="http://schemas.microsoft.com/office/drawing/2014/chart" uri="{C3380CC4-5D6E-409C-BE32-E72D297353CC}">
              <c16:uniqueId val="{00000000-A8E1-4427-AB4E-4253D249FBC7}"/>
            </c:ext>
          </c:extLst>
        </c:ser>
        <c:dLbls>
          <c:showLegendKey val="0"/>
          <c:showVal val="0"/>
          <c:showCatName val="0"/>
          <c:showSerName val="0"/>
          <c:showPercent val="0"/>
          <c:showBubbleSize val="0"/>
        </c:dLbls>
        <c:smooth val="0"/>
        <c:axId val="1476911503"/>
        <c:axId val="1531609887"/>
      </c:lineChart>
      <c:catAx>
        <c:axId val="1476911503"/>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US" sz="1050" b="1">
                    <a:solidFill>
                      <a:schemeClr val="accent1"/>
                    </a:solidFill>
                  </a:rPr>
                  <a:t>AGE GROUP</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crossAx val="1531609887"/>
        <c:crosses val="autoZero"/>
        <c:auto val="1"/>
        <c:lblAlgn val="ctr"/>
        <c:lblOffset val="100"/>
        <c:noMultiLvlLbl val="0"/>
      </c:catAx>
      <c:valAx>
        <c:axId val="1531609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US" sz="1050" b="1">
                    <a:solidFill>
                      <a:schemeClr val="accent1"/>
                    </a:solidFill>
                  </a:rPr>
                  <a:t>TOTAL DEDUCTIONS</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crossAx val="14769115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pivotSource>
    <c:name>[Huyen Trang - Excel file.xlsx]Bar | Tax - Occ &amp; Part!P4</c:name>
    <c:fmtId val="0"/>
  </c:pivotSource>
  <c:chart>
    <c:title>
      <c:tx>
        <c:rich>
          <a:bodyPr rot="0" spcFirstLastPara="1" vertOverflow="ellipsis" vert="horz" wrap="square" anchor="ctr" anchorCtr="1"/>
          <a:lstStyle/>
          <a:p>
            <a:pPr>
              <a:defRPr sz="14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r>
              <a:rPr lang="en-US" b="1">
                <a:solidFill>
                  <a:schemeClr val="accent1"/>
                </a:solidFill>
              </a:rPr>
              <a:t>AVERAGE TAXABLE</a:t>
            </a:r>
            <a:r>
              <a:rPr lang="en-US" b="1" baseline="0">
                <a:solidFill>
                  <a:schemeClr val="accent1"/>
                </a:solidFill>
              </a:rPr>
              <a:t> INCOME BY OCCUPATION &amp; PARTNER STATUS</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 Tax - Occ &amp; Part'!$B$3:$B$4</c:f>
              <c:strCache>
                <c:ptCount val="1"/>
                <c:pt idx="0">
                  <c:v>Partnered</c:v>
                </c:pt>
              </c:strCache>
            </c:strRef>
          </c:tx>
          <c:spPr>
            <a:solidFill>
              <a:schemeClr val="accent4">
                <a:lumMod val="75000"/>
              </a:schemeClr>
            </a:solidFill>
            <a:ln>
              <a:noFill/>
            </a:ln>
            <a:effectLst/>
          </c:spPr>
          <c:invertIfNegative val="0"/>
          <c:cat>
            <c:strRef>
              <c:f>'Bar | Tax - Occ &amp; Part'!$A$5:$A$15</c:f>
              <c:strCache>
                <c:ptCount val="10"/>
                <c:pt idx="0">
                  <c:v>Clerical and Administrative Workers</c:v>
                </c:pt>
                <c:pt idx="1">
                  <c:v>Community and Personal Service Workers</c:v>
                </c:pt>
                <c:pt idx="2">
                  <c:v>Consultants, apprentices and type not specified or not listed</c:v>
                </c:pt>
                <c:pt idx="3">
                  <c:v>Labourers</c:v>
                </c:pt>
                <c:pt idx="4">
                  <c:v>Machinery operators and drivers</c:v>
                </c:pt>
                <c:pt idx="5">
                  <c:v>Managers</c:v>
                </c:pt>
                <c:pt idx="6">
                  <c:v>Occupation not listed/ Occupation not specified</c:v>
                </c:pt>
                <c:pt idx="7">
                  <c:v>Professionals</c:v>
                </c:pt>
                <c:pt idx="8">
                  <c:v>Sales workers</c:v>
                </c:pt>
                <c:pt idx="9">
                  <c:v>Technicians and Trades Workers</c:v>
                </c:pt>
              </c:strCache>
            </c:strRef>
          </c:cat>
          <c:val>
            <c:numRef>
              <c:f>'Bar | Tax - Occ &amp; Part'!$B$5:$B$15</c:f>
              <c:numCache>
                <c:formatCode>0</c:formatCode>
                <c:ptCount val="10"/>
                <c:pt idx="0">
                  <c:v>52584.971830985916</c:v>
                </c:pt>
                <c:pt idx="1">
                  <c:v>44549.275000000001</c:v>
                </c:pt>
                <c:pt idx="2">
                  <c:v>40279.695652173912</c:v>
                </c:pt>
                <c:pt idx="3">
                  <c:v>48515.9375</c:v>
                </c:pt>
                <c:pt idx="4">
                  <c:v>73717</c:v>
                </c:pt>
                <c:pt idx="5">
                  <c:v>100707.32894736843</c:v>
                </c:pt>
                <c:pt idx="6">
                  <c:v>39923.7578125</c:v>
                </c:pt>
                <c:pt idx="7">
                  <c:v>86899.675438596489</c:v>
                </c:pt>
                <c:pt idx="8">
                  <c:v>43058.15</c:v>
                </c:pt>
                <c:pt idx="9">
                  <c:v>71113.277777777781</c:v>
                </c:pt>
              </c:numCache>
            </c:numRef>
          </c:val>
          <c:extLst>
            <c:ext xmlns:c16="http://schemas.microsoft.com/office/drawing/2014/chart" uri="{C3380CC4-5D6E-409C-BE32-E72D297353CC}">
              <c16:uniqueId val="{00000000-AB82-3140-90AE-96141BFA0C8B}"/>
            </c:ext>
          </c:extLst>
        </c:ser>
        <c:ser>
          <c:idx val="1"/>
          <c:order val="1"/>
          <c:tx>
            <c:strRef>
              <c:f>'Bar | Tax - Occ &amp; Part'!$C$3:$C$4</c:f>
              <c:strCache>
                <c:ptCount val="1"/>
                <c:pt idx="0">
                  <c:v>Single</c:v>
                </c:pt>
              </c:strCache>
            </c:strRef>
          </c:tx>
          <c:spPr>
            <a:solidFill>
              <a:schemeClr val="accent1">
                <a:lumMod val="20000"/>
                <a:lumOff val="80000"/>
              </a:schemeClr>
            </a:solidFill>
            <a:ln>
              <a:noFill/>
            </a:ln>
            <a:effectLst/>
          </c:spPr>
          <c:invertIfNegative val="0"/>
          <c:cat>
            <c:strRef>
              <c:f>'Bar | Tax - Occ &amp; Part'!$A$5:$A$15</c:f>
              <c:strCache>
                <c:ptCount val="10"/>
                <c:pt idx="0">
                  <c:v>Clerical and Administrative Workers</c:v>
                </c:pt>
                <c:pt idx="1">
                  <c:v>Community and Personal Service Workers</c:v>
                </c:pt>
                <c:pt idx="2">
                  <c:v>Consultants, apprentices and type not specified or not listed</c:v>
                </c:pt>
                <c:pt idx="3">
                  <c:v>Labourers</c:v>
                </c:pt>
                <c:pt idx="4">
                  <c:v>Machinery operators and drivers</c:v>
                </c:pt>
                <c:pt idx="5">
                  <c:v>Managers</c:v>
                </c:pt>
                <c:pt idx="6">
                  <c:v>Occupation not listed/ Occupation not specified</c:v>
                </c:pt>
                <c:pt idx="7">
                  <c:v>Professionals</c:v>
                </c:pt>
                <c:pt idx="8">
                  <c:v>Sales workers</c:v>
                </c:pt>
                <c:pt idx="9">
                  <c:v>Technicians and Trades Workers</c:v>
                </c:pt>
              </c:strCache>
            </c:strRef>
          </c:cat>
          <c:val>
            <c:numRef>
              <c:f>'Bar | Tax - Occ &amp; Part'!$C$5:$C$15</c:f>
              <c:numCache>
                <c:formatCode>0</c:formatCode>
                <c:ptCount val="10"/>
                <c:pt idx="0">
                  <c:v>54068.07547169811</c:v>
                </c:pt>
                <c:pt idx="1">
                  <c:v>35791.634146341465</c:v>
                </c:pt>
                <c:pt idx="2">
                  <c:v>37090.216216216213</c:v>
                </c:pt>
                <c:pt idx="3">
                  <c:v>36977.472222222219</c:v>
                </c:pt>
                <c:pt idx="4">
                  <c:v>55093.428571428572</c:v>
                </c:pt>
                <c:pt idx="5">
                  <c:v>60456.705882352944</c:v>
                </c:pt>
                <c:pt idx="6">
                  <c:v>37765.43076923077</c:v>
                </c:pt>
                <c:pt idx="7">
                  <c:v>72109.854166666672</c:v>
                </c:pt>
                <c:pt idx="8">
                  <c:v>30030.837837837837</c:v>
                </c:pt>
                <c:pt idx="9">
                  <c:v>61230.2</c:v>
                </c:pt>
              </c:numCache>
            </c:numRef>
          </c:val>
          <c:extLst>
            <c:ext xmlns:c16="http://schemas.microsoft.com/office/drawing/2014/chart" uri="{C3380CC4-5D6E-409C-BE32-E72D297353CC}">
              <c16:uniqueId val="{00000001-AB82-3140-90AE-96141BFA0C8B}"/>
            </c:ext>
          </c:extLst>
        </c:ser>
        <c:dLbls>
          <c:showLegendKey val="0"/>
          <c:showVal val="0"/>
          <c:showCatName val="0"/>
          <c:showSerName val="0"/>
          <c:showPercent val="0"/>
          <c:showBubbleSize val="0"/>
        </c:dLbls>
        <c:gapWidth val="45"/>
        <c:axId val="1513162239"/>
        <c:axId val="1793556671"/>
      </c:barChart>
      <c:catAx>
        <c:axId val="151316223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US" b="1">
                    <a:solidFill>
                      <a:schemeClr val="accent1"/>
                    </a:solidFill>
                  </a:rPr>
                  <a:t>OCCUPATION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crossAx val="1793556671"/>
        <c:crosses val="autoZero"/>
        <c:auto val="1"/>
        <c:lblAlgn val="ctr"/>
        <c:lblOffset val="100"/>
        <c:noMultiLvlLbl val="0"/>
      </c:catAx>
      <c:valAx>
        <c:axId val="17935566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US" b="1">
                    <a:solidFill>
                      <a:schemeClr val="accent1"/>
                    </a:solidFill>
                  </a:rPr>
                  <a:t>AVERAGE</a:t>
                </a:r>
                <a:r>
                  <a:rPr lang="en-US" b="1" baseline="0">
                    <a:solidFill>
                      <a:schemeClr val="accent1"/>
                    </a:solidFill>
                  </a:rPr>
                  <a:t> TAXABLE INCOME</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US"/>
            </a:p>
          </c:txPr>
        </c:title>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VN"/>
          </a:p>
        </c:txPr>
        <c:crossAx val="1513162239"/>
        <c:crosses val="autoZero"/>
        <c:crossBetween val="between"/>
      </c:valAx>
      <c:spPr>
        <a:noFill/>
        <a:ln>
          <a:noFill/>
        </a:ln>
        <a:effectLst/>
      </c:spPr>
    </c:plotArea>
    <c:legend>
      <c:legendPos val="t"/>
      <c:layout>
        <c:manualLayout>
          <c:xMode val="edge"/>
          <c:yMode val="edge"/>
          <c:x val="0.32571192944956856"/>
          <c:y val="0.11379575311032443"/>
          <c:w val="0.46897927839744169"/>
          <c:h val="6.198178393804847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pivotSource>
    <c:name>[Huyen Trang - Excel file.xlsx]Bar | Inc - Health &amp; Occ!P5</c:name>
    <c:fmtId val="0"/>
  </c:pivotSource>
  <c:chart>
    <c:title>
      <c:tx>
        <c:rich>
          <a:bodyPr rot="0" spcFirstLastPara="1" vertOverflow="ellipsis" vert="horz" wrap="square" anchor="ctr" anchorCtr="1"/>
          <a:lstStyle/>
          <a:p>
            <a:pPr>
              <a:defRPr sz="16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r>
              <a:rPr lang="en-US" sz="1600" b="1">
                <a:solidFill>
                  <a:schemeClr val="accent1"/>
                </a:solidFill>
              </a:rPr>
              <a:t>AVERAGE INCOME BASED UPON</a:t>
            </a:r>
            <a:r>
              <a:rPr lang="en-US" sz="1600" b="1" baseline="0">
                <a:solidFill>
                  <a:schemeClr val="accent1"/>
                </a:solidFill>
              </a:rPr>
              <a:t> HEALTH COVER &amp; OCCUPATION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pivotFmt>
      <c:pivotFmt>
        <c:idx val="2"/>
        <c:spPr>
          <a:solidFill>
            <a:schemeClr val="accent4"/>
          </a:solidFill>
          <a:ln>
            <a:noFill/>
          </a:ln>
          <a:effectLst/>
        </c:spPr>
      </c:pivotFmt>
      <c:pivotFmt>
        <c:idx val="3"/>
        <c:spPr>
          <a:solidFill>
            <a:schemeClr val="accent1">
              <a:lumMod val="20000"/>
              <a:lumOff val="80000"/>
            </a:schemeClr>
          </a:solidFill>
          <a:ln>
            <a:noFill/>
          </a:ln>
          <a:effectLst/>
        </c:spPr>
      </c:pivotFmt>
      <c:pivotFmt>
        <c:idx val="4"/>
        <c:spPr>
          <a:solidFill>
            <a:schemeClr val="accent1">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lumMod val="20000"/>
              <a:lumOff val="80000"/>
            </a:schemeClr>
          </a:solidFill>
          <a:ln>
            <a:noFill/>
          </a:ln>
          <a:effectLst/>
        </c:spPr>
      </c:pivotFmt>
      <c:pivotFmt>
        <c:idx val="8"/>
        <c:spPr>
          <a:solidFill>
            <a:schemeClr val="accent1">
              <a:lumMod val="20000"/>
              <a:lumOff val="80000"/>
            </a:schemeClr>
          </a:solidFill>
          <a:ln>
            <a:noFill/>
          </a:ln>
          <a:effectLst/>
        </c:spPr>
      </c:pivotFmt>
      <c:pivotFmt>
        <c:idx val="9"/>
        <c:spPr>
          <a:solidFill>
            <a:schemeClr val="accent1">
              <a:lumMod val="20000"/>
              <a:lumOff val="80000"/>
            </a:schemeClr>
          </a:solidFill>
          <a:ln>
            <a:noFill/>
          </a:ln>
          <a:effectLst/>
        </c:spPr>
      </c:pivotFmt>
      <c:pivotFmt>
        <c:idx val="10"/>
        <c:spPr>
          <a:solidFill>
            <a:schemeClr val="accent4">
              <a:lumMod val="20000"/>
              <a:lumOff val="80000"/>
            </a:schemeClr>
          </a:solidFill>
          <a:ln>
            <a:noFill/>
          </a:ln>
          <a:effectLst/>
        </c:spPr>
      </c:pivotFmt>
      <c:pivotFmt>
        <c:idx val="11"/>
        <c:spPr>
          <a:solidFill>
            <a:schemeClr val="accent1">
              <a:lumMod val="20000"/>
              <a:lumOff val="80000"/>
            </a:schemeClr>
          </a:solidFill>
          <a:ln>
            <a:noFill/>
          </a:ln>
          <a:effectLst/>
        </c:spPr>
      </c:pivotFmt>
      <c:pivotFmt>
        <c:idx val="12"/>
        <c:spPr>
          <a:solidFill>
            <a:schemeClr val="accent4"/>
          </a:solidFill>
          <a:ln>
            <a:noFill/>
          </a:ln>
          <a:effectLst/>
        </c:spPr>
      </c:pivotFmt>
      <c:pivotFmt>
        <c:idx val="13"/>
        <c:spPr>
          <a:solidFill>
            <a:schemeClr val="accent4"/>
          </a:solidFill>
          <a:ln>
            <a:noFill/>
          </a:ln>
          <a:effectLst/>
        </c:spPr>
      </c:pivotFmt>
      <c:pivotFmt>
        <c:idx val="14"/>
        <c:spPr>
          <a:solidFill>
            <a:schemeClr val="accent4"/>
          </a:solidFill>
          <a:ln>
            <a:noFill/>
          </a:ln>
          <a:effectLst/>
        </c:spPr>
      </c:pivotFmt>
      <c:pivotFmt>
        <c:idx val="15"/>
        <c:spPr>
          <a:solidFill>
            <a:schemeClr val="accent4"/>
          </a:solidFill>
          <a:ln>
            <a:noFill/>
          </a:ln>
          <a:effectLst/>
        </c:spPr>
      </c:pivotFmt>
      <c:pivotFmt>
        <c:idx val="16"/>
        <c:spPr>
          <a:solidFill>
            <a:schemeClr val="accent4"/>
          </a:solidFill>
          <a:ln>
            <a:noFill/>
          </a:ln>
          <a:effectLst/>
        </c:spPr>
      </c:pivotFmt>
      <c:pivotFmt>
        <c:idx val="17"/>
        <c:spPr>
          <a:solidFill>
            <a:schemeClr val="accent4"/>
          </a:solidFill>
          <a:ln>
            <a:noFill/>
          </a:ln>
          <a:effectLst/>
        </c:spPr>
      </c:pivotFmt>
      <c:pivotFmt>
        <c:idx val="18"/>
        <c:spPr>
          <a:solidFill>
            <a:schemeClr val="accent4"/>
          </a:solidFill>
          <a:ln>
            <a:noFill/>
          </a:ln>
          <a:effectLst/>
        </c:spPr>
      </c:pivotFmt>
      <c:pivotFmt>
        <c:idx val="19"/>
        <c:spPr>
          <a:solidFill>
            <a:schemeClr val="accent4"/>
          </a:solidFill>
          <a:ln>
            <a:noFill/>
          </a:ln>
          <a:effectLst/>
        </c:spPr>
      </c:pivotFmt>
      <c:pivotFmt>
        <c:idx val="20"/>
        <c:spPr>
          <a:solidFill>
            <a:schemeClr val="accent4"/>
          </a:solidFill>
          <a:ln>
            <a:noFill/>
          </a:ln>
          <a:effectLst/>
        </c:spPr>
      </c:pivotFmt>
    </c:pivotFmts>
    <c:plotArea>
      <c:layout/>
      <c:barChart>
        <c:barDir val="col"/>
        <c:grouping val="clustered"/>
        <c:varyColors val="0"/>
        <c:ser>
          <c:idx val="0"/>
          <c:order val="0"/>
          <c:tx>
            <c:strRef>
              <c:f>'Bar | Inc - Health &amp; Occ'!$B$3</c:f>
              <c:strCache>
                <c:ptCount val="1"/>
                <c:pt idx="0">
                  <c:v>Tổng</c:v>
                </c:pt>
              </c:strCache>
            </c:strRef>
          </c:tx>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2-A393-3E40-982A-1B93194BBB29}"/>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A393-3E40-982A-1B93194BBB29}"/>
              </c:ext>
            </c:extLst>
          </c:dPt>
          <c:dPt>
            <c:idx val="2"/>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4-A393-3E40-982A-1B93194BBB2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D-A393-3E40-982A-1B93194BBB29}"/>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5-A393-3E40-982A-1B93194BBB29}"/>
              </c:ext>
            </c:extLst>
          </c:dPt>
          <c:dPt>
            <c:idx val="5"/>
            <c:invertIfNegative val="0"/>
            <c:bubble3D val="0"/>
            <c:spPr>
              <a:solidFill>
                <a:schemeClr val="accent4"/>
              </a:solidFill>
              <a:ln>
                <a:noFill/>
              </a:ln>
              <a:effectLst/>
            </c:spPr>
            <c:extLst>
              <c:ext xmlns:c16="http://schemas.microsoft.com/office/drawing/2014/chart" uri="{C3380CC4-5D6E-409C-BE32-E72D297353CC}">
                <c16:uniqueId val="{0000000E-A393-3E40-982A-1B93194BBB29}"/>
              </c:ext>
            </c:extLst>
          </c:dPt>
          <c:dPt>
            <c:idx val="6"/>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6-A393-3E40-982A-1B93194BBB29}"/>
              </c:ext>
            </c:extLst>
          </c:dPt>
          <c:dPt>
            <c:idx val="7"/>
            <c:invertIfNegative val="0"/>
            <c:bubble3D val="0"/>
            <c:spPr>
              <a:solidFill>
                <a:schemeClr val="accent4"/>
              </a:solidFill>
              <a:ln>
                <a:noFill/>
              </a:ln>
              <a:effectLst/>
            </c:spPr>
            <c:extLst>
              <c:ext xmlns:c16="http://schemas.microsoft.com/office/drawing/2014/chart" uri="{C3380CC4-5D6E-409C-BE32-E72D297353CC}">
                <c16:uniqueId val="{0000000F-A393-3E40-982A-1B93194BBB29}"/>
              </c:ext>
            </c:extLst>
          </c:dPt>
          <c:dPt>
            <c:idx val="8"/>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7-A393-3E40-982A-1B93194BBB29}"/>
              </c:ext>
            </c:extLst>
          </c:dPt>
          <c:dPt>
            <c:idx val="9"/>
            <c:invertIfNegative val="0"/>
            <c:bubble3D val="0"/>
            <c:spPr>
              <a:solidFill>
                <a:schemeClr val="accent4"/>
              </a:solidFill>
              <a:ln>
                <a:noFill/>
              </a:ln>
              <a:effectLst/>
            </c:spPr>
            <c:extLst>
              <c:ext xmlns:c16="http://schemas.microsoft.com/office/drawing/2014/chart" uri="{C3380CC4-5D6E-409C-BE32-E72D297353CC}">
                <c16:uniqueId val="{00000010-A393-3E40-982A-1B93194BBB29}"/>
              </c:ext>
            </c:extLst>
          </c:dPt>
          <c:dPt>
            <c:idx val="1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8-A393-3E40-982A-1B93194BBB29}"/>
              </c:ext>
            </c:extLst>
          </c:dPt>
          <c:dPt>
            <c:idx val="11"/>
            <c:invertIfNegative val="0"/>
            <c:bubble3D val="0"/>
            <c:spPr>
              <a:solidFill>
                <a:schemeClr val="accent4"/>
              </a:solidFill>
              <a:ln>
                <a:noFill/>
              </a:ln>
              <a:effectLst/>
            </c:spPr>
            <c:extLst>
              <c:ext xmlns:c16="http://schemas.microsoft.com/office/drawing/2014/chart" uri="{C3380CC4-5D6E-409C-BE32-E72D297353CC}">
                <c16:uniqueId val="{00000011-A393-3E40-982A-1B93194BBB29}"/>
              </c:ext>
            </c:extLst>
          </c:dPt>
          <c:dPt>
            <c:idx val="12"/>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A393-3E40-982A-1B93194BBB29}"/>
              </c:ext>
            </c:extLst>
          </c:dPt>
          <c:dPt>
            <c:idx val="13"/>
            <c:invertIfNegative val="0"/>
            <c:bubble3D val="0"/>
            <c:spPr>
              <a:solidFill>
                <a:schemeClr val="accent4"/>
              </a:solidFill>
              <a:ln>
                <a:noFill/>
              </a:ln>
              <a:effectLst/>
            </c:spPr>
            <c:extLst>
              <c:ext xmlns:c16="http://schemas.microsoft.com/office/drawing/2014/chart" uri="{C3380CC4-5D6E-409C-BE32-E72D297353CC}">
                <c16:uniqueId val="{00000014-A393-3E40-982A-1B93194BBB29}"/>
              </c:ext>
            </c:extLst>
          </c:dPt>
          <c:dPt>
            <c:idx val="1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A-A393-3E40-982A-1B93194BBB29}"/>
              </c:ext>
            </c:extLst>
          </c:dPt>
          <c:dPt>
            <c:idx val="15"/>
            <c:invertIfNegative val="0"/>
            <c:bubble3D val="0"/>
            <c:spPr>
              <a:solidFill>
                <a:schemeClr val="accent4"/>
              </a:solidFill>
              <a:ln>
                <a:noFill/>
              </a:ln>
              <a:effectLst/>
            </c:spPr>
            <c:extLst>
              <c:ext xmlns:c16="http://schemas.microsoft.com/office/drawing/2014/chart" uri="{C3380CC4-5D6E-409C-BE32-E72D297353CC}">
                <c16:uniqueId val="{00000012-A393-3E40-982A-1B93194BBB29}"/>
              </c:ext>
            </c:extLst>
          </c:dPt>
          <c:dPt>
            <c:idx val="16"/>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B-A393-3E40-982A-1B93194BBB29}"/>
              </c:ext>
            </c:extLst>
          </c:dPt>
          <c:dPt>
            <c:idx val="17"/>
            <c:invertIfNegative val="0"/>
            <c:bubble3D val="0"/>
            <c:spPr>
              <a:solidFill>
                <a:schemeClr val="accent4"/>
              </a:solidFill>
              <a:ln>
                <a:noFill/>
              </a:ln>
              <a:effectLst/>
            </c:spPr>
            <c:extLst>
              <c:ext xmlns:c16="http://schemas.microsoft.com/office/drawing/2014/chart" uri="{C3380CC4-5D6E-409C-BE32-E72D297353CC}">
                <c16:uniqueId val="{00000015-A393-3E40-982A-1B93194BBB29}"/>
              </c:ext>
            </c:extLst>
          </c:dPt>
          <c:dPt>
            <c:idx val="18"/>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C-A393-3E40-982A-1B93194BBB29}"/>
              </c:ext>
            </c:extLst>
          </c:dPt>
          <c:dPt>
            <c:idx val="19"/>
            <c:invertIfNegative val="0"/>
            <c:bubble3D val="0"/>
            <c:spPr>
              <a:solidFill>
                <a:schemeClr val="accent4"/>
              </a:solidFill>
              <a:ln>
                <a:noFill/>
              </a:ln>
              <a:effectLst/>
            </c:spPr>
            <c:extLst>
              <c:ext xmlns:c16="http://schemas.microsoft.com/office/drawing/2014/chart" uri="{C3380CC4-5D6E-409C-BE32-E72D297353CC}">
                <c16:uniqueId val="{00000013-A393-3E40-982A-1B93194BBB29}"/>
              </c:ext>
            </c:extLst>
          </c:dPt>
          <c:cat>
            <c:multiLvlStrRef>
              <c:f>'Bar | Inc - Health &amp; Occ'!$A$4:$A$34</c:f>
              <c:multiLvlStrCache>
                <c:ptCount val="20"/>
                <c:lvl>
                  <c:pt idx="0">
                    <c:v>No PHI</c:v>
                  </c:pt>
                  <c:pt idx="1">
                    <c:v>PHI</c:v>
                  </c:pt>
                  <c:pt idx="2">
                    <c:v>No PHI</c:v>
                  </c:pt>
                  <c:pt idx="3">
                    <c:v>PHI</c:v>
                  </c:pt>
                  <c:pt idx="4">
                    <c:v>No PHI</c:v>
                  </c:pt>
                  <c:pt idx="5">
                    <c:v>PHI</c:v>
                  </c:pt>
                  <c:pt idx="6">
                    <c:v>No PHI</c:v>
                  </c:pt>
                  <c:pt idx="7">
                    <c:v>PHI</c:v>
                  </c:pt>
                  <c:pt idx="8">
                    <c:v>No PHI</c:v>
                  </c:pt>
                  <c:pt idx="9">
                    <c:v>PHI</c:v>
                  </c:pt>
                  <c:pt idx="10">
                    <c:v>No PHI</c:v>
                  </c:pt>
                  <c:pt idx="11">
                    <c:v>PHI</c:v>
                  </c:pt>
                  <c:pt idx="12">
                    <c:v>No PHI</c:v>
                  </c:pt>
                  <c:pt idx="13">
                    <c:v>PHI</c:v>
                  </c:pt>
                  <c:pt idx="14">
                    <c:v>No PHI</c:v>
                  </c:pt>
                  <c:pt idx="15">
                    <c:v>PHI</c:v>
                  </c:pt>
                  <c:pt idx="16">
                    <c:v>No PHI</c:v>
                  </c:pt>
                  <c:pt idx="17">
                    <c:v>PHI</c:v>
                  </c:pt>
                  <c:pt idx="18">
                    <c:v>No PHI</c:v>
                  </c:pt>
                  <c:pt idx="19">
                    <c:v>PHI</c:v>
                  </c:pt>
                </c:lvl>
                <c:lvl>
                  <c:pt idx="0">
                    <c:v>Clerical and Administrative Workers</c:v>
                  </c:pt>
                  <c:pt idx="2">
                    <c:v>Community and Personal Service Workers</c:v>
                  </c:pt>
                  <c:pt idx="4">
                    <c:v>Consultants, apprentices and type not specified or not listed</c:v>
                  </c:pt>
                  <c:pt idx="6">
                    <c:v>Labourers</c:v>
                  </c:pt>
                  <c:pt idx="8">
                    <c:v>Machinery operators and drivers</c:v>
                  </c:pt>
                  <c:pt idx="10">
                    <c:v>Managers</c:v>
                  </c:pt>
                  <c:pt idx="12">
                    <c:v>Occupation not listed/ Occupation not specified</c:v>
                  </c:pt>
                  <c:pt idx="14">
                    <c:v>Professionals</c:v>
                  </c:pt>
                  <c:pt idx="16">
                    <c:v>Sales workers</c:v>
                  </c:pt>
                  <c:pt idx="18">
                    <c:v>Technicians and Trades Workers</c:v>
                  </c:pt>
                </c:lvl>
              </c:multiLvlStrCache>
            </c:multiLvlStrRef>
          </c:cat>
          <c:val>
            <c:numRef>
              <c:f>'Bar | Inc - Health &amp; Occ'!$B$4:$B$34</c:f>
              <c:numCache>
                <c:formatCode>_([$$-409]* #,##0_);_([$$-409]* \(#,##0\);_([$$-409]* "-"??_);_(@_)</c:formatCode>
                <c:ptCount val="20"/>
                <c:pt idx="0">
                  <c:v>43382.6</c:v>
                </c:pt>
                <c:pt idx="1">
                  <c:v>57902.821428571428</c:v>
                </c:pt>
                <c:pt idx="2">
                  <c:v>35250.607843137252</c:v>
                </c:pt>
                <c:pt idx="3">
                  <c:v>48388.23333333333</c:v>
                </c:pt>
                <c:pt idx="4">
                  <c:v>35550.942857142858</c:v>
                </c:pt>
                <c:pt idx="5">
                  <c:v>42179.519999999997</c:v>
                </c:pt>
                <c:pt idx="6">
                  <c:v>39263.654545454548</c:v>
                </c:pt>
                <c:pt idx="7">
                  <c:v>55707.538461538461</c:v>
                </c:pt>
                <c:pt idx="8">
                  <c:v>53335.241379310348</c:v>
                </c:pt>
                <c:pt idx="9">
                  <c:v>82806.818181818177</c:v>
                </c:pt>
                <c:pt idx="10">
                  <c:v>47824.5</c:v>
                </c:pt>
                <c:pt idx="11">
                  <c:v>99552.290697674413</c:v>
                </c:pt>
                <c:pt idx="12">
                  <c:v>29476.57894736842</c:v>
                </c:pt>
                <c:pt idx="13">
                  <c:v>45510.888888888891</c:v>
                </c:pt>
                <c:pt idx="14">
                  <c:v>54742.65</c:v>
                </c:pt>
                <c:pt idx="15">
                  <c:v>91624.016393442624</c:v>
                </c:pt>
                <c:pt idx="16">
                  <c:v>32638.533333333333</c:v>
                </c:pt>
                <c:pt idx="17">
                  <c:v>36783.259259259263</c:v>
                </c:pt>
                <c:pt idx="18">
                  <c:v>59530.071428571428</c:v>
                </c:pt>
                <c:pt idx="19">
                  <c:v>72866.576923076922</c:v>
                </c:pt>
              </c:numCache>
            </c:numRef>
          </c:val>
          <c:extLst>
            <c:ext xmlns:c16="http://schemas.microsoft.com/office/drawing/2014/chart" uri="{C3380CC4-5D6E-409C-BE32-E72D297353CC}">
              <c16:uniqueId val="{00000000-A393-3E40-982A-1B93194BBB29}"/>
            </c:ext>
          </c:extLst>
        </c:ser>
        <c:dLbls>
          <c:showLegendKey val="0"/>
          <c:showVal val="0"/>
          <c:showCatName val="0"/>
          <c:showSerName val="0"/>
          <c:showPercent val="0"/>
          <c:showBubbleSize val="0"/>
        </c:dLbls>
        <c:gapWidth val="40"/>
        <c:overlap val="-71"/>
        <c:axId val="2074618767"/>
        <c:axId val="638203231"/>
      </c:barChart>
      <c:catAx>
        <c:axId val="207461876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US" b="1">
                    <a:solidFill>
                      <a:schemeClr val="accent1"/>
                    </a:solidFill>
                  </a:rPr>
                  <a:t>HEALTH COVER &amp; OCCUPATON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4380000" spcFirstLastPara="1" vertOverflow="ellipsis" wrap="square" anchor="ctr" anchorCtr="1"/>
          <a:lstStyle/>
          <a:p>
            <a:pPr>
              <a:defRPr sz="900" b="0"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crossAx val="638203231"/>
        <c:crosses val="autoZero"/>
        <c:auto val="1"/>
        <c:lblAlgn val="ctr"/>
        <c:lblOffset val="100"/>
        <c:noMultiLvlLbl val="0"/>
      </c:catAx>
      <c:valAx>
        <c:axId val="638203231"/>
        <c:scaling>
          <c:orientation val="minMax"/>
          <c:max val="120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US" b="1">
                    <a:solidFill>
                      <a:schemeClr val="accent1"/>
                    </a:solidFill>
                  </a:rPr>
                  <a:t>AVERAGE INCOME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title>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VN"/>
          </a:p>
        </c:txPr>
        <c:crossAx val="2074618767"/>
        <c:crosses val="autoZero"/>
        <c:crossBetween val="between"/>
        <c:majorUnit val="2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r>
              <a:rPr lang="en-US" sz="1600" b="1">
                <a:solidFill>
                  <a:schemeClr val="accent1">
                    <a:lumMod val="60000"/>
                    <a:lumOff val="40000"/>
                  </a:schemeClr>
                </a:solidFill>
              </a:rPr>
              <a:t>CORRELATION OF TOTAL INCOME AND AGE</a:t>
            </a:r>
          </a:p>
        </c:rich>
      </c:tx>
      <c:layout>
        <c:manualLayout>
          <c:xMode val="edge"/>
          <c:yMode val="edge"/>
          <c:x val="0.12451223971838422"/>
          <c:y val="4.779456830053482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60000"/>
                  <a:lumOff val="40000"/>
                </a:schemeClr>
              </a:solidFill>
              <a:latin typeface="Times New Roman" panose="02020603050405020304" pitchFamily="18" charset="0"/>
              <a:ea typeface="+mn-ea"/>
              <a:cs typeface="Times New Roman" panose="02020603050405020304" pitchFamily="18" charset="0"/>
            </a:defRPr>
          </a:pPr>
          <a:endParaRPr lang="en-VN"/>
        </a:p>
      </c:txPr>
    </c:title>
    <c:autoTitleDeleted val="0"/>
    <c:plotArea>
      <c:layout>
        <c:manualLayout>
          <c:layoutTarget val="inner"/>
          <c:xMode val="edge"/>
          <c:yMode val="edge"/>
          <c:x val="0.13701455956391767"/>
          <c:y val="0.21177617303676691"/>
          <c:w val="0.8337152975402764"/>
          <c:h val="0.65272891393967025"/>
        </c:manualLayout>
      </c:layout>
      <c:scatterChart>
        <c:scatterStyle val="lineMarker"/>
        <c:varyColors val="0"/>
        <c:ser>
          <c:idx val="0"/>
          <c:order val="0"/>
          <c:tx>
            <c:strRef>
              <c:f>'TASK 6'!$B$1</c:f>
              <c:strCache>
                <c:ptCount val="1"/>
                <c:pt idx="0">
                  <c:v>Tot_inc_amt</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22225" cap="rnd" cmpd="sng">
                <a:solidFill>
                  <a:schemeClr val="accent4"/>
                </a:solidFill>
                <a:prstDash val="solid"/>
              </a:ln>
              <a:effectLst/>
            </c:spPr>
            <c:trendlineType val="linear"/>
            <c:dispRSqr val="1"/>
            <c:dispEq val="1"/>
            <c:trendlineLbl>
              <c:layout>
                <c:manualLayout>
                  <c:x val="-0.47532877795476469"/>
                  <c:y val="-0.15582507725623695"/>
                </c:manualLayout>
              </c:layout>
              <c:numFmt formatCode="General" sourceLinked="0"/>
              <c:spPr>
                <a:noFill/>
                <a:ln>
                  <a:noFill/>
                </a:ln>
                <a:effectLst/>
              </c:spPr>
              <c:txPr>
                <a:bodyPr rot="0" spcFirstLastPara="1" vertOverflow="ellipsis" vert="horz" wrap="square" anchor="ctr" anchorCtr="1"/>
                <a:lstStyle/>
                <a:p>
                  <a:pPr>
                    <a:defRPr sz="11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VN"/>
                </a:p>
              </c:txPr>
            </c:trendlineLbl>
          </c:trendline>
          <c:xVal>
            <c:numRef>
              <c:f>'TASK 6'!$A$2:$A$1001</c:f>
              <c:numCache>
                <c:formatCode>General</c:formatCode>
                <c:ptCount val="1000"/>
                <c:pt idx="0">
                  <c:v>47</c:v>
                </c:pt>
                <c:pt idx="1">
                  <c:v>22</c:v>
                </c:pt>
                <c:pt idx="2">
                  <c:v>72</c:v>
                </c:pt>
                <c:pt idx="3">
                  <c:v>32</c:v>
                </c:pt>
                <c:pt idx="4">
                  <c:v>27</c:v>
                </c:pt>
                <c:pt idx="5">
                  <c:v>32</c:v>
                </c:pt>
                <c:pt idx="6">
                  <c:v>37</c:v>
                </c:pt>
                <c:pt idx="7">
                  <c:v>22</c:v>
                </c:pt>
                <c:pt idx="8">
                  <c:v>32</c:v>
                </c:pt>
                <c:pt idx="9">
                  <c:v>37</c:v>
                </c:pt>
                <c:pt idx="10">
                  <c:v>22</c:v>
                </c:pt>
                <c:pt idx="11">
                  <c:v>17</c:v>
                </c:pt>
                <c:pt idx="12">
                  <c:v>32</c:v>
                </c:pt>
                <c:pt idx="13">
                  <c:v>22</c:v>
                </c:pt>
                <c:pt idx="14">
                  <c:v>37</c:v>
                </c:pt>
                <c:pt idx="15">
                  <c:v>52</c:v>
                </c:pt>
                <c:pt idx="16">
                  <c:v>27</c:v>
                </c:pt>
                <c:pt idx="17">
                  <c:v>27</c:v>
                </c:pt>
                <c:pt idx="18">
                  <c:v>42</c:v>
                </c:pt>
                <c:pt idx="19">
                  <c:v>57</c:v>
                </c:pt>
                <c:pt idx="20">
                  <c:v>62</c:v>
                </c:pt>
                <c:pt idx="21">
                  <c:v>22</c:v>
                </c:pt>
                <c:pt idx="22">
                  <c:v>47</c:v>
                </c:pt>
                <c:pt idx="23">
                  <c:v>67</c:v>
                </c:pt>
                <c:pt idx="24">
                  <c:v>27</c:v>
                </c:pt>
                <c:pt idx="25">
                  <c:v>32</c:v>
                </c:pt>
                <c:pt idx="26">
                  <c:v>67</c:v>
                </c:pt>
                <c:pt idx="27">
                  <c:v>27</c:v>
                </c:pt>
                <c:pt idx="28">
                  <c:v>42</c:v>
                </c:pt>
                <c:pt idx="29">
                  <c:v>67</c:v>
                </c:pt>
                <c:pt idx="30">
                  <c:v>52</c:v>
                </c:pt>
                <c:pt idx="31">
                  <c:v>17</c:v>
                </c:pt>
                <c:pt idx="32">
                  <c:v>22</c:v>
                </c:pt>
                <c:pt idx="33">
                  <c:v>27</c:v>
                </c:pt>
                <c:pt idx="34">
                  <c:v>17</c:v>
                </c:pt>
                <c:pt idx="35">
                  <c:v>47</c:v>
                </c:pt>
                <c:pt idx="36">
                  <c:v>27</c:v>
                </c:pt>
                <c:pt idx="37">
                  <c:v>57</c:v>
                </c:pt>
                <c:pt idx="38">
                  <c:v>22</c:v>
                </c:pt>
                <c:pt idx="39">
                  <c:v>37</c:v>
                </c:pt>
                <c:pt idx="40">
                  <c:v>57</c:v>
                </c:pt>
                <c:pt idx="41">
                  <c:v>42</c:v>
                </c:pt>
                <c:pt idx="42">
                  <c:v>52</c:v>
                </c:pt>
                <c:pt idx="43">
                  <c:v>52</c:v>
                </c:pt>
                <c:pt idx="44">
                  <c:v>37</c:v>
                </c:pt>
                <c:pt idx="45">
                  <c:v>57</c:v>
                </c:pt>
                <c:pt idx="46">
                  <c:v>42</c:v>
                </c:pt>
                <c:pt idx="47">
                  <c:v>72</c:v>
                </c:pt>
                <c:pt idx="48">
                  <c:v>22</c:v>
                </c:pt>
                <c:pt idx="49">
                  <c:v>62</c:v>
                </c:pt>
                <c:pt idx="50">
                  <c:v>27</c:v>
                </c:pt>
                <c:pt idx="51">
                  <c:v>27</c:v>
                </c:pt>
                <c:pt idx="52">
                  <c:v>47</c:v>
                </c:pt>
                <c:pt idx="53">
                  <c:v>37</c:v>
                </c:pt>
                <c:pt idx="54">
                  <c:v>32</c:v>
                </c:pt>
                <c:pt idx="55">
                  <c:v>42</c:v>
                </c:pt>
                <c:pt idx="56">
                  <c:v>47</c:v>
                </c:pt>
                <c:pt idx="57">
                  <c:v>27</c:v>
                </c:pt>
                <c:pt idx="58">
                  <c:v>52</c:v>
                </c:pt>
                <c:pt idx="59">
                  <c:v>37</c:v>
                </c:pt>
                <c:pt idx="60">
                  <c:v>37</c:v>
                </c:pt>
                <c:pt idx="61">
                  <c:v>52</c:v>
                </c:pt>
                <c:pt idx="62">
                  <c:v>42</c:v>
                </c:pt>
                <c:pt idx="63">
                  <c:v>22</c:v>
                </c:pt>
                <c:pt idx="64">
                  <c:v>32</c:v>
                </c:pt>
                <c:pt idx="65">
                  <c:v>22</c:v>
                </c:pt>
                <c:pt idx="66">
                  <c:v>42</c:v>
                </c:pt>
                <c:pt idx="67">
                  <c:v>42</c:v>
                </c:pt>
                <c:pt idx="68">
                  <c:v>57</c:v>
                </c:pt>
                <c:pt idx="69">
                  <c:v>37</c:v>
                </c:pt>
                <c:pt idx="70">
                  <c:v>22</c:v>
                </c:pt>
                <c:pt idx="71">
                  <c:v>57</c:v>
                </c:pt>
                <c:pt idx="72">
                  <c:v>27</c:v>
                </c:pt>
                <c:pt idx="73">
                  <c:v>52</c:v>
                </c:pt>
                <c:pt idx="74">
                  <c:v>42</c:v>
                </c:pt>
                <c:pt idx="75">
                  <c:v>72</c:v>
                </c:pt>
                <c:pt idx="76">
                  <c:v>57</c:v>
                </c:pt>
                <c:pt idx="77">
                  <c:v>22</c:v>
                </c:pt>
                <c:pt idx="78">
                  <c:v>72</c:v>
                </c:pt>
                <c:pt idx="79">
                  <c:v>27</c:v>
                </c:pt>
                <c:pt idx="80">
                  <c:v>57</c:v>
                </c:pt>
                <c:pt idx="81">
                  <c:v>37</c:v>
                </c:pt>
                <c:pt idx="82">
                  <c:v>57</c:v>
                </c:pt>
                <c:pt idx="83">
                  <c:v>72</c:v>
                </c:pt>
                <c:pt idx="84">
                  <c:v>22</c:v>
                </c:pt>
                <c:pt idx="85">
                  <c:v>32</c:v>
                </c:pt>
                <c:pt idx="86">
                  <c:v>52</c:v>
                </c:pt>
                <c:pt idx="87">
                  <c:v>17</c:v>
                </c:pt>
                <c:pt idx="88">
                  <c:v>67</c:v>
                </c:pt>
                <c:pt idx="89">
                  <c:v>47</c:v>
                </c:pt>
                <c:pt idx="90">
                  <c:v>57</c:v>
                </c:pt>
                <c:pt idx="91">
                  <c:v>57</c:v>
                </c:pt>
                <c:pt idx="92">
                  <c:v>37</c:v>
                </c:pt>
                <c:pt idx="93">
                  <c:v>52</c:v>
                </c:pt>
                <c:pt idx="94">
                  <c:v>52</c:v>
                </c:pt>
                <c:pt idx="95">
                  <c:v>47</c:v>
                </c:pt>
                <c:pt idx="96">
                  <c:v>17</c:v>
                </c:pt>
                <c:pt idx="97">
                  <c:v>47</c:v>
                </c:pt>
                <c:pt idx="98">
                  <c:v>47</c:v>
                </c:pt>
                <c:pt idx="99">
                  <c:v>67</c:v>
                </c:pt>
                <c:pt idx="100">
                  <c:v>57</c:v>
                </c:pt>
                <c:pt idx="101">
                  <c:v>52</c:v>
                </c:pt>
                <c:pt idx="102">
                  <c:v>27</c:v>
                </c:pt>
                <c:pt idx="103">
                  <c:v>57</c:v>
                </c:pt>
                <c:pt idx="104">
                  <c:v>27</c:v>
                </c:pt>
                <c:pt idx="105">
                  <c:v>32</c:v>
                </c:pt>
                <c:pt idx="106">
                  <c:v>32</c:v>
                </c:pt>
                <c:pt idx="107">
                  <c:v>47</c:v>
                </c:pt>
                <c:pt idx="108">
                  <c:v>52</c:v>
                </c:pt>
                <c:pt idx="109">
                  <c:v>32</c:v>
                </c:pt>
                <c:pt idx="110">
                  <c:v>22</c:v>
                </c:pt>
                <c:pt idx="111">
                  <c:v>72</c:v>
                </c:pt>
                <c:pt idx="112">
                  <c:v>22</c:v>
                </c:pt>
                <c:pt idx="113">
                  <c:v>47</c:v>
                </c:pt>
                <c:pt idx="114">
                  <c:v>22</c:v>
                </c:pt>
                <c:pt idx="115">
                  <c:v>72</c:v>
                </c:pt>
                <c:pt idx="116">
                  <c:v>27</c:v>
                </c:pt>
                <c:pt idx="117">
                  <c:v>32</c:v>
                </c:pt>
                <c:pt idx="118">
                  <c:v>62</c:v>
                </c:pt>
                <c:pt idx="119">
                  <c:v>37</c:v>
                </c:pt>
                <c:pt idx="120">
                  <c:v>17</c:v>
                </c:pt>
                <c:pt idx="121">
                  <c:v>62</c:v>
                </c:pt>
                <c:pt idx="122">
                  <c:v>37</c:v>
                </c:pt>
                <c:pt idx="123">
                  <c:v>57</c:v>
                </c:pt>
                <c:pt idx="124">
                  <c:v>22</c:v>
                </c:pt>
                <c:pt idx="125">
                  <c:v>52</c:v>
                </c:pt>
                <c:pt idx="126">
                  <c:v>37</c:v>
                </c:pt>
                <c:pt idx="127">
                  <c:v>37</c:v>
                </c:pt>
                <c:pt idx="128">
                  <c:v>22</c:v>
                </c:pt>
                <c:pt idx="129">
                  <c:v>37</c:v>
                </c:pt>
                <c:pt idx="130">
                  <c:v>57</c:v>
                </c:pt>
                <c:pt idx="131">
                  <c:v>42</c:v>
                </c:pt>
                <c:pt idx="132">
                  <c:v>22</c:v>
                </c:pt>
                <c:pt idx="133">
                  <c:v>32</c:v>
                </c:pt>
                <c:pt idx="134">
                  <c:v>57</c:v>
                </c:pt>
                <c:pt idx="135">
                  <c:v>22</c:v>
                </c:pt>
                <c:pt idx="136">
                  <c:v>47</c:v>
                </c:pt>
                <c:pt idx="137">
                  <c:v>47</c:v>
                </c:pt>
                <c:pt idx="138">
                  <c:v>52</c:v>
                </c:pt>
                <c:pt idx="139">
                  <c:v>22</c:v>
                </c:pt>
                <c:pt idx="140">
                  <c:v>42</c:v>
                </c:pt>
                <c:pt idx="141">
                  <c:v>52</c:v>
                </c:pt>
                <c:pt idx="142">
                  <c:v>52</c:v>
                </c:pt>
                <c:pt idx="143">
                  <c:v>62</c:v>
                </c:pt>
                <c:pt idx="144">
                  <c:v>32</c:v>
                </c:pt>
                <c:pt idx="145">
                  <c:v>52</c:v>
                </c:pt>
                <c:pt idx="146">
                  <c:v>72</c:v>
                </c:pt>
                <c:pt idx="147">
                  <c:v>27</c:v>
                </c:pt>
                <c:pt idx="148">
                  <c:v>32</c:v>
                </c:pt>
                <c:pt idx="149">
                  <c:v>32</c:v>
                </c:pt>
                <c:pt idx="150">
                  <c:v>32</c:v>
                </c:pt>
                <c:pt idx="151">
                  <c:v>22</c:v>
                </c:pt>
                <c:pt idx="152">
                  <c:v>27</c:v>
                </c:pt>
                <c:pt idx="153">
                  <c:v>52</c:v>
                </c:pt>
                <c:pt idx="154">
                  <c:v>72</c:v>
                </c:pt>
                <c:pt idx="155">
                  <c:v>37</c:v>
                </c:pt>
                <c:pt idx="156">
                  <c:v>37</c:v>
                </c:pt>
                <c:pt idx="157">
                  <c:v>47</c:v>
                </c:pt>
                <c:pt idx="158">
                  <c:v>27</c:v>
                </c:pt>
                <c:pt idx="159">
                  <c:v>32</c:v>
                </c:pt>
                <c:pt idx="160">
                  <c:v>47</c:v>
                </c:pt>
                <c:pt idx="161">
                  <c:v>32</c:v>
                </c:pt>
                <c:pt idx="162">
                  <c:v>47</c:v>
                </c:pt>
                <c:pt idx="163">
                  <c:v>42</c:v>
                </c:pt>
                <c:pt idx="164">
                  <c:v>52</c:v>
                </c:pt>
                <c:pt idx="165">
                  <c:v>22</c:v>
                </c:pt>
                <c:pt idx="166">
                  <c:v>52</c:v>
                </c:pt>
                <c:pt idx="167">
                  <c:v>47</c:v>
                </c:pt>
                <c:pt idx="168">
                  <c:v>42</c:v>
                </c:pt>
                <c:pt idx="169">
                  <c:v>52</c:v>
                </c:pt>
                <c:pt idx="170">
                  <c:v>52</c:v>
                </c:pt>
                <c:pt idx="171">
                  <c:v>67</c:v>
                </c:pt>
                <c:pt idx="172">
                  <c:v>72</c:v>
                </c:pt>
                <c:pt idx="173">
                  <c:v>47</c:v>
                </c:pt>
                <c:pt idx="174">
                  <c:v>62</c:v>
                </c:pt>
                <c:pt idx="175">
                  <c:v>62</c:v>
                </c:pt>
                <c:pt idx="176">
                  <c:v>52</c:v>
                </c:pt>
                <c:pt idx="177">
                  <c:v>42</c:v>
                </c:pt>
                <c:pt idx="178">
                  <c:v>42</c:v>
                </c:pt>
                <c:pt idx="179">
                  <c:v>42</c:v>
                </c:pt>
                <c:pt idx="180">
                  <c:v>72</c:v>
                </c:pt>
                <c:pt idx="181">
                  <c:v>67</c:v>
                </c:pt>
                <c:pt idx="182">
                  <c:v>32</c:v>
                </c:pt>
                <c:pt idx="183">
                  <c:v>42</c:v>
                </c:pt>
                <c:pt idx="184">
                  <c:v>27</c:v>
                </c:pt>
                <c:pt idx="185">
                  <c:v>27</c:v>
                </c:pt>
                <c:pt idx="186">
                  <c:v>42</c:v>
                </c:pt>
                <c:pt idx="187">
                  <c:v>52</c:v>
                </c:pt>
                <c:pt idx="188">
                  <c:v>52</c:v>
                </c:pt>
                <c:pt idx="189">
                  <c:v>47</c:v>
                </c:pt>
                <c:pt idx="190">
                  <c:v>32</c:v>
                </c:pt>
                <c:pt idx="191">
                  <c:v>52</c:v>
                </c:pt>
                <c:pt idx="192">
                  <c:v>37</c:v>
                </c:pt>
                <c:pt idx="193">
                  <c:v>47</c:v>
                </c:pt>
                <c:pt idx="194">
                  <c:v>52</c:v>
                </c:pt>
                <c:pt idx="195">
                  <c:v>37</c:v>
                </c:pt>
                <c:pt idx="196">
                  <c:v>67</c:v>
                </c:pt>
                <c:pt idx="197">
                  <c:v>62</c:v>
                </c:pt>
                <c:pt idx="198">
                  <c:v>72</c:v>
                </c:pt>
                <c:pt idx="199">
                  <c:v>27</c:v>
                </c:pt>
                <c:pt idx="200">
                  <c:v>42</c:v>
                </c:pt>
                <c:pt idx="201">
                  <c:v>17</c:v>
                </c:pt>
                <c:pt idx="202">
                  <c:v>32</c:v>
                </c:pt>
                <c:pt idx="203">
                  <c:v>32</c:v>
                </c:pt>
                <c:pt idx="204">
                  <c:v>37</c:v>
                </c:pt>
                <c:pt idx="205">
                  <c:v>52</c:v>
                </c:pt>
                <c:pt idx="206">
                  <c:v>37</c:v>
                </c:pt>
                <c:pt idx="207">
                  <c:v>52</c:v>
                </c:pt>
                <c:pt idx="208">
                  <c:v>32</c:v>
                </c:pt>
                <c:pt idx="209">
                  <c:v>37</c:v>
                </c:pt>
                <c:pt idx="210">
                  <c:v>72</c:v>
                </c:pt>
                <c:pt idx="211">
                  <c:v>22</c:v>
                </c:pt>
                <c:pt idx="212">
                  <c:v>72</c:v>
                </c:pt>
                <c:pt idx="213">
                  <c:v>32</c:v>
                </c:pt>
                <c:pt idx="214">
                  <c:v>37</c:v>
                </c:pt>
                <c:pt idx="215">
                  <c:v>37</c:v>
                </c:pt>
                <c:pt idx="216">
                  <c:v>32</c:v>
                </c:pt>
                <c:pt idx="217">
                  <c:v>47</c:v>
                </c:pt>
                <c:pt idx="218">
                  <c:v>27</c:v>
                </c:pt>
                <c:pt idx="219">
                  <c:v>52</c:v>
                </c:pt>
                <c:pt idx="220">
                  <c:v>62</c:v>
                </c:pt>
                <c:pt idx="221">
                  <c:v>62</c:v>
                </c:pt>
                <c:pt idx="222">
                  <c:v>32</c:v>
                </c:pt>
                <c:pt idx="223">
                  <c:v>37</c:v>
                </c:pt>
                <c:pt idx="224">
                  <c:v>57</c:v>
                </c:pt>
                <c:pt idx="225">
                  <c:v>22</c:v>
                </c:pt>
                <c:pt idx="226">
                  <c:v>57</c:v>
                </c:pt>
                <c:pt idx="227">
                  <c:v>62</c:v>
                </c:pt>
                <c:pt idx="228">
                  <c:v>22</c:v>
                </c:pt>
                <c:pt idx="229">
                  <c:v>42</c:v>
                </c:pt>
                <c:pt idx="230">
                  <c:v>22</c:v>
                </c:pt>
                <c:pt idx="231">
                  <c:v>22</c:v>
                </c:pt>
                <c:pt idx="232">
                  <c:v>67</c:v>
                </c:pt>
                <c:pt idx="233">
                  <c:v>62</c:v>
                </c:pt>
                <c:pt idx="234">
                  <c:v>32</c:v>
                </c:pt>
                <c:pt idx="235">
                  <c:v>52</c:v>
                </c:pt>
                <c:pt idx="236">
                  <c:v>52</c:v>
                </c:pt>
                <c:pt idx="237">
                  <c:v>22</c:v>
                </c:pt>
                <c:pt idx="238">
                  <c:v>42</c:v>
                </c:pt>
                <c:pt idx="239">
                  <c:v>37</c:v>
                </c:pt>
                <c:pt idx="240">
                  <c:v>72</c:v>
                </c:pt>
                <c:pt idx="241">
                  <c:v>32</c:v>
                </c:pt>
                <c:pt idx="242">
                  <c:v>62</c:v>
                </c:pt>
                <c:pt idx="243">
                  <c:v>52</c:v>
                </c:pt>
                <c:pt idx="244">
                  <c:v>22</c:v>
                </c:pt>
                <c:pt idx="245">
                  <c:v>57</c:v>
                </c:pt>
                <c:pt idx="246">
                  <c:v>52</c:v>
                </c:pt>
                <c:pt idx="247">
                  <c:v>72</c:v>
                </c:pt>
                <c:pt idx="248">
                  <c:v>32</c:v>
                </c:pt>
                <c:pt idx="249">
                  <c:v>32</c:v>
                </c:pt>
                <c:pt idx="250">
                  <c:v>27</c:v>
                </c:pt>
                <c:pt idx="251">
                  <c:v>57</c:v>
                </c:pt>
                <c:pt idx="252">
                  <c:v>22</c:v>
                </c:pt>
                <c:pt idx="253">
                  <c:v>27</c:v>
                </c:pt>
                <c:pt idx="254">
                  <c:v>47</c:v>
                </c:pt>
                <c:pt idx="255">
                  <c:v>27</c:v>
                </c:pt>
                <c:pt idx="256">
                  <c:v>52</c:v>
                </c:pt>
                <c:pt idx="257">
                  <c:v>57</c:v>
                </c:pt>
                <c:pt idx="258">
                  <c:v>27</c:v>
                </c:pt>
                <c:pt idx="259">
                  <c:v>72</c:v>
                </c:pt>
                <c:pt idx="260">
                  <c:v>42</c:v>
                </c:pt>
                <c:pt idx="261">
                  <c:v>37</c:v>
                </c:pt>
                <c:pt idx="262">
                  <c:v>17</c:v>
                </c:pt>
                <c:pt idx="263">
                  <c:v>37</c:v>
                </c:pt>
                <c:pt idx="264">
                  <c:v>37</c:v>
                </c:pt>
                <c:pt idx="265">
                  <c:v>52</c:v>
                </c:pt>
                <c:pt idx="266">
                  <c:v>32</c:v>
                </c:pt>
                <c:pt idx="267">
                  <c:v>72</c:v>
                </c:pt>
                <c:pt idx="268">
                  <c:v>72</c:v>
                </c:pt>
                <c:pt idx="269">
                  <c:v>17</c:v>
                </c:pt>
                <c:pt idx="270">
                  <c:v>67</c:v>
                </c:pt>
                <c:pt idx="271">
                  <c:v>47</c:v>
                </c:pt>
                <c:pt idx="272">
                  <c:v>42</c:v>
                </c:pt>
                <c:pt idx="273">
                  <c:v>47</c:v>
                </c:pt>
                <c:pt idx="274">
                  <c:v>37</c:v>
                </c:pt>
                <c:pt idx="275">
                  <c:v>57</c:v>
                </c:pt>
                <c:pt idx="276">
                  <c:v>52</c:v>
                </c:pt>
                <c:pt idx="277">
                  <c:v>22</c:v>
                </c:pt>
                <c:pt idx="278">
                  <c:v>27</c:v>
                </c:pt>
                <c:pt idx="279">
                  <c:v>72</c:v>
                </c:pt>
                <c:pt idx="280">
                  <c:v>32</c:v>
                </c:pt>
                <c:pt idx="281">
                  <c:v>52</c:v>
                </c:pt>
                <c:pt idx="282">
                  <c:v>32</c:v>
                </c:pt>
                <c:pt idx="283">
                  <c:v>62</c:v>
                </c:pt>
                <c:pt idx="284">
                  <c:v>27</c:v>
                </c:pt>
                <c:pt idx="285">
                  <c:v>62</c:v>
                </c:pt>
                <c:pt idx="286">
                  <c:v>47</c:v>
                </c:pt>
                <c:pt idx="287">
                  <c:v>22</c:v>
                </c:pt>
                <c:pt idx="288">
                  <c:v>47</c:v>
                </c:pt>
                <c:pt idx="289">
                  <c:v>22</c:v>
                </c:pt>
                <c:pt idx="290">
                  <c:v>47</c:v>
                </c:pt>
                <c:pt idx="291">
                  <c:v>27</c:v>
                </c:pt>
                <c:pt idx="292">
                  <c:v>67</c:v>
                </c:pt>
                <c:pt idx="293">
                  <c:v>27</c:v>
                </c:pt>
                <c:pt idx="294">
                  <c:v>72</c:v>
                </c:pt>
                <c:pt idx="295">
                  <c:v>27</c:v>
                </c:pt>
                <c:pt idx="296">
                  <c:v>62</c:v>
                </c:pt>
                <c:pt idx="297">
                  <c:v>52</c:v>
                </c:pt>
                <c:pt idx="298">
                  <c:v>32</c:v>
                </c:pt>
                <c:pt idx="299">
                  <c:v>47</c:v>
                </c:pt>
                <c:pt idx="300">
                  <c:v>47</c:v>
                </c:pt>
                <c:pt idx="301">
                  <c:v>47</c:v>
                </c:pt>
                <c:pt idx="302">
                  <c:v>62</c:v>
                </c:pt>
                <c:pt idx="303">
                  <c:v>57</c:v>
                </c:pt>
                <c:pt idx="304">
                  <c:v>52</c:v>
                </c:pt>
                <c:pt idx="305">
                  <c:v>57</c:v>
                </c:pt>
                <c:pt idx="306">
                  <c:v>42</c:v>
                </c:pt>
                <c:pt idx="307">
                  <c:v>22</c:v>
                </c:pt>
                <c:pt idx="308">
                  <c:v>27</c:v>
                </c:pt>
                <c:pt idx="309">
                  <c:v>57</c:v>
                </c:pt>
                <c:pt idx="310">
                  <c:v>52</c:v>
                </c:pt>
                <c:pt idx="311">
                  <c:v>47</c:v>
                </c:pt>
                <c:pt idx="312">
                  <c:v>42</c:v>
                </c:pt>
                <c:pt idx="313">
                  <c:v>47</c:v>
                </c:pt>
                <c:pt idx="314">
                  <c:v>52</c:v>
                </c:pt>
                <c:pt idx="315">
                  <c:v>72</c:v>
                </c:pt>
                <c:pt idx="316">
                  <c:v>57</c:v>
                </c:pt>
                <c:pt idx="317">
                  <c:v>52</c:v>
                </c:pt>
                <c:pt idx="318">
                  <c:v>47</c:v>
                </c:pt>
                <c:pt idx="319">
                  <c:v>32</c:v>
                </c:pt>
                <c:pt idx="320">
                  <c:v>52</c:v>
                </c:pt>
                <c:pt idx="321">
                  <c:v>22</c:v>
                </c:pt>
                <c:pt idx="322">
                  <c:v>42</c:v>
                </c:pt>
                <c:pt idx="323">
                  <c:v>42</c:v>
                </c:pt>
                <c:pt idx="324">
                  <c:v>27</c:v>
                </c:pt>
                <c:pt idx="325">
                  <c:v>62</c:v>
                </c:pt>
                <c:pt idx="326">
                  <c:v>27</c:v>
                </c:pt>
                <c:pt idx="327">
                  <c:v>62</c:v>
                </c:pt>
                <c:pt idx="328">
                  <c:v>72</c:v>
                </c:pt>
                <c:pt idx="329">
                  <c:v>37</c:v>
                </c:pt>
                <c:pt idx="330">
                  <c:v>57</c:v>
                </c:pt>
                <c:pt idx="331">
                  <c:v>47</c:v>
                </c:pt>
                <c:pt idx="332">
                  <c:v>57</c:v>
                </c:pt>
                <c:pt idx="333">
                  <c:v>47</c:v>
                </c:pt>
                <c:pt idx="334">
                  <c:v>42</c:v>
                </c:pt>
                <c:pt idx="335">
                  <c:v>72</c:v>
                </c:pt>
                <c:pt idx="336">
                  <c:v>27</c:v>
                </c:pt>
                <c:pt idx="337">
                  <c:v>52</c:v>
                </c:pt>
                <c:pt idx="338">
                  <c:v>37</c:v>
                </c:pt>
                <c:pt idx="339">
                  <c:v>47</c:v>
                </c:pt>
                <c:pt idx="340">
                  <c:v>57</c:v>
                </c:pt>
                <c:pt idx="341">
                  <c:v>52</c:v>
                </c:pt>
                <c:pt idx="342">
                  <c:v>72</c:v>
                </c:pt>
                <c:pt idx="343">
                  <c:v>42</c:v>
                </c:pt>
                <c:pt idx="344">
                  <c:v>52</c:v>
                </c:pt>
                <c:pt idx="345">
                  <c:v>52</c:v>
                </c:pt>
                <c:pt idx="346">
                  <c:v>47</c:v>
                </c:pt>
                <c:pt idx="347">
                  <c:v>52</c:v>
                </c:pt>
                <c:pt idx="348">
                  <c:v>72</c:v>
                </c:pt>
                <c:pt idx="349">
                  <c:v>72</c:v>
                </c:pt>
                <c:pt idx="350">
                  <c:v>52</c:v>
                </c:pt>
                <c:pt idx="351">
                  <c:v>37</c:v>
                </c:pt>
                <c:pt idx="352">
                  <c:v>27</c:v>
                </c:pt>
                <c:pt idx="353">
                  <c:v>72</c:v>
                </c:pt>
                <c:pt idx="354">
                  <c:v>47</c:v>
                </c:pt>
                <c:pt idx="355">
                  <c:v>67</c:v>
                </c:pt>
                <c:pt idx="356">
                  <c:v>52</c:v>
                </c:pt>
                <c:pt idx="357">
                  <c:v>57</c:v>
                </c:pt>
                <c:pt idx="358">
                  <c:v>42</c:v>
                </c:pt>
                <c:pt idx="359">
                  <c:v>42</c:v>
                </c:pt>
                <c:pt idx="360">
                  <c:v>57</c:v>
                </c:pt>
                <c:pt idx="361">
                  <c:v>37</c:v>
                </c:pt>
                <c:pt idx="362">
                  <c:v>47</c:v>
                </c:pt>
                <c:pt idx="363">
                  <c:v>22</c:v>
                </c:pt>
                <c:pt idx="364">
                  <c:v>27</c:v>
                </c:pt>
                <c:pt idx="365">
                  <c:v>47</c:v>
                </c:pt>
                <c:pt idx="366">
                  <c:v>62</c:v>
                </c:pt>
                <c:pt idx="367">
                  <c:v>57</c:v>
                </c:pt>
                <c:pt idx="368">
                  <c:v>47</c:v>
                </c:pt>
                <c:pt idx="369">
                  <c:v>37</c:v>
                </c:pt>
                <c:pt idx="370">
                  <c:v>52</c:v>
                </c:pt>
                <c:pt idx="371">
                  <c:v>52</c:v>
                </c:pt>
                <c:pt idx="372">
                  <c:v>37</c:v>
                </c:pt>
                <c:pt idx="373">
                  <c:v>42</c:v>
                </c:pt>
                <c:pt idx="374">
                  <c:v>32</c:v>
                </c:pt>
                <c:pt idx="375">
                  <c:v>52</c:v>
                </c:pt>
                <c:pt idx="376">
                  <c:v>62</c:v>
                </c:pt>
                <c:pt idx="377">
                  <c:v>62</c:v>
                </c:pt>
                <c:pt idx="378">
                  <c:v>37</c:v>
                </c:pt>
                <c:pt idx="379">
                  <c:v>52</c:v>
                </c:pt>
                <c:pt idx="380">
                  <c:v>62</c:v>
                </c:pt>
                <c:pt idx="381">
                  <c:v>42</c:v>
                </c:pt>
                <c:pt idx="382">
                  <c:v>57</c:v>
                </c:pt>
                <c:pt idx="383">
                  <c:v>22</c:v>
                </c:pt>
                <c:pt idx="384">
                  <c:v>17</c:v>
                </c:pt>
                <c:pt idx="385">
                  <c:v>62</c:v>
                </c:pt>
                <c:pt idx="386">
                  <c:v>67</c:v>
                </c:pt>
                <c:pt idx="387">
                  <c:v>57</c:v>
                </c:pt>
                <c:pt idx="388">
                  <c:v>32</c:v>
                </c:pt>
                <c:pt idx="389">
                  <c:v>47</c:v>
                </c:pt>
                <c:pt idx="390">
                  <c:v>37</c:v>
                </c:pt>
                <c:pt idx="391">
                  <c:v>32</c:v>
                </c:pt>
                <c:pt idx="392">
                  <c:v>57</c:v>
                </c:pt>
                <c:pt idx="393">
                  <c:v>37</c:v>
                </c:pt>
                <c:pt idx="394">
                  <c:v>62</c:v>
                </c:pt>
                <c:pt idx="395">
                  <c:v>32</c:v>
                </c:pt>
                <c:pt idx="396">
                  <c:v>57</c:v>
                </c:pt>
                <c:pt idx="397">
                  <c:v>52</c:v>
                </c:pt>
                <c:pt idx="398">
                  <c:v>22</c:v>
                </c:pt>
                <c:pt idx="399">
                  <c:v>47</c:v>
                </c:pt>
                <c:pt idx="400">
                  <c:v>27</c:v>
                </c:pt>
                <c:pt idx="401">
                  <c:v>62</c:v>
                </c:pt>
                <c:pt idx="402">
                  <c:v>32</c:v>
                </c:pt>
                <c:pt idx="403">
                  <c:v>17</c:v>
                </c:pt>
                <c:pt idx="404">
                  <c:v>27</c:v>
                </c:pt>
                <c:pt idx="405">
                  <c:v>47</c:v>
                </c:pt>
                <c:pt idx="406">
                  <c:v>27</c:v>
                </c:pt>
                <c:pt idx="407">
                  <c:v>27</c:v>
                </c:pt>
                <c:pt idx="408">
                  <c:v>32</c:v>
                </c:pt>
                <c:pt idx="409">
                  <c:v>47</c:v>
                </c:pt>
                <c:pt idx="410">
                  <c:v>22</c:v>
                </c:pt>
                <c:pt idx="411">
                  <c:v>32</c:v>
                </c:pt>
                <c:pt idx="412">
                  <c:v>37</c:v>
                </c:pt>
                <c:pt idx="413">
                  <c:v>27</c:v>
                </c:pt>
                <c:pt idx="414">
                  <c:v>47</c:v>
                </c:pt>
                <c:pt idx="415">
                  <c:v>27</c:v>
                </c:pt>
                <c:pt idx="416">
                  <c:v>57</c:v>
                </c:pt>
                <c:pt idx="417">
                  <c:v>62</c:v>
                </c:pt>
                <c:pt idx="418">
                  <c:v>32</c:v>
                </c:pt>
                <c:pt idx="419">
                  <c:v>57</c:v>
                </c:pt>
                <c:pt idx="420">
                  <c:v>32</c:v>
                </c:pt>
                <c:pt idx="421">
                  <c:v>62</c:v>
                </c:pt>
                <c:pt idx="422">
                  <c:v>42</c:v>
                </c:pt>
                <c:pt idx="423">
                  <c:v>52</c:v>
                </c:pt>
                <c:pt idx="424">
                  <c:v>47</c:v>
                </c:pt>
                <c:pt idx="425">
                  <c:v>32</c:v>
                </c:pt>
                <c:pt idx="426">
                  <c:v>62</c:v>
                </c:pt>
                <c:pt idx="427">
                  <c:v>62</c:v>
                </c:pt>
                <c:pt idx="428">
                  <c:v>42</c:v>
                </c:pt>
                <c:pt idx="429">
                  <c:v>32</c:v>
                </c:pt>
                <c:pt idx="430">
                  <c:v>57</c:v>
                </c:pt>
                <c:pt idx="431">
                  <c:v>52</c:v>
                </c:pt>
                <c:pt idx="432">
                  <c:v>27</c:v>
                </c:pt>
                <c:pt idx="433">
                  <c:v>22</c:v>
                </c:pt>
                <c:pt idx="434">
                  <c:v>42</c:v>
                </c:pt>
                <c:pt idx="435">
                  <c:v>32</c:v>
                </c:pt>
                <c:pt idx="436">
                  <c:v>32</c:v>
                </c:pt>
                <c:pt idx="437">
                  <c:v>57</c:v>
                </c:pt>
                <c:pt idx="438">
                  <c:v>47</c:v>
                </c:pt>
                <c:pt idx="439">
                  <c:v>52</c:v>
                </c:pt>
                <c:pt idx="440">
                  <c:v>27</c:v>
                </c:pt>
                <c:pt idx="441">
                  <c:v>47</c:v>
                </c:pt>
                <c:pt idx="442">
                  <c:v>37</c:v>
                </c:pt>
                <c:pt idx="443">
                  <c:v>72</c:v>
                </c:pt>
                <c:pt idx="444">
                  <c:v>37</c:v>
                </c:pt>
                <c:pt idx="445">
                  <c:v>32</c:v>
                </c:pt>
                <c:pt idx="446">
                  <c:v>37</c:v>
                </c:pt>
                <c:pt idx="447">
                  <c:v>52</c:v>
                </c:pt>
                <c:pt idx="448">
                  <c:v>22</c:v>
                </c:pt>
                <c:pt idx="449">
                  <c:v>57</c:v>
                </c:pt>
                <c:pt idx="450">
                  <c:v>37</c:v>
                </c:pt>
                <c:pt idx="451">
                  <c:v>27</c:v>
                </c:pt>
                <c:pt idx="452">
                  <c:v>52</c:v>
                </c:pt>
                <c:pt idx="453">
                  <c:v>57</c:v>
                </c:pt>
                <c:pt idx="454">
                  <c:v>22</c:v>
                </c:pt>
                <c:pt idx="455">
                  <c:v>52</c:v>
                </c:pt>
                <c:pt idx="456">
                  <c:v>42</c:v>
                </c:pt>
                <c:pt idx="457">
                  <c:v>27</c:v>
                </c:pt>
                <c:pt idx="458">
                  <c:v>42</c:v>
                </c:pt>
                <c:pt idx="459">
                  <c:v>27</c:v>
                </c:pt>
                <c:pt idx="460">
                  <c:v>67</c:v>
                </c:pt>
                <c:pt idx="461">
                  <c:v>37</c:v>
                </c:pt>
                <c:pt idx="462">
                  <c:v>47</c:v>
                </c:pt>
                <c:pt idx="463">
                  <c:v>52</c:v>
                </c:pt>
                <c:pt idx="464">
                  <c:v>67</c:v>
                </c:pt>
                <c:pt idx="465">
                  <c:v>52</c:v>
                </c:pt>
                <c:pt idx="466">
                  <c:v>37</c:v>
                </c:pt>
                <c:pt idx="467">
                  <c:v>22</c:v>
                </c:pt>
                <c:pt idx="468">
                  <c:v>42</c:v>
                </c:pt>
                <c:pt idx="469">
                  <c:v>72</c:v>
                </c:pt>
                <c:pt idx="470">
                  <c:v>47</c:v>
                </c:pt>
                <c:pt idx="471">
                  <c:v>62</c:v>
                </c:pt>
                <c:pt idx="472">
                  <c:v>37</c:v>
                </c:pt>
                <c:pt idx="473">
                  <c:v>42</c:v>
                </c:pt>
                <c:pt idx="474">
                  <c:v>32</c:v>
                </c:pt>
                <c:pt idx="475">
                  <c:v>42</c:v>
                </c:pt>
                <c:pt idx="476">
                  <c:v>27</c:v>
                </c:pt>
                <c:pt idx="477">
                  <c:v>52</c:v>
                </c:pt>
                <c:pt idx="478">
                  <c:v>67</c:v>
                </c:pt>
                <c:pt idx="479">
                  <c:v>62</c:v>
                </c:pt>
                <c:pt idx="480">
                  <c:v>42</c:v>
                </c:pt>
                <c:pt idx="481">
                  <c:v>32</c:v>
                </c:pt>
                <c:pt idx="482">
                  <c:v>27</c:v>
                </c:pt>
                <c:pt idx="483">
                  <c:v>62</c:v>
                </c:pt>
                <c:pt idx="484">
                  <c:v>47</c:v>
                </c:pt>
                <c:pt idx="485">
                  <c:v>57</c:v>
                </c:pt>
                <c:pt idx="486">
                  <c:v>67</c:v>
                </c:pt>
                <c:pt idx="487">
                  <c:v>52</c:v>
                </c:pt>
                <c:pt idx="488">
                  <c:v>37</c:v>
                </c:pt>
                <c:pt idx="489">
                  <c:v>47</c:v>
                </c:pt>
                <c:pt idx="490">
                  <c:v>22</c:v>
                </c:pt>
                <c:pt idx="491">
                  <c:v>57</c:v>
                </c:pt>
                <c:pt idx="492">
                  <c:v>17</c:v>
                </c:pt>
                <c:pt idx="493">
                  <c:v>42</c:v>
                </c:pt>
                <c:pt idx="494">
                  <c:v>52</c:v>
                </c:pt>
                <c:pt idx="495">
                  <c:v>57</c:v>
                </c:pt>
                <c:pt idx="496">
                  <c:v>47</c:v>
                </c:pt>
                <c:pt idx="497">
                  <c:v>57</c:v>
                </c:pt>
                <c:pt idx="498">
                  <c:v>37</c:v>
                </c:pt>
                <c:pt idx="499">
                  <c:v>62</c:v>
                </c:pt>
                <c:pt idx="500">
                  <c:v>22</c:v>
                </c:pt>
                <c:pt idx="501">
                  <c:v>42</c:v>
                </c:pt>
                <c:pt idx="502">
                  <c:v>62</c:v>
                </c:pt>
                <c:pt idx="503">
                  <c:v>57</c:v>
                </c:pt>
                <c:pt idx="504">
                  <c:v>72</c:v>
                </c:pt>
                <c:pt idx="505">
                  <c:v>27</c:v>
                </c:pt>
                <c:pt idx="506">
                  <c:v>42</c:v>
                </c:pt>
                <c:pt idx="507">
                  <c:v>52</c:v>
                </c:pt>
                <c:pt idx="508">
                  <c:v>72</c:v>
                </c:pt>
                <c:pt idx="509">
                  <c:v>22</c:v>
                </c:pt>
                <c:pt idx="510">
                  <c:v>22</c:v>
                </c:pt>
                <c:pt idx="511">
                  <c:v>32</c:v>
                </c:pt>
                <c:pt idx="512">
                  <c:v>47</c:v>
                </c:pt>
                <c:pt idx="513">
                  <c:v>22</c:v>
                </c:pt>
                <c:pt idx="514">
                  <c:v>47</c:v>
                </c:pt>
                <c:pt idx="515">
                  <c:v>27</c:v>
                </c:pt>
                <c:pt idx="516">
                  <c:v>42</c:v>
                </c:pt>
                <c:pt idx="517">
                  <c:v>17</c:v>
                </c:pt>
                <c:pt idx="518">
                  <c:v>32</c:v>
                </c:pt>
                <c:pt idx="519">
                  <c:v>47</c:v>
                </c:pt>
                <c:pt idx="520">
                  <c:v>72</c:v>
                </c:pt>
                <c:pt idx="521">
                  <c:v>62</c:v>
                </c:pt>
                <c:pt idx="522">
                  <c:v>37</c:v>
                </c:pt>
                <c:pt idx="523">
                  <c:v>42</c:v>
                </c:pt>
                <c:pt idx="524">
                  <c:v>67</c:v>
                </c:pt>
                <c:pt idx="525">
                  <c:v>27</c:v>
                </c:pt>
                <c:pt idx="526">
                  <c:v>27</c:v>
                </c:pt>
                <c:pt idx="527">
                  <c:v>62</c:v>
                </c:pt>
                <c:pt idx="528">
                  <c:v>72</c:v>
                </c:pt>
                <c:pt idx="529">
                  <c:v>22</c:v>
                </c:pt>
                <c:pt idx="530">
                  <c:v>47</c:v>
                </c:pt>
                <c:pt idx="531">
                  <c:v>47</c:v>
                </c:pt>
                <c:pt idx="532">
                  <c:v>62</c:v>
                </c:pt>
                <c:pt idx="533">
                  <c:v>72</c:v>
                </c:pt>
                <c:pt idx="534">
                  <c:v>27</c:v>
                </c:pt>
                <c:pt idx="535">
                  <c:v>52</c:v>
                </c:pt>
                <c:pt idx="536">
                  <c:v>22</c:v>
                </c:pt>
                <c:pt idx="537">
                  <c:v>72</c:v>
                </c:pt>
                <c:pt idx="538">
                  <c:v>32</c:v>
                </c:pt>
                <c:pt idx="539">
                  <c:v>42</c:v>
                </c:pt>
                <c:pt idx="540">
                  <c:v>17</c:v>
                </c:pt>
                <c:pt idx="541">
                  <c:v>47</c:v>
                </c:pt>
                <c:pt idx="542">
                  <c:v>42</c:v>
                </c:pt>
                <c:pt idx="543">
                  <c:v>22</c:v>
                </c:pt>
                <c:pt idx="544">
                  <c:v>42</c:v>
                </c:pt>
                <c:pt idx="545">
                  <c:v>57</c:v>
                </c:pt>
                <c:pt idx="546">
                  <c:v>37</c:v>
                </c:pt>
                <c:pt idx="547">
                  <c:v>62</c:v>
                </c:pt>
                <c:pt idx="548">
                  <c:v>22</c:v>
                </c:pt>
                <c:pt idx="549">
                  <c:v>27</c:v>
                </c:pt>
                <c:pt idx="550">
                  <c:v>37</c:v>
                </c:pt>
                <c:pt idx="551">
                  <c:v>42</c:v>
                </c:pt>
                <c:pt idx="552">
                  <c:v>32</c:v>
                </c:pt>
                <c:pt idx="553">
                  <c:v>67</c:v>
                </c:pt>
                <c:pt idx="554">
                  <c:v>62</c:v>
                </c:pt>
                <c:pt idx="555">
                  <c:v>37</c:v>
                </c:pt>
                <c:pt idx="556">
                  <c:v>22</c:v>
                </c:pt>
                <c:pt idx="557">
                  <c:v>72</c:v>
                </c:pt>
                <c:pt idx="558">
                  <c:v>32</c:v>
                </c:pt>
                <c:pt idx="559">
                  <c:v>42</c:v>
                </c:pt>
                <c:pt idx="560">
                  <c:v>67</c:v>
                </c:pt>
                <c:pt idx="561">
                  <c:v>52</c:v>
                </c:pt>
                <c:pt idx="562">
                  <c:v>47</c:v>
                </c:pt>
                <c:pt idx="563">
                  <c:v>47</c:v>
                </c:pt>
                <c:pt idx="564">
                  <c:v>27</c:v>
                </c:pt>
                <c:pt idx="565">
                  <c:v>32</c:v>
                </c:pt>
                <c:pt idx="566">
                  <c:v>22</c:v>
                </c:pt>
                <c:pt idx="567">
                  <c:v>27</c:v>
                </c:pt>
                <c:pt idx="568">
                  <c:v>47</c:v>
                </c:pt>
                <c:pt idx="569">
                  <c:v>52</c:v>
                </c:pt>
                <c:pt idx="570">
                  <c:v>27</c:v>
                </c:pt>
                <c:pt idx="571">
                  <c:v>27</c:v>
                </c:pt>
                <c:pt idx="572">
                  <c:v>42</c:v>
                </c:pt>
                <c:pt idx="573">
                  <c:v>37</c:v>
                </c:pt>
                <c:pt idx="574">
                  <c:v>52</c:v>
                </c:pt>
                <c:pt idx="575">
                  <c:v>62</c:v>
                </c:pt>
                <c:pt idx="576">
                  <c:v>52</c:v>
                </c:pt>
                <c:pt idx="577">
                  <c:v>67</c:v>
                </c:pt>
                <c:pt idx="578">
                  <c:v>42</c:v>
                </c:pt>
                <c:pt idx="579">
                  <c:v>32</c:v>
                </c:pt>
                <c:pt idx="580">
                  <c:v>52</c:v>
                </c:pt>
                <c:pt idx="581">
                  <c:v>52</c:v>
                </c:pt>
                <c:pt idx="582">
                  <c:v>42</c:v>
                </c:pt>
                <c:pt idx="583">
                  <c:v>62</c:v>
                </c:pt>
                <c:pt idx="584">
                  <c:v>52</c:v>
                </c:pt>
                <c:pt idx="585">
                  <c:v>47</c:v>
                </c:pt>
                <c:pt idx="586">
                  <c:v>72</c:v>
                </c:pt>
                <c:pt idx="587">
                  <c:v>62</c:v>
                </c:pt>
                <c:pt idx="588">
                  <c:v>42</c:v>
                </c:pt>
                <c:pt idx="589">
                  <c:v>72</c:v>
                </c:pt>
                <c:pt idx="590">
                  <c:v>27</c:v>
                </c:pt>
                <c:pt idx="591">
                  <c:v>57</c:v>
                </c:pt>
                <c:pt idx="592">
                  <c:v>62</c:v>
                </c:pt>
                <c:pt idx="593">
                  <c:v>47</c:v>
                </c:pt>
                <c:pt idx="594">
                  <c:v>27</c:v>
                </c:pt>
                <c:pt idx="595">
                  <c:v>52</c:v>
                </c:pt>
                <c:pt idx="596">
                  <c:v>47</c:v>
                </c:pt>
                <c:pt idx="597">
                  <c:v>37</c:v>
                </c:pt>
                <c:pt idx="598">
                  <c:v>32</c:v>
                </c:pt>
                <c:pt idx="599">
                  <c:v>42</c:v>
                </c:pt>
                <c:pt idx="600">
                  <c:v>47</c:v>
                </c:pt>
                <c:pt idx="601">
                  <c:v>62</c:v>
                </c:pt>
                <c:pt idx="602">
                  <c:v>42</c:v>
                </c:pt>
                <c:pt idx="603">
                  <c:v>32</c:v>
                </c:pt>
                <c:pt idx="604">
                  <c:v>32</c:v>
                </c:pt>
                <c:pt idx="605">
                  <c:v>32</c:v>
                </c:pt>
                <c:pt idx="606">
                  <c:v>17</c:v>
                </c:pt>
                <c:pt idx="607">
                  <c:v>42</c:v>
                </c:pt>
                <c:pt idx="608">
                  <c:v>47</c:v>
                </c:pt>
                <c:pt idx="609">
                  <c:v>37</c:v>
                </c:pt>
                <c:pt idx="610">
                  <c:v>72</c:v>
                </c:pt>
                <c:pt idx="611">
                  <c:v>42</c:v>
                </c:pt>
                <c:pt idx="612">
                  <c:v>32</c:v>
                </c:pt>
                <c:pt idx="613">
                  <c:v>27</c:v>
                </c:pt>
                <c:pt idx="614">
                  <c:v>42</c:v>
                </c:pt>
                <c:pt idx="615">
                  <c:v>32</c:v>
                </c:pt>
                <c:pt idx="616">
                  <c:v>32</c:v>
                </c:pt>
                <c:pt idx="617">
                  <c:v>42</c:v>
                </c:pt>
                <c:pt idx="618">
                  <c:v>52</c:v>
                </c:pt>
                <c:pt idx="619">
                  <c:v>32</c:v>
                </c:pt>
                <c:pt idx="620">
                  <c:v>72</c:v>
                </c:pt>
                <c:pt idx="621">
                  <c:v>42</c:v>
                </c:pt>
                <c:pt idx="622">
                  <c:v>27</c:v>
                </c:pt>
                <c:pt idx="623">
                  <c:v>37</c:v>
                </c:pt>
                <c:pt idx="624">
                  <c:v>42</c:v>
                </c:pt>
                <c:pt idx="625">
                  <c:v>32</c:v>
                </c:pt>
                <c:pt idx="626">
                  <c:v>17</c:v>
                </c:pt>
                <c:pt idx="627">
                  <c:v>37</c:v>
                </c:pt>
                <c:pt idx="628">
                  <c:v>47</c:v>
                </c:pt>
                <c:pt idx="629">
                  <c:v>42</c:v>
                </c:pt>
                <c:pt idx="630">
                  <c:v>42</c:v>
                </c:pt>
                <c:pt idx="631">
                  <c:v>57</c:v>
                </c:pt>
                <c:pt idx="632">
                  <c:v>62</c:v>
                </c:pt>
                <c:pt idx="633">
                  <c:v>57</c:v>
                </c:pt>
                <c:pt idx="634">
                  <c:v>32</c:v>
                </c:pt>
                <c:pt idx="635">
                  <c:v>42</c:v>
                </c:pt>
                <c:pt idx="636">
                  <c:v>42</c:v>
                </c:pt>
                <c:pt idx="637">
                  <c:v>62</c:v>
                </c:pt>
                <c:pt idx="638">
                  <c:v>72</c:v>
                </c:pt>
                <c:pt idx="639">
                  <c:v>57</c:v>
                </c:pt>
                <c:pt idx="640">
                  <c:v>37</c:v>
                </c:pt>
                <c:pt idx="641">
                  <c:v>27</c:v>
                </c:pt>
                <c:pt idx="642">
                  <c:v>72</c:v>
                </c:pt>
                <c:pt idx="643">
                  <c:v>22</c:v>
                </c:pt>
                <c:pt idx="644">
                  <c:v>22</c:v>
                </c:pt>
                <c:pt idx="645">
                  <c:v>32</c:v>
                </c:pt>
                <c:pt idx="646">
                  <c:v>57</c:v>
                </c:pt>
                <c:pt idx="647">
                  <c:v>37</c:v>
                </c:pt>
                <c:pt idx="648">
                  <c:v>27</c:v>
                </c:pt>
                <c:pt idx="649">
                  <c:v>22</c:v>
                </c:pt>
                <c:pt idx="650">
                  <c:v>27</c:v>
                </c:pt>
                <c:pt idx="651">
                  <c:v>37</c:v>
                </c:pt>
                <c:pt idx="652">
                  <c:v>42</c:v>
                </c:pt>
                <c:pt idx="653">
                  <c:v>27</c:v>
                </c:pt>
                <c:pt idx="654">
                  <c:v>72</c:v>
                </c:pt>
                <c:pt idx="655">
                  <c:v>67</c:v>
                </c:pt>
                <c:pt idx="656">
                  <c:v>42</c:v>
                </c:pt>
                <c:pt idx="657">
                  <c:v>52</c:v>
                </c:pt>
                <c:pt idx="658">
                  <c:v>57</c:v>
                </c:pt>
                <c:pt idx="659">
                  <c:v>27</c:v>
                </c:pt>
                <c:pt idx="660">
                  <c:v>22</c:v>
                </c:pt>
                <c:pt idx="661">
                  <c:v>27</c:v>
                </c:pt>
                <c:pt idx="662">
                  <c:v>37</c:v>
                </c:pt>
                <c:pt idx="663">
                  <c:v>52</c:v>
                </c:pt>
                <c:pt idx="664">
                  <c:v>72</c:v>
                </c:pt>
                <c:pt idx="665">
                  <c:v>62</c:v>
                </c:pt>
                <c:pt idx="666">
                  <c:v>22</c:v>
                </c:pt>
                <c:pt idx="667">
                  <c:v>67</c:v>
                </c:pt>
                <c:pt idx="668">
                  <c:v>47</c:v>
                </c:pt>
                <c:pt idx="669">
                  <c:v>72</c:v>
                </c:pt>
                <c:pt idx="670">
                  <c:v>22</c:v>
                </c:pt>
                <c:pt idx="671">
                  <c:v>37</c:v>
                </c:pt>
                <c:pt idx="672">
                  <c:v>17</c:v>
                </c:pt>
                <c:pt idx="673">
                  <c:v>57</c:v>
                </c:pt>
                <c:pt idx="674">
                  <c:v>47</c:v>
                </c:pt>
                <c:pt idx="675">
                  <c:v>47</c:v>
                </c:pt>
                <c:pt idx="676">
                  <c:v>72</c:v>
                </c:pt>
                <c:pt idx="677">
                  <c:v>67</c:v>
                </c:pt>
                <c:pt idx="678">
                  <c:v>22</c:v>
                </c:pt>
                <c:pt idx="679">
                  <c:v>57</c:v>
                </c:pt>
                <c:pt idx="680">
                  <c:v>42</c:v>
                </c:pt>
                <c:pt idx="681">
                  <c:v>57</c:v>
                </c:pt>
                <c:pt idx="682">
                  <c:v>72</c:v>
                </c:pt>
                <c:pt idx="683">
                  <c:v>57</c:v>
                </c:pt>
                <c:pt idx="684">
                  <c:v>72</c:v>
                </c:pt>
                <c:pt idx="685">
                  <c:v>42</c:v>
                </c:pt>
                <c:pt idx="686">
                  <c:v>57</c:v>
                </c:pt>
                <c:pt idx="687">
                  <c:v>22</c:v>
                </c:pt>
                <c:pt idx="688">
                  <c:v>52</c:v>
                </c:pt>
                <c:pt idx="689">
                  <c:v>62</c:v>
                </c:pt>
                <c:pt idx="690">
                  <c:v>32</c:v>
                </c:pt>
                <c:pt idx="691">
                  <c:v>62</c:v>
                </c:pt>
                <c:pt idx="692">
                  <c:v>22</c:v>
                </c:pt>
                <c:pt idx="693">
                  <c:v>27</c:v>
                </c:pt>
                <c:pt idx="694">
                  <c:v>47</c:v>
                </c:pt>
                <c:pt idx="695">
                  <c:v>17</c:v>
                </c:pt>
                <c:pt idx="696">
                  <c:v>32</c:v>
                </c:pt>
                <c:pt idx="697">
                  <c:v>47</c:v>
                </c:pt>
                <c:pt idx="698">
                  <c:v>37</c:v>
                </c:pt>
                <c:pt idx="699">
                  <c:v>22</c:v>
                </c:pt>
                <c:pt idx="700">
                  <c:v>57</c:v>
                </c:pt>
                <c:pt idx="701">
                  <c:v>47</c:v>
                </c:pt>
                <c:pt idx="702">
                  <c:v>62</c:v>
                </c:pt>
                <c:pt idx="703">
                  <c:v>47</c:v>
                </c:pt>
                <c:pt idx="704">
                  <c:v>62</c:v>
                </c:pt>
                <c:pt idx="705">
                  <c:v>42</c:v>
                </c:pt>
                <c:pt idx="706">
                  <c:v>22</c:v>
                </c:pt>
                <c:pt idx="707">
                  <c:v>27</c:v>
                </c:pt>
                <c:pt idx="708">
                  <c:v>22</c:v>
                </c:pt>
                <c:pt idx="709">
                  <c:v>22</c:v>
                </c:pt>
                <c:pt idx="710">
                  <c:v>67</c:v>
                </c:pt>
                <c:pt idx="711">
                  <c:v>32</c:v>
                </c:pt>
                <c:pt idx="712">
                  <c:v>22</c:v>
                </c:pt>
                <c:pt idx="713">
                  <c:v>32</c:v>
                </c:pt>
                <c:pt idx="714">
                  <c:v>47</c:v>
                </c:pt>
                <c:pt idx="715">
                  <c:v>52</c:v>
                </c:pt>
                <c:pt idx="716">
                  <c:v>22</c:v>
                </c:pt>
                <c:pt idx="717">
                  <c:v>52</c:v>
                </c:pt>
                <c:pt idx="718">
                  <c:v>47</c:v>
                </c:pt>
                <c:pt idx="719">
                  <c:v>32</c:v>
                </c:pt>
                <c:pt idx="720">
                  <c:v>22</c:v>
                </c:pt>
                <c:pt idx="721">
                  <c:v>47</c:v>
                </c:pt>
                <c:pt idx="722">
                  <c:v>47</c:v>
                </c:pt>
                <c:pt idx="723">
                  <c:v>37</c:v>
                </c:pt>
                <c:pt idx="724">
                  <c:v>67</c:v>
                </c:pt>
                <c:pt idx="725">
                  <c:v>37</c:v>
                </c:pt>
                <c:pt idx="726">
                  <c:v>52</c:v>
                </c:pt>
                <c:pt idx="727">
                  <c:v>27</c:v>
                </c:pt>
                <c:pt idx="728">
                  <c:v>62</c:v>
                </c:pt>
                <c:pt idx="729">
                  <c:v>22</c:v>
                </c:pt>
                <c:pt idx="730">
                  <c:v>42</c:v>
                </c:pt>
                <c:pt idx="731">
                  <c:v>52</c:v>
                </c:pt>
                <c:pt idx="732">
                  <c:v>67</c:v>
                </c:pt>
                <c:pt idx="733">
                  <c:v>27</c:v>
                </c:pt>
                <c:pt idx="734">
                  <c:v>27</c:v>
                </c:pt>
                <c:pt idx="735">
                  <c:v>42</c:v>
                </c:pt>
                <c:pt idx="736">
                  <c:v>17</c:v>
                </c:pt>
                <c:pt idx="737">
                  <c:v>27</c:v>
                </c:pt>
                <c:pt idx="738">
                  <c:v>72</c:v>
                </c:pt>
                <c:pt idx="739">
                  <c:v>67</c:v>
                </c:pt>
                <c:pt idx="740">
                  <c:v>52</c:v>
                </c:pt>
                <c:pt idx="741">
                  <c:v>52</c:v>
                </c:pt>
                <c:pt idx="742">
                  <c:v>57</c:v>
                </c:pt>
                <c:pt idx="743">
                  <c:v>57</c:v>
                </c:pt>
                <c:pt idx="744">
                  <c:v>37</c:v>
                </c:pt>
                <c:pt idx="745">
                  <c:v>32</c:v>
                </c:pt>
                <c:pt idx="746">
                  <c:v>37</c:v>
                </c:pt>
                <c:pt idx="747">
                  <c:v>42</c:v>
                </c:pt>
                <c:pt idx="748">
                  <c:v>72</c:v>
                </c:pt>
                <c:pt idx="749">
                  <c:v>17</c:v>
                </c:pt>
                <c:pt idx="750">
                  <c:v>62</c:v>
                </c:pt>
                <c:pt idx="751">
                  <c:v>27</c:v>
                </c:pt>
                <c:pt idx="752">
                  <c:v>52</c:v>
                </c:pt>
                <c:pt idx="753">
                  <c:v>62</c:v>
                </c:pt>
                <c:pt idx="754">
                  <c:v>62</c:v>
                </c:pt>
                <c:pt idx="755">
                  <c:v>62</c:v>
                </c:pt>
                <c:pt idx="756">
                  <c:v>27</c:v>
                </c:pt>
                <c:pt idx="757">
                  <c:v>57</c:v>
                </c:pt>
                <c:pt idx="758">
                  <c:v>22</c:v>
                </c:pt>
                <c:pt idx="759">
                  <c:v>67</c:v>
                </c:pt>
                <c:pt idx="760">
                  <c:v>37</c:v>
                </c:pt>
                <c:pt idx="761">
                  <c:v>57</c:v>
                </c:pt>
                <c:pt idx="762">
                  <c:v>27</c:v>
                </c:pt>
                <c:pt idx="763">
                  <c:v>52</c:v>
                </c:pt>
                <c:pt idx="764">
                  <c:v>22</c:v>
                </c:pt>
                <c:pt idx="765">
                  <c:v>32</c:v>
                </c:pt>
                <c:pt idx="766">
                  <c:v>47</c:v>
                </c:pt>
                <c:pt idx="767">
                  <c:v>47</c:v>
                </c:pt>
                <c:pt idx="768">
                  <c:v>27</c:v>
                </c:pt>
                <c:pt idx="769">
                  <c:v>27</c:v>
                </c:pt>
                <c:pt idx="770">
                  <c:v>52</c:v>
                </c:pt>
                <c:pt idx="771">
                  <c:v>57</c:v>
                </c:pt>
                <c:pt idx="772">
                  <c:v>47</c:v>
                </c:pt>
                <c:pt idx="773">
                  <c:v>22</c:v>
                </c:pt>
                <c:pt idx="774">
                  <c:v>22</c:v>
                </c:pt>
                <c:pt idx="775">
                  <c:v>22</c:v>
                </c:pt>
                <c:pt idx="776">
                  <c:v>27</c:v>
                </c:pt>
                <c:pt idx="777">
                  <c:v>22</c:v>
                </c:pt>
                <c:pt idx="778">
                  <c:v>62</c:v>
                </c:pt>
                <c:pt idx="779">
                  <c:v>47</c:v>
                </c:pt>
                <c:pt idx="780">
                  <c:v>47</c:v>
                </c:pt>
                <c:pt idx="781">
                  <c:v>42</c:v>
                </c:pt>
                <c:pt idx="782">
                  <c:v>22</c:v>
                </c:pt>
                <c:pt idx="783">
                  <c:v>72</c:v>
                </c:pt>
                <c:pt idx="784">
                  <c:v>42</c:v>
                </c:pt>
                <c:pt idx="785">
                  <c:v>42</c:v>
                </c:pt>
                <c:pt idx="786">
                  <c:v>57</c:v>
                </c:pt>
                <c:pt idx="787">
                  <c:v>52</c:v>
                </c:pt>
                <c:pt idx="788">
                  <c:v>52</c:v>
                </c:pt>
                <c:pt idx="789">
                  <c:v>72</c:v>
                </c:pt>
                <c:pt idx="790">
                  <c:v>72</c:v>
                </c:pt>
                <c:pt idx="791">
                  <c:v>47</c:v>
                </c:pt>
                <c:pt idx="792">
                  <c:v>42</c:v>
                </c:pt>
                <c:pt idx="793">
                  <c:v>52</c:v>
                </c:pt>
                <c:pt idx="794">
                  <c:v>17</c:v>
                </c:pt>
                <c:pt idx="795">
                  <c:v>27</c:v>
                </c:pt>
                <c:pt idx="796">
                  <c:v>42</c:v>
                </c:pt>
                <c:pt idx="797">
                  <c:v>62</c:v>
                </c:pt>
                <c:pt idx="798">
                  <c:v>27</c:v>
                </c:pt>
                <c:pt idx="799">
                  <c:v>42</c:v>
                </c:pt>
                <c:pt idx="800">
                  <c:v>47</c:v>
                </c:pt>
                <c:pt idx="801">
                  <c:v>47</c:v>
                </c:pt>
                <c:pt idx="802">
                  <c:v>47</c:v>
                </c:pt>
                <c:pt idx="803">
                  <c:v>62</c:v>
                </c:pt>
                <c:pt idx="804">
                  <c:v>32</c:v>
                </c:pt>
                <c:pt idx="805">
                  <c:v>42</c:v>
                </c:pt>
                <c:pt idx="806">
                  <c:v>27</c:v>
                </c:pt>
                <c:pt idx="807">
                  <c:v>62</c:v>
                </c:pt>
                <c:pt idx="808">
                  <c:v>72</c:v>
                </c:pt>
                <c:pt idx="809">
                  <c:v>42</c:v>
                </c:pt>
                <c:pt idx="810">
                  <c:v>27</c:v>
                </c:pt>
                <c:pt idx="811">
                  <c:v>27</c:v>
                </c:pt>
                <c:pt idx="812">
                  <c:v>42</c:v>
                </c:pt>
                <c:pt idx="813">
                  <c:v>52</c:v>
                </c:pt>
                <c:pt idx="814">
                  <c:v>22</c:v>
                </c:pt>
                <c:pt idx="815">
                  <c:v>47</c:v>
                </c:pt>
                <c:pt idx="816">
                  <c:v>32</c:v>
                </c:pt>
                <c:pt idx="817">
                  <c:v>57</c:v>
                </c:pt>
                <c:pt idx="818">
                  <c:v>47</c:v>
                </c:pt>
                <c:pt idx="819">
                  <c:v>42</c:v>
                </c:pt>
                <c:pt idx="820">
                  <c:v>67</c:v>
                </c:pt>
                <c:pt idx="821">
                  <c:v>62</c:v>
                </c:pt>
                <c:pt idx="822">
                  <c:v>62</c:v>
                </c:pt>
                <c:pt idx="823">
                  <c:v>42</c:v>
                </c:pt>
                <c:pt idx="824">
                  <c:v>27</c:v>
                </c:pt>
                <c:pt idx="825">
                  <c:v>27</c:v>
                </c:pt>
                <c:pt idx="826">
                  <c:v>37</c:v>
                </c:pt>
                <c:pt idx="827">
                  <c:v>52</c:v>
                </c:pt>
                <c:pt idx="828">
                  <c:v>32</c:v>
                </c:pt>
                <c:pt idx="829">
                  <c:v>27</c:v>
                </c:pt>
                <c:pt idx="830">
                  <c:v>57</c:v>
                </c:pt>
                <c:pt idx="831">
                  <c:v>22</c:v>
                </c:pt>
                <c:pt idx="832">
                  <c:v>62</c:v>
                </c:pt>
                <c:pt idx="833">
                  <c:v>57</c:v>
                </c:pt>
                <c:pt idx="834">
                  <c:v>32</c:v>
                </c:pt>
                <c:pt idx="835">
                  <c:v>37</c:v>
                </c:pt>
                <c:pt idx="836">
                  <c:v>72</c:v>
                </c:pt>
                <c:pt idx="837">
                  <c:v>22</c:v>
                </c:pt>
                <c:pt idx="838">
                  <c:v>72</c:v>
                </c:pt>
                <c:pt idx="839">
                  <c:v>52</c:v>
                </c:pt>
                <c:pt idx="840">
                  <c:v>37</c:v>
                </c:pt>
                <c:pt idx="841">
                  <c:v>52</c:v>
                </c:pt>
                <c:pt idx="842">
                  <c:v>67</c:v>
                </c:pt>
                <c:pt idx="843">
                  <c:v>27</c:v>
                </c:pt>
                <c:pt idx="844">
                  <c:v>22</c:v>
                </c:pt>
                <c:pt idx="845">
                  <c:v>27</c:v>
                </c:pt>
                <c:pt idx="846">
                  <c:v>22</c:v>
                </c:pt>
                <c:pt idx="847">
                  <c:v>52</c:v>
                </c:pt>
                <c:pt idx="848">
                  <c:v>32</c:v>
                </c:pt>
                <c:pt idx="849">
                  <c:v>22</c:v>
                </c:pt>
                <c:pt idx="850">
                  <c:v>37</c:v>
                </c:pt>
                <c:pt idx="851">
                  <c:v>67</c:v>
                </c:pt>
                <c:pt idx="852">
                  <c:v>32</c:v>
                </c:pt>
                <c:pt idx="853">
                  <c:v>32</c:v>
                </c:pt>
                <c:pt idx="854">
                  <c:v>42</c:v>
                </c:pt>
                <c:pt idx="855">
                  <c:v>47</c:v>
                </c:pt>
                <c:pt idx="856">
                  <c:v>57</c:v>
                </c:pt>
                <c:pt idx="857">
                  <c:v>67</c:v>
                </c:pt>
                <c:pt idx="858">
                  <c:v>42</c:v>
                </c:pt>
                <c:pt idx="859">
                  <c:v>37</c:v>
                </c:pt>
                <c:pt idx="860">
                  <c:v>37</c:v>
                </c:pt>
                <c:pt idx="861">
                  <c:v>42</c:v>
                </c:pt>
                <c:pt idx="862">
                  <c:v>42</c:v>
                </c:pt>
                <c:pt idx="863">
                  <c:v>32</c:v>
                </c:pt>
                <c:pt idx="864">
                  <c:v>47</c:v>
                </c:pt>
                <c:pt idx="865">
                  <c:v>57</c:v>
                </c:pt>
                <c:pt idx="866">
                  <c:v>42</c:v>
                </c:pt>
                <c:pt idx="867">
                  <c:v>47</c:v>
                </c:pt>
                <c:pt idx="868">
                  <c:v>22</c:v>
                </c:pt>
                <c:pt idx="869">
                  <c:v>27</c:v>
                </c:pt>
                <c:pt idx="870">
                  <c:v>27</c:v>
                </c:pt>
                <c:pt idx="871">
                  <c:v>42</c:v>
                </c:pt>
                <c:pt idx="872">
                  <c:v>72</c:v>
                </c:pt>
                <c:pt idx="873">
                  <c:v>42</c:v>
                </c:pt>
                <c:pt idx="874">
                  <c:v>72</c:v>
                </c:pt>
                <c:pt idx="875">
                  <c:v>37</c:v>
                </c:pt>
                <c:pt idx="876">
                  <c:v>32</c:v>
                </c:pt>
                <c:pt idx="877">
                  <c:v>62</c:v>
                </c:pt>
                <c:pt idx="878">
                  <c:v>22</c:v>
                </c:pt>
                <c:pt idx="879">
                  <c:v>62</c:v>
                </c:pt>
                <c:pt idx="880">
                  <c:v>32</c:v>
                </c:pt>
                <c:pt idx="881">
                  <c:v>42</c:v>
                </c:pt>
                <c:pt idx="882">
                  <c:v>47</c:v>
                </c:pt>
                <c:pt idx="883">
                  <c:v>47</c:v>
                </c:pt>
                <c:pt idx="884">
                  <c:v>72</c:v>
                </c:pt>
                <c:pt idx="885">
                  <c:v>22</c:v>
                </c:pt>
                <c:pt idx="886">
                  <c:v>37</c:v>
                </c:pt>
                <c:pt idx="887">
                  <c:v>67</c:v>
                </c:pt>
                <c:pt idx="888">
                  <c:v>22</c:v>
                </c:pt>
                <c:pt idx="889">
                  <c:v>52</c:v>
                </c:pt>
                <c:pt idx="890">
                  <c:v>22</c:v>
                </c:pt>
                <c:pt idx="891">
                  <c:v>27</c:v>
                </c:pt>
                <c:pt idx="892">
                  <c:v>32</c:v>
                </c:pt>
                <c:pt idx="893">
                  <c:v>57</c:v>
                </c:pt>
                <c:pt idx="894">
                  <c:v>72</c:v>
                </c:pt>
                <c:pt idx="895">
                  <c:v>32</c:v>
                </c:pt>
                <c:pt idx="896">
                  <c:v>57</c:v>
                </c:pt>
                <c:pt idx="897">
                  <c:v>67</c:v>
                </c:pt>
                <c:pt idx="898">
                  <c:v>32</c:v>
                </c:pt>
                <c:pt idx="899">
                  <c:v>57</c:v>
                </c:pt>
                <c:pt idx="900">
                  <c:v>42</c:v>
                </c:pt>
                <c:pt idx="901">
                  <c:v>67</c:v>
                </c:pt>
                <c:pt idx="902">
                  <c:v>22</c:v>
                </c:pt>
                <c:pt idx="903">
                  <c:v>62</c:v>
                </c:pt>
                <c:pt idx="904">
                  <c:v>47</c:v>
                </c:pt>
                <c:pt idx="905">
                  <c:v>57</c:v>
                </c:pt>
                <c:pt idx="906">
                  <c:v>62</c:v>
                </c:pt>
                <c:pt idx="907">
                  <c:v>42</c:v>
                </c:pt>
                <c:pt idx="908">
                  <c:v>17</c:v>
                </c:pt>
                <c:pt idx="909">
                  <c:v>52</c:v>
                </c:pt>
                <c:pt idx="910">
                  <c:v>32</c:v>
                </c:pt>
                <c:pt idx="911">
                  <c:v>52</c:v>
                </c:pt>
                <c:pt idx="912">
                  <c:v>32</c:v>
                </c:pt>
                <c:pt idx="913">
                  <c:v>57</c:v>
                </c:pt>
                <c:pt idx="914">
                  <c:v>62</c:v>
                </c:pt>
                <c:pt idx="915">
                  <c:v>47</c:v>
                </c:pt>
                <c:pt idx="916">
                  <c:v>32</c:v>
                </c:pt>
                <c:pt idx="917">
                  <c:v>52</c:v>
                </c:pt>
                <c:pt idx="918">
                  <c:v>52</c:v>
                </c:pt>
                <c:pt idx="919">
                  <c:v>42</c:v>
                </c:pt>
                <c:pt idx="920">
                  <c:v>47</c:v>
                </c:pt>
                <c:pt idx="921">
                  <c:v>47</c:v>
                </c:pt>
                <c:pt idx="922">
                  <c:v>47</c:v>
                </c:pt>
                <c:pt idx="923">
                  <c:v>17</c:v>
                </c:pt>
                <c:pt idx="924">
                  <c:v>27</c:v>
                </c:pt>
                <c:pt idx="925">
                  <c:v>42</c:v>
                </c:pt>
                <c:pt idx="926">
                  <c:v>37</c:v>
                </c:pt>
                <c:pt idx="927">
                  <c:v>27</c:v>
                </c:pt>
                <c:pt idx="928">
                  <c:v>57</c:v>
                </c:pt>
                <c:pt idx="929">
                  <c:v>22</c:v>
                </c:pt>
                <c:pt idx="930">
                  <c:v>42</c:v>
                </c:pt>
                <c:pt idx="931">
                  <c:v>67</c:v>
                </c:pt>
                <c:pt idx="932">
                  <c:v>47</c:v>
                </c:pt>
                <c:pt idx="933">
                  <c:v>22</c:v>
                </c:pt>
                <c:pt idx="934">
                  <c:v>22</c:v>
                </c:pt>
                <c:pt idx="935">
                  <c:v>52</c:v>
                </c:pt>
                <c:pt idx="936">
                  <c:v>22</c:v>
                </c:pt>
                <c:pt idx="937">
                  <c:v>17</c:v>
                </c:pt>
                <c:pt idx="938">
                  <c:v>47</c:v>
                </c:pt>
                <c:pt idx="939">
                  <c:v>57</c:v>
                </c:pt>
                <c:pt idx="940">
                  <c:v>52</c:v>
                </c:pt>
                <c:pt idx="941">
                  <c:v>22</c:v>
                </c:pt>
                <c:pt idx="942">
                  <c:v>32</c:v>
                </c:pt>
                <c:pt idx="943">
                  <c:v>42</c:v>
                </c:pt>
                <c:pt idx="944">
                  <c:v>22</c:v>
                </c:pt>
                <c:pt idx="945">
                  <c:v>42</c:v>
                </c:pt>
                <c:pt idx="946">
                  <c:v>47</c:v>
                </c:pt>
                <c:pt idx="947">
                  <c:v>27</c:v>
                </c:pt>
                <c:pt idx="948">
                  <c:v>27</c:v>
                </c:pt>
                <c:pt idx="949">
                  <c:v>37</c:v>
                </c:pt>
                <c:pt idx="950">
                  <c:v>57</c:v>
                </c:pt>
                <c:pt idx="951">
                  <c:v>62</c:v>
                </c:pt>
                <c:pt idx="952">
                  <c:v>47</c:v>
                </c:pt>
                <c:pt idx="953">
                  <c:v>62</c:v>
                </c:pt>
                <c:pt idx="954">
                  <c:v>67</c:v>
                </c:pt>
                <c:pt idx="955">
                  <c:v>62</c:v>
                </c:pt>
                <c:pt idx="956">
                  <c:v>37</c:v>
                </c:pt>
                <c:pt idx="957">
                  <c:v>27</c:v>
                </c:pt>
                <c:pt idx="958">
                  <c:v>22</c:v>
                </c:pt>
                <c:pt idx="959">
                  <c:v>47</c:v>
                </c:pt>
                <c:pt idx="960">
                  <c:v>27</c:v>
                </c:pt>
                <c:pt idx="961">
                  <c:v>32</c:v>
                </c:pt>
                <c:pt idx="962">
                  <c:v>62</c:v>
                </c:pt>
                <c:pt idx="963">
                  <c:v>42</c:v>
                </c:pt>
                <c:pt idx="964">
                  <c:v>42</c:v>
                </c:pt>
                <c:pt idx="965">
                  <c:v>57</c:v>
                </c:pt>
                <c:pt idx="966">
                  <c:v>37</c:v>
                </c:pt>
                <c:pt idx="967">
                  <c:v>52</c:v>
                </c:pt>
                <c:pt idx="968">
                  <c:v>17</c:v>
                </c:pt>
                <c:pt idx="969">
                  <c:v>72</c:v>
                </c:pt>
                <c:pt idx="970">
                  <c:v>42</c:v>
                </c:pt>
                <c:pt idx="971">
                  <c:v>42</c:v>
                </c:pt>
                <c:pt idx="972">
                  <c:v>32</c:v>
                </c:pt>
                <c:pt idx="973">
                  <c:v>52</c:v>
                </c:pt>
                <c:pt idx="974">
                  <c:v>47</c:v>
                </c:pt>
                <c:pt idx="975">
                  <c:v>27</c:v>
                </c:pt>
                <c:pt idx="976">
                  <c:v>37</c:v>
                </c:pt>
                <c:pt idx="977">
                  <c:v>22</c:v>
                </c:pt>
                <c:pt idx="978">
                  <c:v>52</c:v>
                </c:pt>
                <c:pt idx="979">
                  <c:v>72</c:v>
                </c:pt>
                <c:pt idx="980">
                  <c:v>32</c:v>
                </c:pt>
                <c:pt idx="981">
                  <c:v>42</c:v>
                </c:pt>
                <c:pt idx="982">
                  <c:v>57</c:v>
                </c:pt>
                <c:pt idx="983">
                  <c:v>52</c:v>
                </c:pt>
                <c:pt idx="984">
                  <c:v>57</c:v>
                </c:pt>
                <c:pt idx="985">
                  <c:v>27</c:v>
                </c:pt>
                <c:pt idx="986">
                  <c:v>37</c:v>
                </c:pt>
                <c:pt idx="987">
                  <c:v>32</c:v>
                </c:pt>
                <c:pt idx="988">
                  <c:v>32</c:v>
                </c:pt>
                <c:pt idx="989">
                  <c:v>27</c:v>
                </c:pt>
                <c:pt idx="990">
                  <c:v>27</c:v>
                </c:pt>
                <c:pt idx="991">
                  <c:v>27</c:v>
                </c:pt>
                <c:pt idx="992">
                  <c:v>62</c:v>
                </c:pt>
                <c:pt idx="993">
                  <c:v>57</c:v>
                </c:pt>
                <c:pt idx="994">
                  <c:v>37</c:v>
                </c:pt>
                <c:pt idx="995">
                  <c:v>52</c:v>
                </c:pt>
                <c:pt idx="996">
                  <c:v>47</c:v>
                </c:pt>
                <c:pt idx="997">
                  <c:v>62</c:v>
                </c:pt>
                <c:pt idx="998">
                  <c:v>27</c:v>
                </c:pt>
                <c:pt idx="999">
                  <c:v>42</c:v>
                </c:pt>
              </c:numCache>
            </c:numRef>
          </c:xVal>
          <c:yVal>
            <c:numRef>
              <c:f>'TASK 6'!$B$2:$B$1001</c:f>
              <c:numCache>
                <c:formatCode>General</c:formatCode>
                <c:ptCount val="1000"/>
                <c:pt idx="0">
                  <c:v>86368</c:v>
                </c:pt>
                <c:pt idx="1">
                  <c:v>62342</c:v>
                </c:pt>
                <c:pt idx="2">
                  <c:v>19046</c:v>
                </c:pt>
                <c:pt idx="3">
                  <c:v>70672</c:v>
                </c:pt>
                <c:pt idx="4">
                  <c:v>49168</c:v>
                </c:pt>
                <c:pt idx="5">
                  <c:v>69092</c:v>
                </c:pt>
                <c:pt idx="6">
                  <c:v>94769</c:v>
                </c:pt>
                <c:pt idx="7">
                  <c:v>43127</c:v>
                </c:pt>
                <c:pt idx="8">
                  <c:v>120743</c:v>
                </c:pt>
                <c:pt idx="9">
                  <c:v>105006</c:v>
                </c:pt>
                <c:pt idx="10">
                  <c:v>17427</c:v>
                </c:pt>
                <c:pt idx="11">
                  <c:v>329</c:v>
                </c:pt>
                <c:pt idx="12">
                  <c:v>90156</c:v>
                </c:pt>
                <c:pt idx="13">
                  <c:v>144244</c:v>
                </c:pt>
                <c:pt idx="14">
                  <c:v>51006</c:v>
                </c:pt>
                <c:pt idx="15">
                  <c:v>28047</c:v>
                </c:pt>
                <c:pt idx="16">
                  <c:v>58304</c:v>
                </c:pt>
                <c:pt idx="17">
                  <c:v>25172</c:v>
                </c:pt>
                <c:pt idx="18">
                  <c:v>51530</c:v>
                </c:pt>
                <c:pt idx="19">
                  <c:v>201030</c:v>
                </c:pt>
                <c:pt idx="20">
                  <c:v>106667</c:v>
                </c:pt>
                <c:pt idx="21">
                  <c:v>106932</c:v>
                </c:pt>
                <c:pt idx="22">
                  <c:v>71962</c:v>
                </c:pt>
                <c:pt idx="23">
                  <c:v>26386</c:v>
                </c:pt>
                <c:pt idx="24">
                  <c:v>7089</c:v>
                </c:pt>
                <c:pt idx="25">
                  <c:v>53285</c:v>
                </c:pt>
                <c:pt idx="26">
                  <c:v>45319</c:v>
                </c:pt>
                <c:pt idx="27">
                  <c:v>34603</c:v>
                </c:pt>
                <c:pt idx="28">
                  <c:v>18824</c:v>
                </c:pt>
                <c:pt idx="29">
                  <c:v>25568</c:v>
                </c:pt>
                <c:pt idx="30">
                  <c:v>80751</c:v>
                </c:pt>
                <c:pt idx="31">
                  <c:v>32117</c:v>
                </c:pt>
                <c:pt idx="32">
                  <c:v>42233</c:v>
                </c:pt>
                <c:pt idx="33">
                  <c:v>25564</c:v>
                </c:pt>
                <c:pt idx="34">
                  <c:v>25716</c:v>
                </c:pt>
                <c:pt idx="35">
                  <c:v>50038</c:v>
                </c:pt>
                <c:pt idx="36">
                  <c:v>19124</c:v>
                </c:pt>
                <c:pt idx="37">
                  <c:v>665612</c:v>
                </c:pt>
                <c:pt idx="38">
                  <c:v>17386</c:v>
                </c:pt>
                <c:pt idx="39">
                  <c:v>84178</c:v>
                </c:pt>
                <c:pt idx="40">
                  <c:v>49236</c:v>
                </c:pt>
                <c:pt idx="41">
                  <c:v>9527</c:v>
                </c:pt>
                <c:pt idx="42">
                  <c:v>66500</c:v>
                </c:pt>
                <c:pt idx="43">
                  <c:v>61386</c:v>
                </c:pt>
                <c:pt idx="44">
                  <c:v>83925</c:v>
                </c:pt>
                <c:pt idx="45">
                  <c:v>60311</c:v>
                </c:pt>
                <c:pt idx="46">
                  <c:v>37523</c:v>
                </c:pt>
                <c:pt idx="47">
                  <c:v>59910</c:v>
                </c:pt>
                <c:pt idx="48">
                  <c:v>66457</c:v>
                </c:pt>
                <c:pt idx="49">
                  <c:v>10439</c:v>
                </c:pt>
                <c:pt idx="50">
                  <c:v>21969</c:v>
                </c:pt>
                <c:pt idx="51">
                  <c:v>54325</c:v>
                </c:pt>
                <c:pt idx="52">
                  <c:v>98107</c:v>
                </c:pt>
                <c:pt idx="53">
                  <c:v>79237</c:v>
                </c:pt>
                <c:pt idx="54">
                  <c:v>71800</c:v>
                </c:pt>
                <c:pt idx="55">
                  <c:v>744</c:v>
                </c:pt>
                <c:pt idx="56">
                  <c:v>132544</c:v>
                </c:pt>
                <c:pt idx="57">
                  <c:v>73774</c:v>
                </c:pt>
                <c:pt idx="58">
                  <c:v>66671</c:v>
                </c:pt>
                <c:pt idx="59">
                  <c:v>207850</c:v>
                </c:pt>
                <c:pt idx="60">
                  <c:v>35404</c:v>
                </c:pt>
                <c:pt idx="61">
                  <c:v>77899</c:v>
                </c:pt>
                <c:pt idx="62">
                  <c:v>113671</c:v>
                </c:pt>
                <c:pt idx="63">
                  <c:v>34495</c:v>
                </c:pt>
                <c:pt idx="64">
                  <c:v>13399</c:v>
                </c:pt>
                <c:pt idx="65">
                  <c:v>38149</c:v>
                </c:pt>
                <c:pt idx="66">
                  <c:v>45490</c:v>
                </c:pt>
                <c:pt idx="67">
                  <c:v>39061</c:v>
                </c:pt>
                <c:pt idx="68">
                  <c:v>65209</c:v>
                </c:pt>
                <c:pt idx="69">
                  <c:v>115567</c:v>
                </c:pt>
                <c:pt idx="70">
                  <c:v>38984</c:v>
                </c:pt>
                <c:pt idx="71">
                  <c:v>59711</c:v>
                </c:pt>
                <c:pt idx="72">
                  <c:v>12417</c:v>
                </c:pt>
                <c:pt idx="73">
                  <c:v>26987</c:v>
                </c:pt>
                <c:pt idx="74">
                  <c:v>7401</c:v>
                </c:pt>
                <c:pt idx="75">
                  <c:v>395</c:v>
                </c:pt>
                <c:pt idx="76">
                  <c:v>48152</c:v>
                </c:pt>
                <c:pt idx="77">
                  <c:v>116422</c:v>
                </c:pt>
                <c:pt idx="78">
                  <c:v>40149</c:v>
                </c:pt>
                <c:pt idx="79">
                  <c:v>10157</c:v>
                </c:pt>
                <c:pt idx="80">
                  <c:v>105262</c:v>
                </c:pt>
                <c:pt idx="81">
                  <c:v>47980</c:v>
                </c:pt>
                <c:pt idx="82">
                  <c:v>98086</c:v>
                </c:pt>
                <c:pt idx="83">
                  <c:v>73677</c:v>
                </c:pt>
                <c:pt idx="84">
                  <c:v>46978</c:v>
                </c:pt>
                <c:pt idx="85">
                  <c:v>14916</c:v>
                </c:pt>
                <c:pt idx="86">
                  <c:v>50419</c:v>
                </c:pt>
                <c:pt idx="87">
                  <c:v>92452</c:v>
                </c:pt>
                <c:pt idx="88">
                  <c:v>74000</c:v>
                </c:pt>
                <c:pt idx="89">
                  <c:v>127747</c:v>
                </c:pt>
                <c:pt idx="90">
                  <c:v>17707</c:v>
                </c:pt>
                <c:pt idx="91">
                  <c:v>64774</c:v>
                </c:pt>
                <c:pt idx="92">
                  <c:v>88783</c:v>
                </c:pt>
                <c:pt idx="93">
                  <c:v>114667</c:v>
                </c:pt>
                <c:pt idx="94">
                  <c:v>37583</c:v>
                </c:pt>
                <c:pt idx="95">
                  <c:v>81937</c:v>
                </c:pt>
                <c:pt idx="96">
                  <c:v>31943</c:v>
                </c:pt>
                <c:pt idx="97">
                  <c:v>47786</c:v>
                </c:pt>
                <c:pt idx="98">
                  <c:v>76936</c:v>
                </c:pt>
                <c:pt idx="99">
                  <c:v>4081</c:v>
                </c:pt>
                <c:pt idx="100">
                  <c:v>329444</c:v>
                </c:pt>
                <c:pt idx="101">
                  <c:v>122207</c:v>
                </c:pt>
                <c:pt idx="102">
                  <c:v>99468</c:v>
                </c:pt>
                <c:pt idx="103">
                  <c:v>50782</c:v>
                </c:pt>
                <c:pt idx="104">
                  <c:v>53826</c:v>
                </c:pt>
                <c:pt idx="105">
                  <c:v>49288</c:v>
                </c:pt>
                <c:pt idx="106">
                  <c:v>42556</c:v>
                </c:pt>
                <c:pt idx="107">
                  <c:v>42654</c:v>
                </c:pt>
                <c:pt idx="108">
                  <c:v>79984</c:v>
                </c:pt>
                <c:pt idx="109">
                  <c:v>315</c:v>
                </c:pt>
                <c:pt idx="110">
                  <c:v>11568</c:v>
                </c:pt>
                <c:pt idx="111">
                  <c:v>25773</c:v>
                </c:pt>
                <c:pt idx="112">
                  <c:v>45033</c:v>
                </c:pt>
                <c:pt idx="113">
                  <c:v>106693</c:v>
                </c:pt>
                <c:pt idx="114">
                  <c:v>23903</c:v>
                </c:pt>
                <c:pt idx="115">
                  <c:v>107373</c:v>
                </c:pt>
                <c:pt idx="116">
                  <c:v>65323</c:v>
                </c:pt>
                <c:pt idx="117">
                  <c:v>127211</c:v>
                </c:pt>
                <c:pt idx="118">
                  <c:v>14509</c:v>
                </c:pt>
                <c:pt idx="119">
                  <c:v>43748</c:v>
                </c:pt>
                <c:pt idx="120">
                  <c:v>25281</c:v>
                </c:pt>
                <c:pt idx="121">
                  <c:v>4007</c:v>
                </c:pt>
                <c:pt idx="122">
                  <c:v>133566</c:v>
                </c:pt>
                <c:pt idx="123">
                  <c:v>39357</c:v>
                </c:pt>
                <c:pt idx="124">
                  <c:v>19613</c:v>
                </c:pt>
                <c:pt idx="125">
                  <c:v>12158</c:v>
                </c:pt>
                <c:pt idx="126">
                  <c:v>57090</c:v>
                </c:pt>
                <c:pt idx="127">
                  <c:v>111777</c:v>
                </c:pt>
                <c:pt idx="128">
                  <c:v>26704</c:v>
                </c:pt>
                <c:pt idx="129">
                  <c:v>71831</c:v>
                </c:pt>
                <c:pt idx="130">
                  <c:v>47597</c:v>
                </c:pt>
                <c:pt idx="131">
                  <c:v>63752</c:v>
                </c:pt>
                <c:pt idx="132">
                  <c:v>40434</c:v>
                </c:pt>
                <c:pt idx="133">
                  <c:v>0</c:v>
                </c:pt>
                <c:pt idx="134">
                  <c:v>23118</c:v>
                </c:pt>
                <c:pt idx="135">
                  <c:v>33626</c:v>
                </c:pt>
                <c:pt idx="136">
                  <c:v>49023</c:v>
                </c:pt>
                <c:pt idx="137">
                  <c:v>44018</c:v>
                </c:pt>
                <c:pt idx="138">
                  <c:v>153645</c:v>
                </c:pt>
                <c:pt idx="139">
                  <c:v>30551</c:v>
                </c:pt>
                <c:pt idx="140">
                  <c:v>40291</c:v>
                </c:pt>
                <c:pt idx="141">
                  <c:v>48649</c:v>
                </c:pt>
                <c:pt idx="142">
                  <c:v>23126</c:v>
                </c:pt>
                <c:pt idx="143">
                  <c:v>22803</c:v>
                </c:pt>
                <c:pt idx="144">
                  <c:v>61574</c:v>
                </c:pt>
                <c:pt idx="145">
                  <c:v>20410</c:v>
                </c:pt>
                <c:pt idx="146">
                  <c:v>81512</c:v>
                </c:pt>
                <c:pt idx="147">
                  <c:v>54378</c:v>
                </c:pt>
                <c:pt idx="148">
                  <c:v>103899</c:v>
                </c:pt>
                <c:pt idx="149">
                  <c:v>67993</c:v>
                </c:pt>
                <c:pt idx="150">
                  <c:v>38749</c:v>
                </c:pt>
                <c:pt idx="151">
                  <c:v>15506</c:v>
                </c:pt>
                <c:pt idx="152">
                  <c:v>67930</c:v>
                </c:pt>
                <c:pt idx="153">
                  <c:v>18500</c:v>
                </c:pt>
                <c:pt idx="154">
                  <c:v>303</c:v>
                </c:pt>
                <c:pt idx="155">
                  <c:v>13558</c:v>
                </c:pt>
                <c:pt idx="156">
                  <c:v>44214</c:v>
                </c:pt>
                <c:pt idx="157">
                  <c:v>162588</c:v>
                </c:pt>
                <c:pt idx="158">
                  <c:v>19823</c:v>
                </c:pt>
                <c:pt idx="159">
                  <c:v>53957</c:v>
                </c:pt>
                <c:pt idx="160">
                  <c:v>81088</c:v>
                </c:pt>
                <c:pt idx="161">
                  <c:v>21138</c:v>
                </c:pt>
                <c:pt idx="162">
                  <c:v>130660</c:v>
                </c:pt>
                <c:pt idx="163">
                  <c:v>71502</c:v>
                </c:pt>
                <c:pt idx="164">
                  <c:v>83643</c:v>
                </c:pt>
                <c:pt idx="165">
                  <c:v>70284</c:v>
                </c:pt>
                <c:pt idx="166">
                  <c:v>74516</c:v>
                </c:pt>
                <c:pt idx="167">
                  <c:v>100363</c:v>
                </c:pt>
                <c:pt idx="168">
                  <c:v>81360</c:v>
                </c:pt>
                <c:pt idx="169">
                  <c:v>868</c:v>
                </c:pt>
                <c:pt idx="170">
                  <c:v>105632</c:v>
                </c:pt>
                <c:pt idx="171">
                  <c:v>81081</c:v>
                </c:pt>
                <c:pt idx="172">
                  <c:v>39656</c:v>
                </c:pt>
                <c:pt idx="173">
                  <c:v>65452</c:v>
                </c:pt>
                <c:pt idx="174">
                  <c:v>123215</c:v>
                </c:pt>
                <c:pt idx="175">
                  <c:v>60741</c:v>
                </c:pt>
                <c:pt idx="176">
                  <c:v>204950</c:v>
                </c:pt>
                <c:pt idx="177">
                  <c:v>14683</c:v>
                </c:pt>
                <c:pt idx="178">
                  <c:v>37616</c:v>
                </c:pt>
                <c:pt idx="179">
                  <c:v>34270</c:v>
                </c:pt>
                <c:pt idx="180">
                  <c:v>17057</c:v>
                </c:pt>
                <c:pt idx="181">
                  <c:v>65677</c:v>
                </c:pt>
                <c:pt idx="182">
                  <c:v>84287</c:v>
                </c:pt>
                <c:pt idx="183">
                  <c:v>56512</c:v>
                </c:pt>
                <c:pt idx="184">
                  <c:v>64006</c:v>
                </c:pt>
                <c:pt idx="185">
                  <c:v>65714</c:v>
                </c:pt>
                <c:pt idx="186">
                  <c:v>99883</c:v>
                </c:pt>
                <c:pt idx="187">
                  <c:v>57610</c:v>
                </c:pt>
                <c:pt idx="188">
                  <c:v>40743</c:v>
                </c:pt>
                <c:pt idx="189">
                  <c:v>87091</c:v>
                </c:pt>
                <c:pt idx="190">
                  <c:v>151829</c:v>
                </c:pt>
                <c:pt idx="191">
                  <c:v>36104</c:v>
                </c:pt>
                <c:pt idx="192">
                  <c:v>41335</c:v>
                </c:pt>
                <c:pt idx="193">
                  <c:v>27462</c:v>
                </c:pt>
                <c:pt idx="194">
                  <c:v>20258</c:v>
                </c:pt>
                <c:pt idx="195">
                  <c:v>63833</c:v>
                </c:pt>
                <c:pt idx="196">
                  <c:v>15211</c:v>
                </c:pt>
                <c:pt idx="197">
                  <c:v>23959</c:v>
                </c:pt>
                <c:pt idx="198">
                  <c:v>32345</c:v>
                </c:pt>
                <c:pt idx="199">
                  <c:v>21540</c:v>
                </c:pt>
                <c:pt idx="200">
                  <c:v>67726</c:v>
                </c:pt>
                <c:pt idx="201">
                  <c:v>8948</c:v>
                </c:pt>
                <c:pt idx="202">
                  <c:v>44467</c:v>
                </c:pt>
                <c:pt idx="203">
                  <c:v>121177</c:v>
                </c:pt>
                <c:pt idx="204">
                  <c:v>73607</c:v>
                </c:pt>
                <c:pt idx="205">
                  <c:v>42603</c:v>
                </c:pt>
                <c:pt idx="206">
                  <c:v>67294</c:v>
                </c:pt>
                <c:pt idx="207">
                  <c:v>134744</c:v>
                </c:pt>
                <c:pt idx="208">
                  <c:v>75608</c:v>
                </c:pt>
                <c:pt idx="209">
                  <c:v>36783</c:v>
                </c:pt>
                <c:pt idx="210">
                  <c:v>16680</c:v>
                </c:pt>
                <c:pt idx="211">
                  <c:v>24423</c:v>
                </c:pt>
                <c:pt idx="212">
                  <c:v>23195</c:v>
                </c:pt>
                <c:pt idx="213">
                  <c:v>57058</c:v>
                </c:pt>
                <c:pt idx="214">
                  <c:v>68293</c:v>
                </c:pt>
                <c:pt idx="215">
                  <c:v>31422</c:v>
                </c:pt>
                <c:pt idx="216">
                  <c:v>24596</c:v>
                </c:pt>
                <c:pt idx="217">
                  <c:v>117377</c:v>
                </c:pt>
                <c:pt idx="218">
                  <c:v>61329</c:v>
                </c:pt>
                <c:pt idx="219">
                  <c:v>53672</c:v>
                </c:pt>
                <c:pt idx="220">
                  <c:v>18519</c:v>
                </c:pt>
                <c:pt idx="221">
                  <c:v>28742</c:v>
                </c:pt>
                <c:pt idx="222">
                  <c:v>65113</c:v>
                </c:pt>
                <c:pt idx="223">
                  <c:v>112561</c:v>
                </c:pt>
                <c:pt idx="224">
                  <c:v>49107</c:v>
                </c:pt>
                <c:pt idx="225">
                  <c:v>36653</c:v>
                </c:pt>
                <c:pt idx="226">
                  <c:v>22172</c:v>
                </c:pt>
                <c:pt idx="227">
                  <c:v>108891</c:v>
                </c:pt>
                <c:pt idx="228">
                  <c:v>17201</c:v>
                </c:pt>
                <c:pt idx="229">
                  <c:v>75441</c:v>
                </c:pt>
                <c:pt idx="230">
                  <c:v>58779</c:v>
                </c:pt>
                <c:pt idx="231">
                  <c:v>63738</c:v>
                </c:pt>
                <c:pt idx="232">
                  <c:v>41728</c:v>
                </c:pt>
                <c:pt idx="233">
                  <c:v>78487</c:v>
                </c:pt>
                <c:pt idx="234">
                  <c:v>69216</c:v>
                </c:pt>
                <c:pt idx="235">
                  <c:v>74018</c:v>
                </c:pt>
                <c:pt idx="236">
                  <c:v>41702</c:v>
                </c:pt>
                <c:pt idx="237">
                  <c:v>15157</c:v>
                </c:pt>
                <c:pt idx="238">
                  <c:v>3053</c:v>
                </c:pt>
                <c:pt idx="239">
                  <c:v>63393</c:v>
                </c:pt>
                <c:pt idx="240">
                  <c:v>586</c:v>
                </c:pt>
                <c:pt idx="241">
                  <c:v>103123</c:v>
                </c:pt>
                <c:pt idx="242">
                  <c:v>74064</c:v>
                </c:pt>
                <c:pt idx="243">
                  <c:v>38693</c:v>
                </c:pt>
                <c:pt idx="244">
                  <c:v>8702</c:v>
                </c:pt>
                <c:pt idx="245">
                  <c:v>41147</c:v>
                </c:pt>
                <c:pt idx="246">
                  <c:v>72696</c:v>
                </c:pt>
                <c:pt idx="247">
                  <c:v>222</c:v>
                </c:pt>
                <c:pt idx="248">
                  <c:v>19880</c:v>
                </c:pt>
                <c:pt idx="249">
                  <c:v>8754</c:v>
                </c:pt>
                <c:pt idx="250">
                  <c:v>53738</c:v>
                </c:pt>
                <c:pt idx="251">
                  <c:v>49797</c:v>
                </c:pt>
                <c:pt idx="252">
                  <c:v>17061</c:v>
                </c:pt>
                <c:pt idx="253">
                  <c:v>53378</c:v>
                </c:pt>
                <c:pt idx="254">
                  <c:v>36553</c:v>
                </c:pt>
                <c:pt idx="255">
                  <c:v>92204</c:v>
                </c:pt>
                <c:pt idx="256">
                  <c:v>46032</c:v>
                </c:pt>
                <c:pt idx="257">
                  <c:v>164860</c:v>
                </c:pt>
                <c:pt idx="258">
                  <c:v>20390</c:v>
                </c:pt>
                <c:pt idx="259">
                  <c:v>411</c:v>
                </c:pt>
                <c:pt idx="260">
                  <c:v>362528</c:v>
                </c:pt>
                <c:pt idx="261">
                  <c:v>84012</c:v>
                </c:pt>
                <c:pt idx="262">
                  <c:v>11932</c:v>
                </c:pt>
                <c:pt idx="263">
                  <c:v>87820</c:v>
                </c:pt>
                <c:pt idx="264">
                  <c:v>63677</c:v>
                </c:pt>
                <c:pt idx="265">
                  <c:v>41408</c:v>
                </c:pt>
                <c:pt idx="266">
                  <c:v>687</c:v>
                </c:pt>
                <c:pt idx="267">
                  <c:v>24043</c:v>
                </c:pt>
                <c:pt idx="268">
                  <c:v>18083</c:v>
                </c:pt>
                <c:pt idx="269">
                  <c:v>21621</c:v>
                </c:pt>
                <c:pt idx="270">
                  <c:v>45731</c:v>
                </c:pt>
                <c:pt idx="271">
                  <c:v>-989</c:v>
                </c:pt>
                <c:pt idx="272">
                  <c:v>66338</c:v>
                </c:pt>
                <c:pt idx="273">
                  <c:v>63322</c:v>
                </c:pt>
                <c:pt idx="274">
                  <c:v>19786</c:v>
                </c:pt>
                <c:pt idx="275">
                  <c:v>46660</c:v>
                </c:pt>
                <c:pt idx="276">
                  <c:v>115874</c:v>
                </c:pt>
                <c:pt idx="277">
                  <c:v>23868</c:v>
                </c:pt>
                <c:pt idx="278">
                  <c:v>43868</c:v>
                </c:pt>
                <c:pt idx="279">
                  <c:v>10966</c:v>
                </c:pt>
                <c:pt idx="280">
                  <c:v>75468</c:v>
                </c:pt>
                <c:pt idx="281">
                  <c:v>19340</c:v>
                </c:pt>
                <c:pt idx="282">
                  <c:v>204515</c:v>
                </c:pt>
                <c:pt idx="283">
                  <c:v>76777</c:v>
                </c:pt>
                <c:pt idx="284">
                  <c:v>22865</c:v>
                </c:pt>
                <c:pt idx="285">
                  <c:v>170613</c:v>
                </c:pt>
                <c:pt idx="286">
                  <c:v>39073</c:v>
                </c:pt>
                <c:pt idx="287">
                  <c:v>22825</c:v>
                </c:pt>
                <c:pt idx="288">
                  <c:v>68022</c:v>
                </c:pt>
                <c:pt idx="289">
                  <c:v>15649</c:v>
                </c:pt>
                <c:pt idx="290">
                  <c:v>14902</c:v>
                </c:pt>
                <c:pt idx="291">
                  <c:v>50117</c:v>
                </c:pt>
                <c:pt idx="292">
                  <c:v>10032</c:v>
                </c:pt>
                <c:pt idx="293">
                  <c:v>145393</c:v>
                </c:pt>
                <c:pt idx="294">
                  <c:v>1530</c:v>
                </c:pt>
                <c:pt idx="295">
                  <c:v>45494</c:v>
                </c:pt>
                <c:pt idx="296">
                  <c:v>33927</c:v>
                </c:pt>
                <c:pt idx="297">
                  <c:v>40478</c:v>
                </c:pt>
                <c:pt idx="298">
                  <c:v>48598</c:v>
                </c:pt>
                <c:pt idx="299">
                  <c:v>64041</c:v>
                </c:pt>
                <c:pt idx="300">
                  <c:v>278</c:v>
                </c:pt>
                <c:pt idx="301">
                  <c:v>107092</c:v>
                </c:pt>
                <c:pt idx="302">
                  <c:v>3202</c:v>
                </c:pt>
                <c:pt idx="303">
                  <c:v>45498</c:v>
                </c:pt>
                <c:pt idx="304">
                  <c:v>68615</c:v>
                </c:pt>
                <c:pt idx="305">
                  <c:v>31488</c:v>
                </c:pt>
                <c:pt idx="306">
                  <c:v>38450</c:v>
                </c:pt>
                <c:pt idx="307">
                  <c:v>41728</c:v>
                </c:pt>
                <c:pt idx="308">
                  <c:v>52404</c:v>
                </c:pt>
                <c:pt idx="309">
                  <c:v>15171</c:v>
                </c:pt>
                <c:pt idx="310">
                  <c:v>74453</c:v>
                </c:pt>
                <c:pt idx="311">
                  <c:v>19648</c:v>
                </c:pt>
                <c:pt idx="312">
                  <c:v>80271</c:v>
                </c:pt>
                <c:pt idx="313">
                  <c:v>119681</c:v>
                </c:pt>
                <c:pt idx="314">
                  <c:v>2629</c:v>
                </c:pt>
                <c:pt idx="315">
                  <c:v>130322</c:v>
                </c:pt>
                <c:pt idx="316">
                  <c:v>42586</c:v>
                </c:pt>
                <c:pt idx="317">
                  <c:v>116709</c:v>
                </c:pt>
                <c:pt idx="318">
                  <c:v>77766</c:v>
                </c:pt>
                <c:pt idx="319">
                  <c:v>76166</c:v>
                </c:pt>
                <c:pt idx="320">
                  <c:v>28863</c:v>
                </c:pt>
                <c:pt idx="321">
                  <c:v>45633</c:v>
                </c:pt>
                <c:pt idx="322">
                  <c:v>75128</c:v>
                </c:pt>
                <c:pt idx="323">
                  <c:v>78897</c:v>
                </c:pt>
                <c:pt idx="324">
                  <c:v>67510</c:v>
                </c:pt>
                <c:pt idx="325">
                  <c:v>43561</c:v>
                </c:pt>
                <c:pt idx="326">
                  <c:v>59184</c:v>
                </c:pt>
                <c:pt idx="327">
                  <c:v>69530</c:v>
                </c:pt>
                <c:pt idx="328">
                  <c:v>138540</c:v>
                </c:pt>
                <c:pt idx="329">
                  <c:v>49108</c:v>
                </c:pt>
                <c:pt idx="330">
                  <c:v>48662</c:v>
                </c:pt>
                <c:pt idx="331">
                  <c:v>37481</c:v>
                </c:pt>
                <c:pt idx="332">
                  <c:v>65253</c:v>
                </c:pt>
                <c:pt idx="333">
                  <c:v>59928</c:v>
                </c:pt>
                <c:pt idx="334">
                  <c:v>11159</c:v>
                </c:pt>
                <c:pt idx="335">
                  <c:v>58984</c:v>
                </c:pt>
                <c:pt idx="336">
                  <c:v>91953</c:v>
                </c:pt>
                <c:pt idx="337">
                  <c:v>106104</c:v>
                </c:pt>
                <c:pt idx="338">
                  <c:v>15205</c:v>
                </c:pt>
                <c:pt idx="339">
                  <c:v>36653</c:v>
                </c:pt>
                <c:pt idx="340">
                  <c:v>27258</c:v>
                </c:pt>
                <c:pt idx="341">
                  <c:v>24223</c:v>
                </c:pt>
                <c:pt idx="342">
                  <c:v>41210</c:v>
                </c:pt>
                <c:pt idx="343">
                  <c:v>177747</c:v>
                </c:pt>
                <c:pt idx="344">
                  <c:v>26670</c:v>
                </c:pt>
                <c:pt idx="345">
                  <c:v>6392</c:v>
                </c:pt>
                <c:pt idx="346">
                  <c:v>64042</c:v>
                </c:pt>
                <c:pt idx="347">
                  <c:v>59677</c:v>
                </c:pt>
                <c:pt idx="348">
                  <c:v>205028</c:v>
                </c:pt>
                <c:pt idx="349">
                  <c:v>121759</c:v>
                </c:pt>
                <c:pt idx="350">
                  <c:v>50248</c:v>
                </c:pt>
                <c:pt idx="351">
                  <c:v>81260</c:v>
                </c:pt>
                <c:pt idx="352">
                  <c:v>26314</c:v>
                </c:pt>
                <c:pt idx="353">
                  <c:v>308266</c:v>
                </c:pt>
                <c:pt idx="354">
                  <c:v>94643</c:v>
                </c:pt>
                <c:pt idx="355">
                  <c:v>14091</c:v>
                </c:pt>
                <c:pt idx="356">
                  <c:v>37766</c:v>
                </c:pt>
                <c:pt idx="357">
                  <c:v>91854</c:v>
                </c:pt>
                <c:pt idx="358">
                  <c:v>14003</c:v>
                </c:pt>
                <c:pt idx="359">
                  <c:v>101018</c:v>
                </c:pt>
                <c:pt idx="360">
                  <c:v>88363</c:v>
                </c:pt>
                <c:pt idx="361">
                  <c:v>125755</c:v>
                </c:pt>
                <c:pt idx="362">
                  <c:v>102712</c:v>
                </c:pt>
                <c:pt idx="363">
                  <c:v>62999</c:v>
                </c:pt>
                <c:pt idx="364">
                  <c:v>35008</c:v>
                </c:pt>
                <c:pt idx="365">
                  <c:v>37744</c:v>
                </c:pt>
                <c:pt idx="366">
                  <c:v>1011</c:v>
                </c:pt>
                <c:pt idx="367">
                  <c:v>23655</c:v>
                </c:pt>
                <c:pt idx="368">
                  <c:v>488320</c:v>
                </c:pt>
                <c:pt idx="369">
                  <c:v>39860</c:v>
                </c:pt>
                <c:pt idx="370">
                  <c:v>151110</c:v>
                </c:pt>
                <c:pt idx="371">
                  <c:v>308194</c:v>
                </c:pt>
                <c:pt idx="372">
                  <c:v>18363</c:v>
                </c:pt>
                <c:pt idx="373">
                  <c:v>181275</c:v>
                </c:pt>
                <c:pt idx="374">
                  <c:v>78850</c:v>
                </c:pt>
                <c:pt idx="375">
                  <c:v>41389</c:v>
                </c:pt>
                <c:pt idx="376">
                  <c:v>87181</c:v>
                </c:pt>
                <c:pt idx="377">
                  <c:v>38618</c:v>
                </c:pt>
                <c:pt idx="378">
                  <c:v>108263</c:v>
                </c:pt>
                <c:pt idx="379">
                  <c:v>164958</c:v>
                </c:pt>
                <c:pt idx="380">
                  <c:v>33655</c:v>
                </c:pt>
                <c:pt idx="381">
                  <c:v>69036</c:v>
                </c:pt>
                <c:pt idx="382">
                  <c:v>74892</c:v>
                </c:pt>
                <c:pt idx="383">
                  <c:v>96112</c:v>
                </c:pt>
                <c:pt idx="384">
                  <c:v>30087</c:v>
                </c:pt>
                <c:pt idx="385">
                  <c:v>91742</c:v>
                </c:pt>
                <c:pt idx="386">
                  <c:v>28828</c:v>
                </c:pt>
                <c:pt idx="387">
                  <c:v>64806</c:v>
                </c:pt>
                <c:pt idx="388">
                  <c:v>35360</c:v>
                </c:pt>
                <c:pt idx="389">
                  <c:v>72218</c:v>
                </c:pt>
                <c:pt idx="390">
                  <c:v>79835</c:v>
                </c:pt>
                <c:pt idx="391">
                  <c:v>85896</c:v>
                </c:pt>
                <c:pt idx="392">
                  <c:v>51113</c:v>
                </c:pt>
                <c:pt idx="393">
                  <c:v>50304</c:v>
                </c:pt>
                <c:pt idx="394">
                  <c:v>15571</c:v>
                </c:pt>
                <c:pt idx="395">
                  <c:v>81769</c:v>
                </c:pt>
                <c:pt idx="396">
                  <c:v>1144</c:v>
                </c:pt>
                <c:pt idx="397">
                  <c:v>19039</c:v>
                </c:pt>
                <c:pt idx="398">
                  <c:v>31289</c:v>
                </c:pt>
                <c:pt idx="399">
                  <c:v>12492</c:v>
                </c:pt>
                <c:pt idx="400">
                  <c:v>34940</c:v>
                </c:pt>
                <c:pt idx="401">
                  <c:v>14743</c:v>
                </c:pt>
                <c:pt idx="402">
                  <c:v>59661</c:v>
                </c:pt>
                <c:pt idx="403">
                  <c:v>37787</c:v>
                </c:pt>
                <c:pt idx="404">
                  <c:v>67807</c:v>
                </c:pt>
                <c:pt idx="405">
                  <c:v>66885</c:v>
                </c:pt>
                <c:pt idx="406">
                  <c:v>32101</c:v>
                </c:pt>
                <c:pt idx="407">
                  <c:v>73390</c:v>
                </c:pt>
                <c:pt idx="408">
                  <c:v>61922</c:v>
                </c:pt>
                <c:pt idx="409">
                  <c:v>215808</c:v>
                </c:pt>
                <c:pt idx="410">
                  <c:v>9150</c:v>
                </c:pt>
                <c:pt idx="411">
                  <c:v>56215</c:v>
                </c:pt>
                <c:pt idx="412">
                  <c:v>45100</c:v>
                </c:pt>
                <c:pt idx="413">
                  <c:v>57408</c:v>
                </c:pt>
                <c:pt idx="414">
                  <c:v>72575</c:v>
                </c:pt>
                <c:pt idx="415">
                  <c:v>7581</c:v>
                </c:pt>
                <c:pt idx="416">
                  <c:v>12457</c:v>
                </c:pt>
                <c:pt idx="417">
                  <c:v>60686</c:v>
                </c:pt>
                <c:pt idx="418">
                  <c:v>65324</c:v>
                </c:pt>
                <c:pt idx="419">
                  <c:v>84938</c:v>
                </c:pt>
                <c:pt idx="420">
                  <c:v>55</c:v>
                </c:pt>
                <c:pt idx="421">
                  <c:v>33227</c:v>
                </c:pt>
                <c:pt idx="422">
                  <c:v>259130</c:v>
                </c:pt>
                <c:pt idx="423">
                  <c:v>19372</c:v>
                </c:pt>
                <c:pt idx="424">
                  <c:v>34027</c:v>
                </c:pt>
                <c:pt idx="425">
                  <c:v>11742</c:v>
                </c:pt>
                <c:pt idx="426">
                  <c:v>47796</c:v>
                </c:pt>
                <c:pt idx="427">
                  <c:v>177360</c:v>
                </c:pt>
                <c:pt idx="428">
                  <c:v>103878</c:v>
                </c:pt>
                <c:pt idx="429">
                  <c:v>63636</c:v>
                </c:pt>
                <c:pt idx="430">
                  <c:v>38585</c:v>
                </c:pt>
                <c:pt idx="431">
                  <c:v>13962</c:v>
                </c:pt>
                <c:pt idx="432">
                  <c:v>34362</c:v>
                </c:pt>
                <c:pt idx="433">
                  <c:v>23269</c:v>
                </c:pt>
                <c:pt idx="434">
                  <c:v>81530</c:v>
                </c:pt>
                <c:pt idx="435">
                  <c:v>87487</c:v>
                </c:pt>
                <c:pt idx="436">
                  <c:v>84164</c:v>
                </c:pt>
                <c:pt idx="437">
                  <c:v>19278</c:v>
                </c:pt>
                <c:pt idx="438">
                  <c:v>28460</c:v>
                </c:pt>
                <c:pt idx="439">
                  <c:v>20102</c:v>
                </c:pt>
                <c:pt idx="440">
                  <c:v>86061</c:v>
                </c:pt>
                <c:pt idx="441">
                  <c:v>34008</c:v>
                </c:pt>
                <c:pt idx="442">
                  <c:v>65604</c:v>
                </c:pt>
                <c:pt idx="443">
                  <c:v>23041</c:v>
                </c:pt>
                <c:pt idx="444">
                  <c:v>49826</c:v>
                </c:pt>
                <c:pt idx="445">
                  <c:v>53978</c:v>
                </c:pt>
                <c:pt idx="446">
                  <c:v>45598</c:v>
                </c:pt>
                <c:pt idx="447">
                  <c:v>16347</c:v>
                </c:pt>
                <c:pt idx="448">
                  <c:v>52820</c:v>
                </c:pt>
                <c:pt idx="449">
                  <c:v>196896</c:v>
                </c:pt>
                <c:pt idx="450">
                  <c:v>68475</c:v>
                </c:pt>
                <c:pt idx="451">
                  <c:v>22999</c:v>
                </c:pt>
                <c:pt idx="452">
                  <c:v>112532</c:v>
                </c:pt>
                <c:pt idx="453">
                  <c:v>70096</c:v>
                </c:pt>
                <c:pt idx="454">
                  <c:v>51388</c:v>
                </c:pt>
                <c:pt idx="455">
                  <c:v>80691</c:v>
                </c:pt>
                <c:pt idx="456">
                  <c:v>12875</c:v>
                </c:pt>
                <c:pt idx="457">
                  <c:v>66797</c:v>
                </c:pt>
                <c:pt idx="458">
                  <c:v>60159</c:v>
                </c:pt>
                <c:pt idx="459">
                  <c:v>2731</c:v>
                </c:pt>
                <c:pt idx="460">
                  <c:v>60031</c:v>
                </c:pt>
                <c:pt idx="461">
                  <c:v>39657</c:v>
                </c:pt>
                <c:pt idx="462">
                  <c:v>45622</c:v>
                </c:pt>
                <c:pt idx="463">
                  <c:v>76989</c:v>
                </c:pt>
                <c:pt idx="464">
                  <c:v>3687</c:v>
                </c:pt>
                <c:pt idx="465">
                  <c:v>43819</c:v>
                </c:pt>
                <c:pt idx="466">
                  <c:v>77295</c:v>
                </c:pt>
                <c:pt idx="467">
                  <c:v>57962</c:v>
                </c:pt>
                <c:pt idx="468">
                  <c:v>81639</c:v>
                </c:pt>
                <c:pt idx="469">
                  <c:v>8764</c:v>
                </c:pt>
                <c:pt idx="470">
                  <c:v>144106</c:v>
                </c:pt>
                <c:pt idx="471">
                  <c:v>21902</c:v>
                </c:pt>
                <c:pt idx="472">
                  <c:v>38707</c:v>
                </c:pt>
                <c:pt idx="473">
                  <c:v>67891</c:v>
                </c:pt>
                <c:pt idx="474">
                  <c:v>144994</c:v>
                </c:pt>
                <c:pt idx="475">
                  <c:v>39871</c:v>
                </c:pt>
                <c:pt idx="476">
                  <c:v>97853</c:v>
                </c:pt>
                <c:pt idx="477">
                  <c:v>60979</c:v>
                </c:pt>
                <c:pt idx="478">
                  <c:v>87680</c:v>
                </c:pt>
                <c:pt idx="479">
                  <c:v>92333</c:v>
                </c:pt>
                <c:pt idx="480">
                  <c:v>72324</c:v>
                </c:pt>
                <c:pt idx="481">
                  <c:v>34884</c:v>
                </c:pt>
                <c:pt idx="482">
                  <c:v>78906</c:v>
                </c:pt>
                <c:pt idx="483">
                  <c:v>8035</c:v>
                </c:pt>
                <c:pt idx="484">
                  <c:v>34772</c:v>
                </c:pt>
                <c:pt idx="485">
                  <c:v>51584</c:v>
                </c:pt>
                <c:pt idx="486">
                  <c:v>43261</c:v>
                </c:pt>
                <c:pt idx="487">
                  <c:v>65772</c:v>
                </c:pt>
                <c:pt idx="488">
                  <c:v>133661</c:v>
                </c:pt>
                <c:pt idx="489">
                  <c:v>77401</c:v>
                </c:pt>
                <c:pt idx="490">
                  <c:v>12723</c:v>
                </c:pt>
                <c:pt idx="491">
                  <c:v>29394</c:v>
                </c:pt>
                <c:pt idx="492">
                  <c:v>39927</c:v>
                </c:pt>
                <c:pt idx="493">
                  <c:v>130740</c:v>
                </c:pt>
                <c:pt idx="494">
                  <c:v>46461</c:v>
                </c:pt>
                <c:pt idx="495">
                  <c:v>67632</c:v>
                </c:pt>
                <c:pt idx="496">
                  <c:v>110728</c:v>
                </c:pt>
                <c:pt idx="497">
                  <c:v>2364</c:v>
                </c:pt>
                <c:pt idx="498">
                  <c:v>75547</c:v>
                </c:pt>
                <c:pt idx="499">
                  <c:v>45100</c:v>
                </c:pt>
                <c:pt idx="500">
                  <c:v>51449</c:v>
                </c:pt>
                <c:pt idx="501">
                  <c:v>111011</c:v>
                </c:pt>
                <c:pt idx="502">
                  <c:v>99465</c:v>
                </c:pt>
                <c:pt idx="503">
                  <c:v>43529</c:v>
                </c:pt>
                <c:pt idx="504">
                  <c:v>57321</c:v>
                </c:pt>
                <c:pt idx="505">
                  <c:v>96524</c:v>
                </c:pt>
                <c:pt idx="506">
                  <c:v>74897</c:v>
                </c:pt>
                <c:pt idx="507">
                  <c:v>84918</c:v>
                </c:pt>
                <c:pt idx="508">
                  <c:v>32111</c:v>
                </c:pt>
                <c:pt idx="509">
                  <c:v>103097</c:v>
                </c:pt>
                <c:pt idx="510">
                  <c:v>41222</c:v>
                </c:pt>
                <c:pt idx="511">
                  <c:v>15263</c:v>
                </c:pt>
                <c:pt idx="512">
                  <c:v>34985</c:v>
                </c:pt>
                <c:pt idx="513">
                  <c:v>55677</c:v>
                </c:pt>
                <c:pt idx="514">
                  <c:v>32695</c:v>
                </c:pt>
                <c:pt idx="515">
                  <c:v>214767</c:v>
                </c:pt>
                <c:pt idx="516">
                  <c:v>35588</c:v>
                </c:pt>
                <c:pt idx="517">
                  <c:v>38729</c:v>
                </c:pt>
                <c:pt idx="518">
                  <c:v>19963</c:v>
                </c:pt>
                <c:pt idx="519">
                  <c:v>33963</c:v>
                </c:pt>
                <c:pt idx="520">
                  <c:v>-192</c:v>
                </c:pt>
                <c:pt idx="521">
                  <c:v>87649</c:v>
                </c:pt>
                <c:pt idx="522">
                  <c:v>74993</c:v>
                </c:pt>
                <c:pt idx="523">
                  <c:v>33402</c:v>
                </c:pt>
                <c:pt idx="524">
                  <c:v>39656</c:v>
                </c:pt>
                <c:pt idx="525">
                  <c:v>67007</c:v>
                </c:pt>
                <c:pt idx="526">
                  <c:v>75178</c:v>
                </c:pt>
                <c:pt idx="527">
                  <c:v>13433</c:v>
                </c:pt>
                <c:pt idx="528">
                  <c:v>17622</c:v>
                </c:pt>
                <c:pt idx="529">
                  <c:v>17979</c:v>
                </c:pt>
                <c:pt idx="530">
                  <c:v>23328</c:v>
                </c:pt>
                <c:pt idx="531">
                  <c:v>69146</c:v>
                </c:pt>
                <c:pt idx="532">
                  <c:v>57304</c:v>
                </c:pt>
                <c:pt idx="533">
                  <c:v>5908</c:v>
                </c:pt>
                <c:pt idx="534">
                  <c:v>44531</c:v>
                </c:pt>
                <c:pt idx="535">
                  <c:v>19884</c:v>
                </c:pt>
                <c:pt idx="536">
                  <c:v>38875</c:v>
                </c:pt>
                <c:pt idx="537">
                  <c:v>32784</c:v>
                </c:pt>
                <c:pt idx="538">
                  <c:v>1866</c:v>
                </c:pt>
                <c:pt idx="539">
                  <c:v>81416</c:v>
                </c:pt>
                <c:pt idx="540">
                  <c:v>18203</c:v>
                </c:pt>
                <c:pt idx="541">
                  <c:v>74260</c:v>
                </c:pt>
                <c:pt idx="542">
                  <c:v>81360</c:v>
                </c:pt>
                <c:pt idx="543">
                  <c:v>73807</c:v>
                </c:pt>
                <c:pt idx="544">
                  <c:v>80476</c:v>
                </c:pt>
                <c:pt idx="545">
                  <c:v>69025</c:v>
                </c:pt>
                <c:pt idx="546">
                  <c:v>185032</c:v>
                </c:pt>
                <c:pt idx="547">
                  <c:v>17583</c:v>
                </c:pt>
                <c:pt idx="548">
                  <c:v>29235</c:v>
                </c:pt>
                <c:pt idx="549">
                  <c:v>33514</c:v>
                </c:pt>
                <c:pt idx="550">
                  <c:v>54436</c:v>
                </c:pt>
                <c:pt idx="551">
                  <c:v>72866</c:v>
                </c:pt>
                <c:pt idx="552">
                  <c:v>56080</c:v>
                </c:pt>
                <c:pt idx="553">
                  <c:v>92216</c:v>
                </c:pt>
                <c:pt idx="554">
                  <c:v>101435</c:v>
                </c:pt>
                <c:pt idx="555">
                  <c:v>47949</c:v>
                </c:pt>
                <c:pt idx="556">
                  <c:v>41048</c:v>
                </c:pt>
                <c:pt idx="557">
                  <c:v>22108</c:v>
                </c:pt>
                <c:pt idx="558">
                  <c:v>106867</c:v>
                </c:pt>
                <c:pt idx="559">
                  <c:v>13695</c:v>
                </c:pt>
                <c:pt idx="560">
                  <c:v>29608</c:v>
                </c:pt>
                <c:pt idx="561">
                  <c:v>135187</c:v>
                </c:pt>
                <c:pt idx="562">
                  <c:v>5448</c:v>
                </c:pt>
                <c:pt idx="563">
                  <c:v>57626</c:v>
                </c:pt>
                <c:pt idx="564">
                  <c:v>21353</c:v>
                </c:pt>
                <c:pt idx="565">
                  <c:v>40308</c:v>
                </c:pt>
                <c:pt idx="566">
                  <c:v>59108</c:v>
                </c:pt>
                <c:pt idx="567">
                  <c:v>30611</c:v>
                </c:pt>
                <c:pt idx="568">
                  <c:v>63198</c:v>
                </c:pt>
                <c:pt idx="569">
                  <c:v>19465</c:v>
                </c:pt>
                <c:pt idx="570">
                  <c:v>42883</c:v>
                </c:pt>
                <c:pt idx="571">
                  <c:v>119172</c:v>
                </c:pt>
                <c:pt idx="572">
                  <c:v>66396</c:v>
                </c:pt>
                <c:pt idx="573">
                  <c:v>137693</c:v>
                </c:pt>
                <c:pt idx="574">
                  <c:v>87853</c:v>
                </c:pt>
                <c:pt idx="575">
                  <c:v>9631</c:v>
                </c:pt>
                <c:pt idx="576">
                  <c:v>80250</c:v>
                </c:pt>
                <c:pt idx="577">
                  <c:v>34933</c:v>
                </c:pt>
                <c:pt idx="578">
                  <c:v>237801</c:v>
                </c:pt>
                <c:pt idx="579">
                  <c:v>81663</c:v>
                </c:pt>
                <c:pt idx="580">
                  <c:v>91021</c:v>
                </c:pt>
                <c:pt idx="581">
                  <c:v>4044</c:v>
                </c:pt>
                <c:pt idx="582">
                  <c:v>5990</c:v>
                </c:pt>
                <c:pt idx="583">
                  <c:v>62292</c:v>
                </c:pt>
                <c:pt idx="584">
                  <c:v>105916</c:v>
                </c:pt>
                <c:pt idx="585">
                  <c:v>47672</c:v>
                </c:pt>
                <c:pt idx="586">
                  <c:v>24936</c:v>
                </c:pt>
                <c:pt idx="587">
                  <c:v>39321</c:v>
                </c:pt>
                <c:pt idx="588">
                  <c:v>31208</c:v>
                </c:pt>
                <c:pt idx="589">
                  <c:v>821</c:v>
                </c:pt>
                <c:pt idx="590">
                  <c:v>54942</c:v>
                </c:pt>
                <c:pt idx="591">
                  <c:v>83915</c:v>
                </c:pt>
                <c:pt idx="592">
                  <c:v>1681</c:v>
                </c:pt>
                <c:pt idx="593">
                  <c:v>145000</c:v>
                </c:pt>
                <c:pt idx="594">
                  <c:v>48411</c:v>
                </c:pt>
                <c:pt idx="595">
                  <c:v>40311</c:v>
                </c:pt>
                <c:pt idx="596">
                  <c:v>105741</c:v>
                </c:pt>
                <c:pt idx="597">
                  <c:v>33833</c:v>
                </c:pt>
                <c:pt idx="598">
                  <c:v>39456</c:v>
                </c:pt>
                <c:pt idx="599">
                  <c:v>133990</c:v>
                </c:pt>
                <c:pt idx="600">
                  <c:v>22587</c:v>
                </c:pt>
                <c:pt idx="601">
                  <c:v>4439</c:v>
                </c:pt>
                <c:pt idx="602">
                  <c:v>88399</c:v>
                </c:pt>
                <c:pt idx="603">
                  <c:v>59934</c:v>
                </c:pt>
                <c:pt idx="604">
                  <c:v>142548</c:v>
                </c:pt>
                <c:pt idx="605">
                  <c:v>82428</c:v>
                </c:pt>
                <c:pt idx="606">
                  <c:v>13129</c:v>
                </c:pt>
                <c:pt idx="607">
                  <c:v>15146</c:v>
                </c:pt>
                <c:pt idx="608">
                  <c:v>60783</c:v>
                </c:pt>
                <c:pt idx="609">
                  <c:v>177</c:v>
                </c:pt>
                <c:pt idx="610">
                  <c:v>21706</c:v>
                </c:pt>
                <c:pt idx="611">
                  <c:v>215415</c:v>
                </c:pt>
                <c:pt idx="612">
                  <c:v>3</c:v>
                </c:pt>
                <c:pt idx="613">
                  <c:v>12694</c:v>
                </c:pt>
                <c:pt idx="614">
                  <c:v>76009</c:v>
                </c:pt>
                <c:pt idx="615">
                  <c:v>43753</c:v>
                </c:pt>
                <c:pt idx="616">
                  <c:v>49545</c:v>
                </c:pt>
                <c:pt idx="617">
                  <c:v>158820</c:v>
                </c:pt>
                <c:pt idx="618">
                  <c:v>54082</c:v>
                </c:pt>
                <c:pt idx="619">
                  <c:v>39567</c:v>
                </c:pt>
                <c:pt idx="620">
                  <c:v>901</c:v>
                </c:pt>
                <c:pt idx="621">
                  <c:v>11117</c:v>
                </c:pt>
                <c:pt idx="622">
                  <c:v>92653</c:v>
                </c:pt>
                <c:pt idx="623">
                  <c:v>127193</c:v>
                </c:pt>
                <c:pt idx="624">
                  <c:v>11963</c:v>
                </c:pt>
                <c:pt idx="625">
                  <c:v>129812</c:v>
                </c:pt>
                <c:pt idx="626">
                  <c:v>6611</c:v>
                </c:pt>
                <c:pt idx="627">
                  <c:v>36406</c:v>
                </c:pt>
                <c:pt idx="628">
                  <c:v>83674</c:v>
                </c:pt>
                <c:pt idx="629">
                  <c:v>37169</c:v>
                </c:pt>
                <c:pt idx="630">
                  <c:v>99167</c:v>
                </c:pt>
                <c:pt idx="631">
                  <c:v>49651</c:v>
                </c:pt>
                <c:pt idx="632">
                  <c:v>48603</c:v>
                </c:pt>
                <c:pt idx="633">
                  <c:v>1187</c:v>
                </c:pt>
                <c:pt idx="634">
                  <c:v>26551</c:v>
                </c:pt>
                <c:pt idx="635">
                  <c:v>49649</c:v>
                </c:pt>
                <c:pt idx="636">
                  <c:v>20337</c:v>
                </c:pt>
                <c:pt idx="637">
                  <c:v>40411</c:v>
                </c:pt>
                <c:pt idx="638">
                  <c:v>736</c:v>
                </c:pt>
                <c:pt idx="639">
                  <c:v>253296</c:v>
                </c:pt>
                <c:pt idx="640">
                  <c:v>39295</c:v>
                </c:pt>
                <c:pt idx="641">
                  <c:v>33824</c:v>
                </c:pt>
                <c:pt idx="642">
                  <c:v>5175</c:v>
                </c:pt>
                <c:pt idx="643">
                  <c:v>17679</c:v>
                </c:pt>
                <c:pt idx="644">
                  <c:v>10504</c:v>
                </c:pt>
                <c:pt idx="645">
                  <c:v>45279</c:v>
                </c:pt>
                <c:pt idx="646">
                  <c:v>175816</c:v>
                </c:pt>
                <c:pt idx="647">
                  <c:v>54064</c:v>
                </c:pt>
                <c:pt idx="648">
                  <c:v>85665</c:v>
                </c:pt>
                <c:pt idx="649">
                  <c:v>33202</c:v>
                </c:pt>
                <c:pt idx="650">
                  <c:v>22870</c:v>
                </c:pt>
                <c:pt idx="651">
                  <c:v>61229</c:v>
                </c:pt>
                <c:pt idx="652">
                  <c:v>6260</c:v>
                </c:pt>
                <c:pt idx="653">
                  <c:v>45573</c:v>
                </c:pt>
                <c:pt idx="654">
                  <c:v>32718</c:v>
                </c:pt>
                <c:pt idx="655">
                  <c:v>17334</c:v>
                </c:pt>
                <c:pt idx="656">
                  <c:v>64514</c:v>
                </c:pt>
                <c:pt idx="657">
                  <c:v>33678</c:v>
                </c:pt>
                <c:pt idx="658">
                  <c:v>30975</c:v>
                </c:pt>
                <c:pt idx="659">
                  <c:v>40486</c:v>
                </c:pt>
                <c:pt idx="660">
                  <c:v>31818</c:v>
                </c:pt>
                <c:pt idx="661">
                  <c:v>45130</c:v>
                </c:pt>
                <c:pt idx="662">
                  <c:v>5200</c:v>
                </c:pt>
                <c:pt idx="663">
                  <c:v>62812</c:v>
                </c:pt>
                <c:pt idx="664">
                  <c:v>33930</c:v>
                </c:pt>
                <c:pt idx="665">
                  <c:v>3</c:v>
                </c:pt>
                <c:pt idx="666">
                  <c:v>52340</c:v>
                </c:pt>
                <c:pt idx="667">
                  <c:v>17570</c:v>
                </c:pt>
                <c:pt idx="668">
                  <c:v>41594</c:v>
                </c:pt>
                <c:pt idx="669">
                  <c:v>499</c:v>
                </c:pt>
                <c:pt idx="670">
                  <c:v>32571</c:v>
                </c:pt>
                <c:pt idx="671">
                  <c:v>39858</c:v>
                </c:pt>
                <c:pt idx="672">
                  <c:v>17427</c:v>
                </c:pt>
                <c:pt idx="673">
                  <c:v>169967</c:v>
                </c:pt>
                <c:pt idx="674">
                  <c:v>27854</c:v>
                </c:pt>
                <c:pt idx="675">
                  <c:v>23903</c:v>
                </c:pt>
                <c:pt idx="676">
                  <c:v>12859</c:v>
                </c:pt>
                <c:pt idx="677">
                  <c:v>23531</c:v>
                </c:pt>
                <c:pt idx="678">
                  <c:v>28105</c:v>
                </c:pt>
                <c:pt idx="679">
                  <c:v>184333</c:v>
                </c:pt>
                <c:pt idx="680">
                  <c:v>53904</c:v>
                </c:pt>
                <c:pt idx="681">
                  <c:v>175129</c:v>
                </c:pt>
                <c:pt idx="682">
                  <c:v>25284</c:v>
                </c:pt>
                <c:pt idx="683">
                  <c:v>329651</c:v>
                </c:pt>
                <c:pt idx="684">
                  <c:v>23983</c:v>
                </c:pt>
                <c:pt idx="685">
                  <c:v>79165</c:v>
                </c:pt>
                <c:pt idx="686">
                  <c:v>92935</c:v>
                </c:pt>
                <c:pt idx="687">
                  <c:v>5023</c:v>
                </c:pt>
                <c:pt idx="688">
                  <c:v>40466</c:v>
                </c:pt>
                <c:pt idx="689">
                  <c:v>560</c:v>
                </c:pt>
                <c:pt idx="690">
                  <c:v>79168</c:v>
                </c:pt>
                <c:pt idx="691">
                  <c:v>19087</c:v>
                </c:pt>
                <c:pt idx="692">
                  <c:v>43712</c:v>
                </c:pt>
                <c:pt idx="693">
                  <c:v>24109</c:v>
                </c:pt>
                <c:pt idx="694">
                  <c:v>74283</c:v>
                </c:pt>
                <c:pt idx="695">
                  <c:v>27072</c:v>
                </c:pt>
                <c:pt idx="696">
                  <c:v>29568</c:v>
                </c:pt>
                <c:pt idx="697">
                  <c:v>72248</c:v>
                </c:pt>
                <c:pt idx="698">
                  <c:v>124770</c:v>
                </c:pt>
                <c:pt idx="699">
                  <c:v>31481</c:v>
                </c:pt>
                <c:pt idx="700">
                  <c:v>71534</c:v>
                </c:pt>
                <c:pt idx="701">
                  <c:v>55183</c:v>
                </c:pt>
                <c:pt idx="702">
                  <c:v>403365</c:v>
                </c:pt>
                <c:pt idx="703">
                  <c:v>161394</c:v>
                </c:pt>
                <c:pt idx="704">
                  <c:v>26245</c:v>
                </c:pt>
                <c:pt idx="705">
                  <c:v>308731</c:v>
                </c:pt>
                <c:pt idx="706">
                  <c:v>77110</c:v>
                </c:pt>
                <c:pt idx="707">
                  <c:v>142769</c:v>
                </c:pt>
                <c:pt idx="708">
                  <c:v>39258</c:v>
                </c:pt>
                <c:pt idx="709">
                  <c:v>25625</c:v>
                </c:pt>
                <c:pt idx="710">
                  <c:v>74710</c:v>
                </c:pt>
                <c:pt idx="711">
                  <c:v>18458</c:v>
                </c:pt>
                <c:pt idx="712">
                  <c:v>63024</c:v>
                </c:pt>
                <c:pt idx="713">
                  <c:v>82987</c:v>
                </c:pt>
                <c:pt idx="714">
                  <c:v>47465</c:v>
                </c:pt>
                <c:pt idx="715">
                  <c:v>29069</c:v>
                </c:pt>
                <c:pt idx="716">
                  <c:v>34294</c:v>
                </c:pt>
                <c:pt idx="717">
                  <c:v>30106</c:v>
                </c:pt>
                <c:pt idx="718">
                  <c:v>12363</c:v>
                </c:pt>
                <c:pt idx="719">
                  <c:v>37747</c:v>
                </c:pt>
                <c:pt idx="720">
                  <c:v>36272</c:v>
                </c:pt>
                <c:pt idx="721">
                  <c:v>15685</c:v>
                </c:pt>
                <c:pt idx="722">
                  <c:v>179410</c:v>
                </c:pt>
                <c:pt idx="723">
                  <c:v>84562</c:v>
                </c:pt>
                <c:pt idx="724">
                  <c:v>33852</c:v>
                </c:pt>
                <c:pt idx="725">
                  <c:v>41819</c:v>
                </c:pt>
                <c:pt idx="726">
                  <c:v>38434</c:v>
                </c:pt>
                <c:pt idx="727">
                  <c:v>28082</c:v>
                </c:pt>
                <c:pt idx="728">
                  <c:v>23775</c:v>
                </c:pt>
                <c:pt idx="729">
                  <c:v>21889</c:v>
                </c:pt>
                <c:pt idx="730">
                  <c:v>102932</c:v>
                </c:pt>
                <c:pt idx="731">
                  <c:v>34074</c:v>
                </c:pt>
                <c:pt idx="732">
                  <c:v>83420</c:v>
                </c:pt>
                <c:pt idx="733">
                  <c:v>30531</c:v>
                </c:pt>
                <c:pt idx="734">
                  <c:v>95614</c:v>
                </c:pt>
                <c:pt idx="735">
                  <c:v>4857</c:v>
                </c:pt>
                <c:pt idx="736">
                  <c:v>28839</c:v>
                </c:pt>
                <c:pt idx="737">
                  <c:v>42950</c:v>
                </c:pt>
                <c:pt idx="738">
                  <c:v>17985</c:v>
                </c:pt>
                <c:pt idx="739">
                  <c:v>36043</c:v>
                </c:pt>
                <c:pt idx="740">
                  <c:v>82008</c:v>
                </c:pt>
                <c:pt idx="741">
                  <c:v>84090</c:v>
                </c:pt>
                <c:pt idx="742">
                  <c:v>55127</c:v>
                </c:pt>
                <c:pt idx="743">
                  <c:v>46703</c:v>
                </c:pt>
                <c:pt idx="744">
                  <c:v>75992</c:v>
                </c:pt>
                <c:pt idx="745">
                  <c:v>47729</c:v>
                </c:pt>
                <c:pt idx="746">
                  <c:v>40390</c:v>
                </c:pt>
                <c:pt idx="747">
                  <c:v>30008</c:v>
                </c:pt>
                <c:pt idx="748">
                  <c:v>77602</c:v>
                </c:pt>
                <c:pt idx="749">
                  <c:v>6657</c:v>
                </c:pt>
                <c:pt idx="750">
                  <c:v>113967</c:v>
                </c:pt>
                <c:pt idx="751">
                  <c:v>37298</c:v>
                </c:pt>
                <c:pt idx="752">
                  <c:v>22435</c:v>
                </c:pt>
                <c:pt idx="753">
                  <c:v>6544</c:v>
                </c:pt>
                <c:pt idx="754">
                  <c:v>25845</c:v>
                </c:pt>
                <c:pt idx="755">
                  <c:v>63641</c:v>
                </c:pt>
                <c:pt idx="756">
                  <c:v>4002</c:v>
                </c:pt>
                <c:pt idx="757">
                  <c:v>54800</c:v>
                </c:pt>
                <c:pt idx="758">
                  <c:v>25379</c:v>
                </c:pt>
                <c:pt idx="759">
                  <c:v>12899</c:v>
                </c:pt>
                <c:pt idx="760">
                  <c:v>12492</c:v>
                </c:pt>
                <c:pt idx="761">
                  <c:v>308104</c:v>
                </c:pt>
                <c:pt idx="762">
                  <c:v>4796</c:v>
                </c:pt>
                <c:pt idx="763">
                  <c:v>141894</c:v>
                </c:pt>
                <c:pt idx="764">
                  <c:v>40195</c:v>
                </c:pt>
                <c:pt idx="765">
                  <c:v>995</c:v>
                </c:pt>
                <c:pt idx="766">
                  <c:v>44641</c:v>
                </c:pt>
                <c:pt idx="767">
                  <c:v>64028</c:v>
                </c:pt>
                <c:pt idx="768">
                  <c:v>21963</c:v>
                </c:pt>
                <c:pt idx="769">
                  <c:v>93019</c:v>
                </c:pt>
                <c:pt idx="770">
                  <c:v>34034</c:v>
                </c:pt>
                <c:pt idx="771">
                  <c:v>21462</c:v>
                </c:pt>
                <c:pt idx="772">
                  <c:v>37850</c:v>
                </c:pt>
                <c:pt idx="773">
                  <c:v>28095</c:v>
                </c:pt>
                <c:pt idx="774">
                  <c:v>36550</c:v>
                </c:pt>
                <c:pt idx="775">
                  <c:v>5530</c:v>
                </c:pt>
                <c:pt idx="776">
                  <c:v>55341</c:v>
                </c:pt>
                <c:pt idx="777">
                  <c:v>25552</c:v>
                </c:pt>
                <c:pt idx="778">
                  <c:v>57115</c:v>
                </c:pt>
                <c:pt idx="779">
                  <c:v>203977</c:v>
                </c:pt>
                <c:pt idx="780">
                  <c:v>33192</c:v>
                </c:pt>
                <c:pt idx="781">
                  <c:v>93232</c:v>
                </c:pt>
                <c:pt idx="782">
                  <c:v>30325</c:v>
                </c:pt>
                <c:pt idx="783">
                  <c:v>47299</c:v>
                </c:pt>
                <c:pt idx="784">
                  <c:v>13812</c:v>
                </c:pt>
                <c:pt idx="785">
                  <c:v>122128</c:v>
                </c:pt>
                <c:pt idx="786">
                  <c:v>22998</c:v>
                </c:pt>
                <c:pt idx="787">
                  <c:v>29097</c:v>
                </c:pt>
                <c:pt idx="788">
                  <c:v>19903</c:v>
                </c:pt>
                <c:pt idx="789">
                  <c:v>38850</c:v>
                </c:pt>
                <c:pt idx="790">
                  <c:v>7049</c:v>
                </c:pt>
                <c:pt idx="791">
                  <c:v>44100</c:v>
                </c:pt>
                <c:pt idx="792">
                  <c:v>60018</c:v>
                </c:pt>
                <c:pt idx="793">
                  <c:v>42736</c:v>
                </c:pt>
                <c:pt idx="794">
                  <c:v>11511</c:v>
                </c:pt>
                <c:pt idx="795">
                  <c:v>21113</c:v>
                </c:pt>
                <c:pt idx="796">
                  <c:v>63142</c:v>
                </c:pt>
                <c:pt idx="797">
                  <c:v>53319</c:v>
                </c:pt>
                <c:pt idx="798">
                  <c:v>18268</c:v>
                </c:pt>
                <c:pt idx="799">
                  <c:v>57252</c:v>
                </c:pt>
                <c:pt idx="800">
                  <c:v>320023</c:v>
                </c:pt>
                <c:pt idx="801">
                  <c:v>82447</c:v>
                </c:pt>
                <c:pt idx="802">
                  <c:v>86314</c:v>
                </c:pt>
                <c:pt idx="803">
                  <c:v>37153</c:v>
                </c:pt>
                <c:pt idx="804">
                  <c:v>39718</c:v>
                </c:pt>
                <c:pt idx="805">
                  <c:v>87809</c:v>
                </c:pt>
                <c:pt idx="806">
                  <c:v>54434</c:v>
                </c:pt>
                <c:pt idx="807">
                  <c:v>52726</c:v>
                </c:pt>
                <c:pt idx="808">
                  <c:v>19594</c:v>
                </c:pt>
                <c:pt idx="809">
                  <c:v>64882</c:v>
                </c:pt>
                <c:pt idx="810">
                  <c:v>126758</c:v>
                </c:pt>
                <c:pt idx="811">
                  <c:v>61883</c:v>
                </c:pt>
                <c:pt idx="812">
                  <c:v>-80309</c:v>
                </c:pt>
                <c:pt idx="813">
                  <c:v>75532</c:v>
                </c:pt>
                <c:pt idx="814">
                  <c:v>108991</c:v>
                </c:pt>
                <c:pt idx="815">
                  <c:v>38472</c:v>
                </c:pt>
                <c:pt idx="816">
                  <c:v>24630</c:v>
                </c:pt>
                <c:pt idx="817">
                  <c:v>71227</c:v>
                </c:pt>
                <c:pt idx="818">
                  <c:v>44382</c:v>
                </c:pt>
                <c:pt idx="819">
                  <c:v>137272</c:v>
                </c:pt>
                <c:pt idx="820">
                  <c:v>116772</c:v>
                </c:pt>
                <c:pt idx="821">
                  <c:v>35497</c:v>
                </c:pt>
                <c:pt idx="822">
                  <c:v>34728</c:v>
                </c:pt>
                <c:pt idx="823">
                  <c:v>58264</c:v>
                </c:pt>
                <c:pt idx="824">
                  <c:v>74208</c:v>
                </c:pt>
                <c:pt idx="825">
                  <c:v>69939</c:v>
                </c:pt>
                <c:pt idx="826">
                  <c:v>26041</c:v>
                </c:pt>
                <c:pt idx="827">
                  <c:v>77359</c:v>
                </c:pt>
                <c:pt idx="828">
                  <c:v>74546</c:v>
                </c:pt>
                <c:pt idx="829">
                  <c:v>106253</c:v>
                </c:pt>
                <c:pt idx="830">
                  <c:v>9505</c:v>
                </c:pt>
                <c:pt idx="831">
                  <c:v>36431</c:v>
                </c:pt>
                <c:pt idx="832">
                  <c:v>22652</c:v>
                </c:pt>
                <c:pt idx="833">
                  <c:v>17364</c:v>
                </c:pt>
                <c:pt idx="834">
                  <c:v>34967</c:v>
                </c:pt>
                <c:pt idx="835">
                  <c:v>78369</c:v>
                </c:pt>
                <c:pt idx="836">
                  <c:v>34612</c:v>
                </c:pt>
                <c:pt idx="837">
                  <c:v>39485</c:v>
                </c:pt>
                <c:pt idx="838">
                  <c:v>11072</c:v>
                </c:pt>
                <c:pt idx="839">
                  <c:v>75600</c:v>
                </c:pt>
                <c:pt idx="840">
                  <c:v>36178</c:v>
                </c:pt>
                <c:pt idx="841">
                  <c:v>127940</c:v>
                </c:pt>
                <c:pt idx="842">
                  <c:v>377234</c:v>
                </c:pt>
                <c:pt idx="843">
                  <c:v>54022</c:v>
                </c:pt>
                <c:pt idx="844">
                  <c:v>11801</c:v>
                </c:pt>
                <c:pt idx="845">
                  <c:v>50305</c:v>
                </c:pt>
                <c:pt idx="846">
                  <c:v>88866</c:v>
                </c:pt>
                <c:pt idx="847">
                  <c:v>11944</c:v>
                </c:pt>
                <c:pt idx="848">
                  <c:v>39774</c:v>
                </c:pt>
                <c:pt idx="849">
                  <c:v>2132</c:v>
                </c:pt>
                <c:pt idx="850">
                  <c:v>29960</c:v>
                </c:pt>
                <c:pt idx="851">
                  <c:v>5395</c:v>
                </c:pt>
                <c:pt idx="852">
                  <c:v>113383</c:v>
                </c:pt>
                <c:pt idx="853">
                  <c:v>59246</c:v>
                </c:pt>
                <c:pt idx="854">
                  <c:v>41182</c:v>
                </c:pt>
                <c:pt idx="855">
                  <c:v>3447</c:v>
                </c:pt>
                <c:pt idx="856">
                  <c:v>91030</c:v>
                </c:pt>
                <c:pt idx="857">
                  <c:v>41775</c:v>
                </c:pt>
                <c:pt idx="858">
                  <c:v>68974</c:v>
                </c:pt>
                <c:pt idx="859">
                  <c:v>121815</c:v>
                </c:pt>
                <c:pt idx="860">
                  <c:v>73515</c:v>
                </c:pt>
                <c:pt idx="861">
                  <c:v>0</c:v>
                </c:pt>
                <c:pt idx="862">
                  <c:v>122376</c:v>
                </c:pt>
                <c:pt idx="863">
                  <c:v>75117</c:v>
                </c:pt>
                <c:pt idx="864">
                  <c:v>149842</c:v>
                </c:pt>
                <c:pt idx="865">
                  <c:v>49250</c:v>
                </c:pt>
                <c:pt idx="866">
                  <c:v>93439</c:v>
                </c:pt>
                <c:pt idx="867">
                  <c:v>39499</c:v>
                </c:pt>
                <c:pt idx="868">
                  <c:v>4148</c:v>
                </c:pt>
                <c:pt idx="869">
                  <c:v>52490</c:v>
                </c:pt>
                <c:pt idx="870">
                  <c:v>138377</c:v>
                </c:pt>
                <c:pt idx="871">
                  <c:v>11874</c:v>
                </c:pt>
                <c:pt idx="872">
                  <c:v>20920</c:v>
                </c:pt>
                <c:pt idx="873">
                  <c:v>81692</c:v>
                </c:pt>
                <c:pt idx="874">
                  <c:v>48939</c:v>
                </c:pt>
                <c:pt idx="875">
                  <c:v>12989</c:v>
                </c:pt>
                <c:pt idx="876">
                  <c:v>227664</c:v>
                </c:pt>
                <c:pt idx="877">
                  <c:v>71476</c:v>
                </c:pt>
                <c:pt idx="878">
                  <c:v>20569</c:v>
                </c:pt>
                <c:pt idx="879">
                  <c:v>20272</c:v>
                </c:pt>
                <c:pt idx="880">
                  <c:v>59941</c:v>
                </c:pt>
                <c:pt idx="881">
                  <c:v>38</c:v>
                </c:pt>
                <c:pt idx="882">
                  <c:v>6093</c:v>
                </c:pt>
                <c:pt idx="883">
                  <c:v>-32058</c:v>
                </c:pt>
                <c:pt idx="884">
                  <c:v>4081</c:v>
                </c:pt>
                <c:pt idx="885">
                  <c:v>58791</c:v>
                </c:pt>
                <c:pt idx="886">
                  <c:v>88773</c:v>
                </c:pt>
                <c:pt idx="887">
                  <c:v>82385</c:v>
                </c:pt>
                <c:pt idx="888">
                  <c:v>38265</c:v>
                </c:pt>
                <c:pt idx="889">
                  <c:v>63136</c:v>
                </c:pt>
                <c:pt idx="890">
                  <c:v>24605</c:v>
                </c:pt>
                <c:pt idx="891">
                  <c:v>142628</c:v>
                </c:pt>
                <c:pt idx="892">
                  <c:v>3270</c:v>
                </c:pt>
                <c:pt idx="893">
                  <c:v>50446</c:v>
                </c:pt>
                <c:pt idx="894">
                  <c:v>39044</c:v>
                </c:pt>
                <c:pt idx="895">
                  <c:v>458</c:v>
                </c:pt>
                <c:pt idx="896">
                  <c:v>112781</c:v>
                </c:pt>
                <c:pt idx="897">
                  <c:v>17843</c:v>
                </c:pt>
                <c:pt idx="898">
                  <c:v>117716</c:v>
                </c:pt>
                <c:pt idx="899">
                  <c:v>49587</c:v>
                </c:pt>
                <c:pt idx="900">
                  <c:v>28927</c:v>
                </c:pt>
                <c:pt idx="901">
                  <c:v>67728</c:v>
                </c:pt>
                <c:pt idx="902">
                  <c:v>31064</c:v>
                </c:pt>
                <c:pt idx="903">
                  <c:v>328743</c:v>
                </c:pt>
                <c:pt idx="904">
                  <c:v>49063</c:v>
                </c:pt>
                <c:pt idx="905">
                  <c:v>26983</c:v>
                </c:pt>
                <c:pt idx="906">
                  <c:v>18227</c:v>
                </c:pt>
                <c:pt idx="907">
                  <c:v>15687</c:v>
                </c:pt>
                <c:pt idx="908">
                  <c:v>5369</c:v>
                </c:pt>
                <c:pt idx="909">
                  <c:v>25214</c:v>
                </c:pt>
                <c:pt idx="910">
                  <c:v>18</c:v>
                </c:pt>
                <c:pt idx="911">
                  <c:v>69307</c:v>
                </c:pt>
                <c:pt idx="912">
                  <c:v>86371</c:v>
                </c:pt>
                <c:pt idx="913">
                  <c:v>21247</c:v>
                </c:pt>
                <c:pt idx="914">
                  <c:v>13556</c:v>
                </c:pt>
                <c:pt idx="915">
                  <c:v>65600</c:v>
                </c:pt>
                <c:pt idx="916">
                  <c:v>60941</c:v>
                </c:pt>
                <c:pt idx="917">
                  <c:v>94472</c:v>
                </c:pt>
                <c:pt idx="918">
                  <c:v>77297</c:v>
                </c:pt>
                <c:pt idx="919">
                  <c:v>32763</c:v>
                </c:pt>
                <c:pt idx="920">
                  <c:v>38194</c:v>
                </c:pt>
                <c:pt idx="921">
                  <c:v>19101</c:v>
                </c:pt>
                <c:pt idx="922">
                  <c:v>71716</c:v>
                </c:pt>
                <c:pt idx="923">
                  <c:v>21626</c:v>
                </c:pt>
                <c:pt idx="924">
                  <c:v>23782</c:v>
                </c:pt>
                <c:pt idx="925">
                  <c:v>43570</c:v>
                </c:pt>
                <c:pt idx="926">
                  <c:v>25239</c:v>
                </c:pt>
                <c:pt idx="927">
                  <c:v>53544</c:v>
                </c:pt>
                <c:pt idx="928">
                  <c:v>125466</c:v>
                </c:pt>
                <c:pt idx="929">
                  <c:v>54503</c:v>
                </c:pt>
                <c:pt idx="930">
                  <c:v>57941</c:v>
                </c:pt>
                <c:pt idx="931">
                  <c:v>10740</c:v>
                </c:pt>
                <c:pt idx="932">
                  <c:v>157614</c:v>
                </c:pt>
                <c:pt idx="933">
                  <c:v>11580</c:v>
                </c:pt>
                <c:pt idx="934">
                  <c:v>42571</c:v>
                </c:pt>
                <c:pt idx="935">
                  <c:v>270704</c:v>
                </c:pt>
                <c:pt idx="936">
                  <c:v>30678</c:v>
                </c:pt>
                <c:pt idx="937">
                  <c:v>5685</c:v>
                </c:pt>
                <c:pt idx="938">
                  <c:v>24192</c:v>
                </c:pt>
                <c:pt idx="939">
                  <c:v>19208</c:v>
                </c:pt>
                <c:pt idx="940">
                  <c:v>78412</c:v>
                </c:pt>
                <c:pt idx="941">
                  <c:v>87780</c:v>
                </c:pt>
                <c:pt idx="942">
                  <c:v>82842</c:v>
                </c:pt>
                <c:pt idx="943">
                  <c:v>619</c:v>
                </c:pt>
                <c:pt idx="944">
                  <c:v>39749</c:v>
                </c:pt>
                <c:pt idx="945">
                  <c:v>14397</c:v>
                </c:pt>
                <c:pt idx="946">
                  <c:v>9974</c:v>
                </c:pt>
                <c:pt idx="947">
                  <c:v>52533</c:v>
                </c:pt>
                <c:pt idx="948">
                  <c:v>7</c:v>
                </c:pt>
                <c:pt idx="949">
                  <c:v>11043</c:v>
                </c:pt>
                <c:pt idx="950">
                  <c:v>15365</c:v>
                </c:pt>
                <c:pt idx="951">
                  <c:v>36458</c:v>
                </c:pt>
                <c:pt idx="952">
                  <c:v>66395</c:v>
                </c:pt>
                <c:pt idx="953">
                  <c:v>50789</c:v>
                </c:pt>
                <c:pt idx="954">
                  <c:v>53674</c:v>
                </c:pt>
                <c:pt idx="955">
                  <c:v>5070</c:v>
                </c:pt>
                <c:pt idx="956">
                  <c:v>36392</c:v>
                </c:pt>
                <c:pt idx="957">
                  <c:v>65394</c:v>
                </c:pt>
                <c:pt idx="958">
                  <c:v>29381</c:v>
                </c:pt>
                <c:pt idx="959">
                  <c:v>14066</c:v>
                </c:pt>
                <c:pt idx="960">
                  <c:v>31108</c:v>
                </c:pt>
                <c:pt idx="961">
                  <c:v>133702</c:v>
                </c:pt>
                <c:pt idx="962">
                  <c:v>202364</c:v>
                </c:pt>
                <c:pt idx="963">
                  <c:v>200292</c:v>
                </c:pt>
                <c:pt idx="964">
                  <c:v>31504</c:v>
                </c:pt>
                <c:pt idx="965">
                  <c:v>57207</c:v>
                </c:pt>
                <c:pt idx="966">
                  <c:v>146765</c:v>
                </c:pt>
                <c:pt idx="967">
                  <c:v>36998</c:v>
                </c:pt>
                <c:pt idx="968">
                  <c:v>1096</c:v>
                </c:pt>
                <c:pt idx="969">
                  <c:v>14242</c:v>
                </c:pt>
                <c:pt idx="970">
                  <c:v>32368</c:v>
                </c:pt>
                <c:pt idx="971">
                  <c:v>107291</c:v>
                </c:pt>
                <c:pt idx="972">
                  <c:v>56592</c:v>
                </c:pt>
                <c:pt idx="973">
                  <c:v>114378</c:v>
                </c:pt>
                <c:pt idx="974">
                  <c:v>106685</c:v>
                </c:pt>
                <c:pt idx="975">
                  <c:v>116064</c:v>
                </c:pt>
                <c:pt idx="976">
                  <c:v>161245</c:v>
                </c:pt>
                <c:pt idx="977">
                  <c:v>24171</c:v>
                </c:pt>
                <c:pt idx="978">
                  <c:v>97322</c:v>
                </c:pt>
                <c:pt idx="979">
                  <c:v>13719</c:v>
                </c:pt>
                <c:pt idx="980">
                  <c:v>81435</c:v>
                </c:pt>
                <c:pt idx="981">
                  <c:v>5</c:v>
                </c:pt>
                <c:pt idx="982">
                  <c:v>21780</c:v>
                </c:pt>
                <c:pt idx="983">
                  <c:v>155773</c:v>
                </c:pt>
                <c:pt idx="984">
                  <c:v>227040</c:v>
                </c:pt>
                <c:pt idx="985">
                  <c:v>22081</c:v>
                </c:pt>
                <c:pt idx="986">
                  <c:v>114363</c:v>
                </c:pt>
                <c:pt idx="987">
                  <c:v>48062</c:v>
                </c:pt>
                <c:pt idx="988">
                  <c:v>21838</c:v>
                </c:pt>
                <c:pt idx="989">
                  <c:v>60370</c:v>
                </c:pt>
                <c:pt idx="990">
                  <c:v>38440</c:v>
                </c:pt>
                <c:pt idx="991">
                  <c:v>25872</c:v>
                </c:pt>
                <c:pt idx="992">
                  <c:v>81954</c:v>
                </c:pt>
                <c:pt idx="993">
                  <c:v>145954</c:v>
                </c:pt>
                <c:pt idx="994">
                  <c:v>39366</c:v>
                </c:pt>
                <c:pt idx="995">
                  <c:v>25115</c:v>
                </c:pt>
                <c:pt idx="996">
                  <c:v>3745</c:v>
                </c:pt>
                <c:pt idx="997">
                  <c:v>4582</c:v>
                </c:pt>
                <c:pt idx="998">
                  <c:v>64752</c:v>
                </c:pt>
                <c:pt idx="999">
                  <c:v>47072</c:v>
                </c:pt>
              </c:numCache>
            </c:numRef>
          </c:yVal>
          <c:smooth val="0"/>
          <c:extLst>
            <c:ext xmlns:c16="http://schemas.microsoft.com/office/drawing/2014/chart" uri="{C3380CC4-5D6E-409C-BE32-E72D297353CC}">
              <c16:uniqueId val="{00000000-543B-3C45-9086-8444105164B9}"/>
            </c:ext>
          </c:extLst>
        </c:ser>
        <c:dLbls>
          <c:showLegendKey val="0"/>
          <c:showVal val="0"/>
          <c:showCatName val="0"/>
          <c:showSerName val="0"/>
          <c:showPercent val="0"/>
          <c:showBubbleSize val="0"/>
        </c:dLbls>
        <c:axId val="1133940143"/>
        <c:axId val="675474319"/>
      </c:scatterChart>
      <c:valAx>
        <c:axId val="11339401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1" u="none" strike="noStrike" kern="1200" baseline="0">
                    <a:solidFill>
                      <a:schemeClr val="accent4"/>
                    </a:solidFill>
                    <a:latin typeface="Times New Roman" panose="02020603050405020304" pitchFamily="18" charset="0"/>
                    <a:ea typeface="+mn-ea"/>
                    <a:cs typeface="Times New Roman" panose="02020603050405020304" pitchFamily="18" charset="0"/>
                  </a:defRPr>
                </a:pPr>
                <a:r>
                  <a:rPr lang="en-US" i="1">
                    <a:solidFill>
                      <a:schemeClr val="accent4"/>
                    </a:solidFill>
                  </a:rPr>
                  <a:t>AGE</a:t>
                </a:r>
              </a:p>
            </c:rich>
          </c:tx>
          <c:overlay val="0"/>
          <c:spPr>
            <a:noFill/>
            <a:ln>
              <a:noFill/>
            </a:ln>
            <a:effectLst/>
          </c:spPr>
          <c:txPr>
            <a:bodyPr rot="0" spcFirstLastPara="1" vertOverflow="ellipsis" vert="horz" wrap="square" anchor="ctr" anchorCtr="1"/>
            <a:lstStyle/>
            <a:p>
              <a:pPr>
                <a:defRPr sz="1000" b="0" i="1" u="none" strike="noStrike" kern="1200" baseline="0">
                  <a:solidFill>
                    <a:schemeClr val="accent4"/>
                  </a:solidFill>
                  <a:latin typeface="Times New Roman" panose="02020603050405020304" pitchFamily="18" charset="0"/>
                  <a:ea typeface="+mn-ea"/>
                  <a:cs typeface="Times New Roman" panose="02020603050405020304" pitchFamily="18" charset="0"/>
                </a:defRPr>
              </a:pPr>
              <a:endParaRPr lang="en-VN"/>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VN"/>
          </a:p>
        </c:txPr>
        <c:crossAx val="675474319"/>
        <c:crosses val="autoZero"/>
        <c:crossBetween val="midCat"/>
      </c:valAx>
      <c:valAx>
        <c:axId val="675474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1" u="none" strike="noStrike" kern="1200" baseline="0">
                    <a:solidFill>
                      <a:schemeClr val="accent4"/>
                    </a:solidFill>
                    <a:latin typeface="Times New Roman" panose="02020603050405020304" pitchFamily="18" charset="0"/>
                    <a:ea typeface="+mn-ea"/>
                    <a:cs typeface="Times New Roman" panose="02020603050405020304" pitchFamily="18" charset="0"/>
                  </a:defRPr>
                </a:pPr>
                <a:r>
                  <a:rPr lang="en-US" i="1">
                    <a:solidFill>
                      <a:schemeClr val="accent4"/>
                    </a:solidFill>
                  </a:rPr>
                  <a:t>INCOME</a:t>
                </a:r>
              </a:p>
            </c:rich>
          </c:tx>
          <c:overlay val="0"/>
          <c:spPr>
            <a:noFill/>
            <a:ln>
              <a:noFill/>
            </a:ln>
            <a:effectLst/>
          </c:spPr>
          <c:txPr>
            <a:bodyPr rot="-5400000" spcFirstLastPara="1" vertOverflow="ellipsis" vert="horz" wrap="square" anchor="ctr" anchorCtr="1"/>
            <a:lstStyle/>
            <a:p>
              <a:pPr>
                <a:defRPr sz="1000" b="0" i="1" u="none" strike="noStrike" kern="1200" baseline="0">
                  <a:solidFill>
                    <a:schemeClr val="accent4"/>
                  </a:solidFill>
                  <a:latin typeface="Times New Roman" panose="02020603050405020304" pitchFamily="18" charset="0"/>
                  <a:ea typeface="+mn-ea"/>
                  <a:cs typeface="Times New Roman" panose="02020603050405020304" pitchFamily="18" charset="0"/>
                </a:defRPr>
              </a:pPr>
              <a:endParaRPr lang="en-V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VN"/>
          </a:p>
        </c:txPr>
        <c:crossAx val="11339401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V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13</xdr:col>
      <xdr:colOff>68497</xdr:colOff>
      <xdr:row>1</xdr:row>
      <xdr:rowOff>190929</xdr:rowOff>
    </xdr:from>
    <xdr:to>
      <xdr:col>16</xdr:col>
      <xdr:colOff>497525</xdr:colOff>
      <xdr:row>14</xdr:row>
      <xdr:rowOff>157113</xdr:rowOff>
    </xdr:to>
    <xdr:graphicFrame macro="">
      <xdr:nvGraphicFramePr>
        <xdr:cNvPr id="17" name="Gender-Bar">
          <a:extLst>
            <a:ext uri="{FF2B5EF4-FFF2-40B4-BE49-F238E27FC236}">
              <a16:creationId xmlns:a16="http://schemas.microsoft.com/office/drawing/2014/main" id="{0DEBDF28-324E-3245-FCA9-A3A443DBF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21811</xdr:colOff>
      <xdr:row>15</xdr:row>
      <xdr:rowOff>3452</xdr:rowOff>
    </xdr:from>
    <xdr:to>
      <xdr:col>18</xdr:col>
      <xdr:colOff>195901</xdr:colOff>
      <xdr:row>30</xdr:row>
      <xdr:rowOff>0</xdr:rowOff>
    </xdr:to>
    <xdr:graphicFrame macro="">
      <xdr:nvGraphicFramePr>
        <xdr:cNvPr id="3" name="Age-Bar">
          <a:extLst>
            <a:ext uri="{FF2B5EF4-FFF2-40B4-BE49-F238E27FC236}">
              <a16:creationId xmlns:a16="http://schemas.microsoft.com/office/drawing/2014/main" id="{409C0BCA-D417-2DB3-0A30-5ED0ED7AD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27017</xdr:colOff>
      <xdr:row>31</xdr:row>
      <xdr:rowOff>34055</xdr:rowOff>
    </xdr:from>
    <xdr:to>
      <xdr:col>19</xdr:col>
      <xdr:colOff>664871</xdr:colOff>
      <xdr:row>45</xdr:row>
      <xdr:rowOff>160864</xdr:rowOff>
    </xdr:to>
    <xdr:graphicFrame macro="">
      <xdr:nvGraphicFramePr>
        <xdr:cNvPr id="4" name="Chart 3">
          <a:extLst>
            <a:ext uri="{FF2B5EF4-FFF2-40B4-BE49-F238E27FC236}">
              <a16:creationId xmlns:a16="http://schemas.microsoft.com/office/drawing/2014/main" id="{45E82095-6223-63E1-4BD4-53E6F4ED8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11416</xdr:colOff>
      <xdr:row>47</xdr:row>
      <xdr:rowOff>4662</xdr:rowOff>
    </xdr:from>
    <xdr:to>
      <xdr:col>16</xdr:col>
      <xdr:colOff>784831</xdr:colOff>
      <xdr:row>59</xdr:row>
      <xdr:rowOff>74013</xdr:rowOff>
    </xdr:to>
    <xdr:graphicFrame macro="">
      <xdr:nvGraphicFramePr>
        <xdr:cNvPr id="5" name="Chart 4">
          <a:extLst>
            <a:ext uri="{FF2B5EF4-FFF2-40B4-BE49-F238E27FC236}">
              <a16:creationId xmlns:a16="http://schemas.microsoft.com/office/drawing/2014/main" id="{E5DE14DC-E77F-6A23-B843-1E328039F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2950</xdr:colOff>
      <xdr:row>62</xdr:row>
      <xdr:rowOff>4661</xdr:rowOff>
    </xdr:from>
    <xdr:to>
      <xdr:col>16</xdr:col>
      <xdr:colOff>711200</xdr:colOff>
      <xdr:row>76</xdr:row>
      <xdr:rowOff>0</xdr:rowOff>
    </xdr:to>
    <xdr:graphicFrame macro="">
      <xdr:nvGraphicFramePr>
        <xdr:cNvPr id="6" name="Chart 5">
          <a:extLst>
            <a:ext uri="{FF2B5EF4-FFF2-40B4-BE49-F238E27FC236}">
              <a16:creationId xmlns:a16="http://schemas.microsoft.com/office/drawing/2014/main" id="{F4CB32DC-D009-D652-CD34-803E17638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11415</xdr:colOff>
      <xdr:row>80</xdr:row>
      <xdr:rowOff>4663</xdr:rowOff>
    </xdr:from>
    <xdr:to>
      <xdr:col>16</xdr:col>
      <xdr:colOff>567266</xdr:colOff>
      <xdr:row>92</xdr:row>
      <xdr:rowOff>174047</xdr:rowOff>
    </xdr:to>
    <xdr:graphicFrame macro="">
      <xdr:nvGraphicFramePr>
        <xdr:cNvPr id="7" name="Chart 6">
          <a:extLst>
            <a:ext uri="{FF2B5EF4-FFF2-40B4-BE49-F238E27FC236}">
              <a16:creationId xmlns:a16="http://schemas.microsoft.com/office/drawing/2014/main" id="{0DAD171D-30EB-F2EF-1920-85820720B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12843</xdr:colOff>
      <xdr:row>94</xdr:row>
      <xdr:rowOff>215374</xdr:rowOff>
    </xdr:from>
    <xdr:to>
      <xdr:col>18</xdr:col>
      <xdr:colOff>0</xdr:colOff>
      <xdr:row>109</xdr:row>
      <xdr:rowOff>93134</xdr:rowOff>
    </xdr:to>
    <xdr:graphicFrame macro="">
      <xdr:nvGraphicFramePr>
        <xdr:cNvPr id="8" name="Chart 7">
          <a:extLst>
            <a:ext uri="{FF2B5EF4-FFF2-40B4-BE49-F238E27FC236}">
              <a16:creationId xmlns:a16="http://schemas.microsoft.com/office/drawing/2014/main" id="{597F7495-835F-9083-DA6E-4510D1FDC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12934</xdr:colOff>
      <xdr:row>117</xdr:row>
      <xdr:rowOff>7056</xdr:rowOff>
    </xdr:from>
    <xdr:to>
      <xdr:col>17</xdr:col>
      <xdr:colOff>956734</xdr:colOff>
      <xdr:row>130</xdr:row>
      <xdr:rowOff>194733</xdr:rowOff>
    </xdr:to>
    <xdr:graphicFrame macro="">
      <xdr:nvGraphicFramePr>
        <xdr:cNvPr id="12" name="Chart 11">
          <a:extLst>
            <a:ext uri="{FF2B5EF4-FFF2-40B4-BE49-F238E27FC236}">
              <a16:creationId xmlns:a16="http://schemas.microsoft.com/office/drawing/2014/main" id="{6060149E-AA15-EC5B-3649-618645B1E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14630</xdr:colOff>
      <xdr:row>138</xdr:row>
      <xdr:rowOff>7807</xdr:rowOff>
    </xdr:from>
    <xdr:to>
      <xdr:col>17</xdr:col>
      <xdr:colOff>889001</xdr:colOff>
      <xdr:row>152</xdr:row>
      <xdr:rowOff>169334</xdr:rowOff>
    </xdr:to>
    <xdr:graphicFrame macro="">
      <xdr:nvGraphicFramePr>
        <xdr:cNvPr id="13" name="Chart 12">
          <a:extLst>
            <a:ext uri="{FF2B5EF4-FFF2-40B4-BE49-F238E27FC236}">
              <a16:creationId xmlns:a16="http://schemas.microsoft.com/office/drawing/2014/main" id="{0EA6F59E-4AAA-0424-9FF3-DE3BE558A0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339374</xdr:colOff>
      <xdr:row>3</xdr:row>
      <xdr:rowOff>5444</xdr:rowOff>
    </xdr:from>
    <xdr:to>
      <xdr:col>6</xdr:col>
      <xdr:colOff>562989</xdr:colOff>
      <xdr:row>19</xdr:row>
      <xdr:rowOff>76200</xdr:rowOff>
    </xdr:to>
    <xdr:graphicFrame macro="">
      <xdr:nvGraphicFramePr>
        <xdr:cNvPr id="2" name="Chart 1">
          <a:extLst>
            <a:ext uri="{FF2B5EF4-FFF2-40B4-BE49-F238E27FC236}">
              <a16:creationId xmlns:a16="http://schemas.microsoft.com/office/drawing/2014/main" id="{76BAD6A0-4CF7-ED4F-B92E-319342DCA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563908</xdr:colOff>
      <xdr:row>2</xdr:row>
      <xdr:rowOff>203198</xdr:rowOff>
    </xdr:from>
    <xdr:to>
      <xdr:col>10</xdr:col>
      <xdr:colOff>108932</xdr:colOff>
      <xdr:row>19</xdr:row>
      <xdr:rowOff>76199</xdr:rowOff>
    </xdr:to>
    <xdr:graphicFrame macro="">
      <xdr:nvGraphicFramePr>
        <xdr:cNvPr id="3" name="Chart 2">
          <a:extLst>
            <a:ext uri="{FF2B5EF4-FFF2-40B4-BE49-F238E27FC236}">
              <a16:creationId xmlns:a16="http://schemas.microsoft.com/office/drawing/2014/main" id="{230148E4-7479-BC4A-94A7-584E7720C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121239</xdr:colOff>
      <xdr:row>3</xdr:row>
      <xdr:rowOff>392</xdr:rowOff>
    </xdr:from>
    <xdr:to>
      <xdr:col>16</xdr:col>
      <xdr:colOff>520700</xdr:colOff>
      <xdr:row>19</xdr:row>
      <xdr:rowOff>76200</xdr:rowOff>
    </xdr:to>
    <xdr:graphicFrame macro="">
      <xdr:nvGraphicFramePr>
        <xdr:cNvPr id="4" name="Chart 3">
          <a:extLst>
            <a:ext uri="{FF2B5EF4-FFF2-40B4-BE49-F238E27FC236}">
              <a16:creationId xmlns:a16="http://schemas.microsoft.com/office/drawing/2014/main" id="{424A8873-46A2-124A-BAAA-7687A4C4C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313194</xdr:colOff>
      <xdr:row>19</xdr:row>
      <xdr:rowOff>84667</xdr:rowOff>
    </xdr:from>
    <xdr:to>
      <xdr:col>7</xdr:col>
      <xdr:colOff>787400</xdr:colOff>
      <xdr:row>38</xdr:row>
      <xdr:rowOff>130929</xdr:rowOff>
    </xdr:to>
    <xdr:graphicFrame macro="">
      <xdr:nvGraphicFramePr>
        <xdr:cNvPr id="5" name="Chart 4">
          <a:extLst>
            <a:ext uri="{FF2B5EF4-FFF2-40B4-BE49-F238E27FC236}">
              <a16:creationId xmlns:a16="http://schemas.microsoft.com/office/drawing/2014/main" id="{51788CCB-A001-9F4D-813E-3AD8A6D87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774700</xdr:colOff>
      <xdr:row>19</xdr:row>
      <xdr:rowOff>76200</xdr:rowOff>
    </xdr:from>
    <xdr:to>
      <xdr:col>16</xdr:col>
      <xdr:colOff>520700</xdr:colOff>
      <xdr:row>38</xdr:row>
      <xdr:rowOff>127000</xdr:rowOff>
    </xdr:to>
    <xdr:graphicFrame macro="">
      <xdr:nvGraphicFramePr>
        <xdr:cNvPr id="6" name="Chart 5">
          <a:extLst>
            <a:ext uri="{FF2B5EF4-FFF2-40B4-BE49-F238E27FC236}">
              <a16:creationId xmlns:a16="http://schemas.microsoft.com/office/drawing/2014/main" id="{161AA1E4-B1CF-6E40-9457-4117E189F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16934</xdr:colOff>
      <xdr:row>3</xdr:row>
      <xdr:rowOff>22224</xdr:rowOff>
    </xdr:from>
    <xdr:to>
      <xdr:col>1</xdr:col>
      <xdr:colOff>353505</xdr:colOff>
      <xdr:row>7</xdr:row>
      <xdr:rowOff>170205</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3E95D519-1F0E-36D8-012C-08C369CAB3D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933" y="847725"/>
              <a:ext cx="1840442" cy="107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3842</xdr:colOff>
      <xdr:row>7</xdr:row>
      <xdr:rowOff>174232</xdr:rowOff>
    </xdr:from>
    <xdr:to>
      <xdr:col>1</xdr:col>
      <xdr:colOff>327320</xdr:colOff>
      <xdr:row>27</xdr:row>
      <xdr:rowOff>2783</xdr:rowOff>
    </xdr:to>
    <mc:AlternateContent xmlns:mc="http://schemas.openxmlformats.org/markup-compatibility/2006" xmlns:a14="http://schemas.microsoft.com/office/drawing/2010/main">
      <mc:Choice Requires="a14">
        <xdr:graphicFrame macro="">
          <xdr:nvGraphicFramePr>
            <xdr:cNvPr id="15" name="age_range">
              <a:extLst>
                <a:ext uri="{FF2B5EF4-FFF2-40B4-BE49-F238E27FC236}">
                  <a16:creationId xmlns:a16="http://schemas.microsoft.com/office/drawing/2014/main" id="{3F905224-A745-96BF-FD68-64B75386166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ge_range"/>
            </a:graphicData>
          </a:graphic>
        </xdr:graphicFrame>
      </mc:Choice>
      <mc:Fallback xmlns="">
        <xdr:sp macro="" textlink="">
          <xdr:nvSpPr>
            <xdr:cNvPr id="0" name=""/>
            <xdr:cNvSpPr>
              <a:spLocks noTextEdit="1"/>
            </xdr:cNvSpPr>
          </xdr:nvSpPr>
          <xdr:spPr>
            <a:xfrm>
              <a:off x="3842" y="1812532"/>
              <a:ext cx="1275978" cy="3892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16</xdr:col>
      <xdr:colOff>522817</xdr:colOff>
      <xdr:row>3</xdr:row>
      <xdr:rowOff>4233</xdr:rowOff>
    </xdr:from>
    <xdr:to>
      <xdr:col>17</xdr:col>
      <xdr:colOff>1206501</xdr:colOff>
      <xdr:row>19</xdr:row>
      <xdr:rowOff>27517</xdr:rowOff>
    </xdr:to>
    <mc:AlternateContent xmlns:mc="http://schemas.openxmlformats.org/markup-compatibility/2006" xmlns:a14="http://schemas.microsoft.com/office/drawing/2010/main">
      <mc:Choice Requires="a14">
        <xdr:graphicFrame macro="">
          <xdr:nvGraphicFramePr>
            <xdr:cNvPr id="16" name="Occ_code">
              <a:extLst>
                <a:ext uri="{FF2B5EF4-FFF2-40B4-BE49-F238E27FC236}">
                  <a16:creationId xmlns:a16="http://schemas.microsoft.com/office/drawing/2014/main" id="{4077FD05-D102-BE95-83DE-99F41428136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cc_code"/>
            </a:graphicData>
          </a:graphic>
        </xdr:graphicFrame>
      </mc:Choice>
      <mc:Fallback xmlns="">
        <xdr:sp macro="" textlink="">
          <xdr:nvSpPr>
            <xdr:cNvPr id="0" name=""/>
            <xdr:cNvSpPr>
              <a:spLocks noTextEdit="1"/>
            </xdr:cNvSpPr>
          </xdr:nvSpPr>
          <xdr:spPr>
            <a:xfrm>
              <a:off x="16143817" y="829733"/>
              <a:ext cx="1636184" cy="32744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16</xdr:col>
      <xdr:colOff>516467</xdr:colOff>
      <xdr:row>19</xdr:row>
      <xdr:rowOff>38100</xdr:rowOff>
    </xdr:from>
    <xdr:to>
      <xdr:col>18</xdr:col>
      <xdr:colOff>3176</xdr:colOff>
      <xdr:row>24</xdr:row>
      <xdr:rowOff>12700</xdr:rowOff>
    </xdr:to>
    <mc:AlternateContent xmlns:mc="http://schemas.openxmlformats.org/markup-compatibility/2006" xmlns:a14="http://schemas.microsoft.com/office/drawing/2010/main">
      <mc:Choice Requires="a14">
        <xdr:graphicFrame macro="">
          <xdr:nvGraphicFramePr>
            <xdr:cNvPr id="17" name="Partner_status">
              <a:extLst>
                <a:ext uri="{FF2B5EF4-FFF2-40B4-BE49-F238E27FC236}">
                  <a16:creationId xmlns:a16="http://schemas.microsoft.com/office/drawing/2014/main" id="{A25AF48A-8A08-F882-B1AA-707E5508A8C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artner_status"/>
            </a:graphicData>
          </a:graphic>
        </xdr:graphicFrame>
      </mc:Choice>
      <mc:Fallback xmlns="">
        <xdr:sp macro="" textlink="">
          <xdr:nvSpPr>
            <xdr:cNvPr id="0" name=""/>
            <xdr:cNvSpPr>
              <a:spLocks noTextEdit="1"/>
            </xdr:cNvSpPr>
          </xdr:nvSpPr>
          <xdr:spPr>
            <a:xfrm>
              <a:off x="16137467" y="4114800"/>
              <a:ext cx="1667934"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16</xdr:col>
      <xdr:colOff>523875</xdr:colOff>
      <xdr:row>24</xdr:row>
      <xdr:rowOff>10585</xdr:rowOff>
    </xdr:from>
    <xdr:to>
      <xdr:col>17</xdr:col>
      <xdr:colOff>1206500</xdr:colOff>
      <xdr:row>28</xdr:row>
      <xdr:rowOff>171450</xdr:rowOff>
    </xdr:to>
    <mc:AlternateContent xmlns:mc="http://schemas.openxmlformats.org/markup-compatibility/2006" xmlns:a14="http://schemas.microsoft.com/office/drawing/2010/main">
      <mc:Choice Requires="a14">
        <xdr:graphicFrame macro="">
          <xdr:nvGraphicFramePr>
            <xdr:cNvPr id="18" name="Lodgment_method">
              <a:extLst>
                <a:ext uri="{FF2B5EF4-FFF2-40B4-BE49-F238E27FC236}">
                  <a16:creationId xmlns:a16="http://schemas.microsoft.com/office/drawing/2014/main" id="{7AF3AE84-7D63-D9B9-20AA-AEAB2C45AF6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Lodgment_method"/>
            </a:graphicData>
          </a:graphic>
        </xdr:graphicFrame>
      </mc:Choice>
      <mc:Fallback xmlns="">
        <xdr:sp macro="" textlink="">
          <xdr:nvSpPr>
            <xdr:cNvPr id="0" name=""/>
            <xdr:cNvSpPr>
              <a:spLocks noTextEdit="1"/>
            </xdr:cNvSpPr>
          </xdr:nvSpPr>
          <xdr:spPr>
            <a:xfrm>
              <a:off x="16144875" y="5103285"/>
              <a:ext cx="1673225" cy="9736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3840</xdr:colOff>
      <xdr:row>26</xdr:row>
      <xdr:rowOff>207161</xdr:rowOff>
    </xdr:from>
    <xdr:to>
      <xdr:col>1</xdr:col>
      <xdr:colOff>327320</xdr:colOff>
      <xdr:row>31</xdr:row>
      <xdr:rowOff>169060</xdr:rowOff>
    </xdr:to>
    <mc:AlternateContent xmlns:mc="http://schemas.openxmlformats.org/markup-compatibility/2006" xmlns:a14="http://schemas.microsoft.com/office/drawing/2010/main">
      <mc:Choice Requires="a14">
        <xdr:graphicFrame macro="">
          <xdr:nvGraphicFramePr>
            <xdr:cNvPr id="19" name="PHI_Ind">
              <a:extLst>
                <a:ext uri="{FF2B5EF4-FFF2-40B4-BE49-F238E27FC236}">
                  <a16:creationId xmlns:a16="http://schemas.microsoft.com/office/drawing/2014/main" id="{7CE06EC1-C729-6B59-E4AC-8D9961BBBA5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HI_Ind"/>
            </a:graphicData>
          </a:graphic>
        </xdr:graphicFrame>
      </mc:Choice>
      <mc:Fallback xmlns="">
        <xdr:sp macro="" textlink="">
          <xdr:nvSpPr>
            <xdr:cNvPr id="0" name=""/>
            <xdr:cNvSpPr>
              <a:spLocks noTextEdit="1"/>
            </xdr:cNvSpPr>
          </xdr:nvSpPr>
          <xdr:spPr>
            <a:xfrm>
              <a:off x="3840" y="5706261"/>
              <a:ext cx="1275980" cy="977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3.xml><?xml version="1.0" encoding="utf-8"?>
<xdr:wsDr xmlns:xdr="http://schemas.openxmlformats.org/drawingml/2006/spreadsheetDrawing" xmlns:a="http://schemas.openxmlformats.org/drawingml/2006/main">
  <xdr:twoCellAnchor>
    <xdr:from>
      <xdr:col>2</xdr:col>
      <xdr:colOff>120650</xdr:colOff>
      <xdr:row>2</xdr:row>
      <xdr:rowOff>6350</xdr:rowOff>
    </xdr:from>
    <xdr:to>
      <xdr:col>20</xdr:col>
      <xdr:colOff>279400</xdr:colOff>
      <xdr:row>17</xdr:row>
      <xdr:rowOff>190500</xdr:rowOff>
    </xdr:to>
    <xdr:graphicFrame macro="">
      <xdr:nvGraphicFramePr>
        <xdr:cNvPr id="2" name="Bar | Inc - Age">
          <a:extLst>
            <a:ext uri="{FF2B5EF4-FFF2-40B4-BE49-F238E27FC236}">
              <a16:creationId xmlns:a16="http://schemas.microsoft.com/office/drawing/2014/main" id="{F025AD69-07C4-3EDC-337B-91BF5FC40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xdr:colOff>
      <xdr:row>2</xdr:row>
      <xdr:rowOff>0</xdr:rowOff>
    </xdr:from>
    <xdr:to>
      <xdr:col>5</xdr:col>
      <xdr:colOff>927100</xdr:colOff>
      <xdr:row>15</xdr:row>
      <xdr:rowOff>101600</xdr:rowOff>
    </xdr:to>
    <xdr:graphicFrame macro="">
      <xdr:nvGraphicFramePr>
        <xdr:cNvPr id="2" name="Pie | Gender">
          <a:extLst>
            <a:ext uri="{FF2B5EF4-FFF2-40B4-BE49-F238E27FC236}">
              <a16:creationId xmlns:a16="http://schemas.microsoft.com/office/drawing/2014/main" id="{EF71BF1F-3AD2-D2C3-2857-F7772851A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146050</xdr:colOff>
      <xdr:row>2</xdr:row>
      <xdr:rowOff>127000</xdr:rowOff>
    </xdr:from>
    <xdr:to>
      <xdr:col>12</xdr:col>
      <xdr:colOff>762000</xdr:colOff>
      <xdr:row>20</xdr:row>
      <xdr:rowOff>177800</xdr:rowOff>
    </xdr:to>
    <xdr:graphicFrame macro="">
      <xdr:nvGraphicFramePr>
        <xdr:cNvPr id="2" name="Line | Ded - Age &amp; Gender">
          <a:extLst>
            <a:ext uri="{FF2B5EF4-FFF2-40B4-BE49-F238E27FC236}">
              <a16:creationId xmlns:a16="http://schemas.microsoft.com/office/drawing/2014/main" id="{09D1E08C-9E07-CB28-02EF-07916D0CB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552449</xdr:colOff>
      <xdr:row>15</xdr:row>
      <xdr:rowOff>127000</xdr:rowOff>
    </xdr:from>
    <xdr:to>
      <xdr:col>4</xdr:col>
      <xdr:colOff>607862</xdr:colOff>
      <xdr:row>34</xdr:row>
      <xdr:rowOff>43419</xdr:rowOff>
    </xdr:to>
    <xdr:graphicFrame macro="">
      <xdr:nvGraphicFramePr>
        <xdr:cNvPr id="2" name="Bar | Tax - Occ &amp; Part">
          <a:extLst>
            <a:ext uri="{FF2B5EF4-FFF2-40B4-BE49-F238E27FC236}">
              <a16:creationId xmlns:a16="http://schemas.microsoft.com/office/drawing/2014/main" id="{DC83F987-731F-A21A-AAC7-02DC30556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374650</xdr:colOff>
      <xdr:row>35</xdr:row>
      <xdr:rowOff>50800</xdr:rowOff>
    </xdr:from>
    <xdr:to>
      <xdr:col>4</xdr:col>
      <xdr:colOff>1854200</xdr:colOff>
      <xdr:row>53</xdr:row>
      <xdr:rowOff>127000</xdr:rowOff>
    </xdr:to>
    <xdr:graphicFrame macro="">
      <xdr:nvGraphicFramePr>
        <xdr:cNvPr id="2" name="Bar | Inc - Health &amp; Occ">
          <a:extLst>
            <a:ext uri="{FF2B5EF4-FFF2-40B4-BE49-F238E27FC236}">
              <a16:creationId xmlns:a16="http://schemas.microsoft.com/office/drawing/2014/main" id="{52F77A45-B9D6-A9EE-30FE-A3DA0C4E6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72953</xdr:colOff>
      <xdr:row>0</xdr:row>
      <xdr:rowOff>0</xdr:rowOff>
    </xdr:from>
    <xdr:to>
      <xdr:col>9</xdr:col>
      <xdr:colOff>1022744</xdr:colOff>
      <xdr:row>18</xdr:row>
      <xdr:rowOff>78672</xdr:rowOff>
    </xdr:to>
    <xdr:graphicFrame macro="">
      <xdr:nvGraphicFramePr>
        <xdr:cNvPr id="3" name="Chart 2">
          <a:extLst>
            <a:ext uri="{FF2B5EF4-FFF2-40B4-BE49-F238E27FC236}">
              <a16:creationId xmlns:a16="http://schemas.microsoft.com/office/drawing/2014/main" id="{72BD6262-245E-4DD7-4C9C-41783C833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yen Trang" refreshedDate="45971.838199421298" createdVersion="8" refreshedVersion="8" minRefreshableVersion="3" recordCount="1000" xr:uid="{BFB68D4B-3D92-5147-9647-ED1CA929DE13}">
  <cacheSource type="worksheet">
    <worksheetSource name="SAMPLE10"/>
  </cacheSource>
  <cacheFields count="10">
    <cacheField name="Ind" numFmtId="0">
      <sharedItems containsSemiMixedTypes="0" containsString="0" containsNumber="1" containsInteger="1" minValue="311" maxValue="258399"/>
    </cacheField>
    <cacheField name="Gender" numFmtId="0">
      <sharedItems count="2">
        <s v="Male"/>
        <s v="Female"/>
      </sharedItems>
    </cacheField>
    <cacheField name="age_range" numFmtId="0">
      <sharedItems count="12">
        <s v="45 to 49"/>
        <s v="20 to 24"/>
        <s v="70 and over"/>
        <s v="30 to 34"/>
        <s v="25 to 29"/>
        <s v="35 to 39"/>
        <s v="under 20"/>
        <s v="50 to 54"/>
        <s v="40 to 44"/>
        <s v="55 to 59"/>
        <s v="60 to 64"/>
        <s v="65 to 69"/>
      </sharedItems>
    </cacheField>
    <cacheField name="Occ_code" numFmtId="0">
      <sharedItems count="10">
        <s v="Managers"/>
        <s v="Sales workers"/>
        <s v="Consultants, apprentices and type not specified or not listed"/>
        <s v="Technicians and Trades Workers"/>
        <s v="Labourers"/>
        <s v="Machinery operators and drivers"/>
        <s v="Professionals"/>
        <s v="Occupation not listed/ Occupation not specified"/>
        <s v="Clerical and Administrative Workers"/>
        <s v="Community and Personal Service Workers"/>
      </sharedItems>
    </cacheField>
    <cacheField name="Partner_status" numFmtId="0">
      <sharedItems count="2">
        <s v="Partnered"/>
        <s v="Single"/>
      </sharedItems>
    </cacheField>
    <cacheField name="Lodgment_method" numFmtId="0">
      <sharedItems count="2">
        <s v="Tax Agent"/>
        <s v="Self Prepared"/>
      </sharedItems>
    </cacheField>
    <cacheField name="PHI_Ind" numFmtId="0">
      <sharedItems count="2">
        <s v="PHI"/>
        <s v="No PHI"/>
      </sharedItems>
    </cacheField>
    <cacheField name="Tot_inc_amt" numFmtId="0">
      <sharedItems containsSemiMixedTypes="0" containsString="0" containsNumber="1" containsInteger="1" minValue="-80309" maxValue="665612" count="989">
        <n v="86368"/>
        <n v="62342"/>
        <n v="19046"/>
        <n v="70672"/>
        <n v="49168"/>
        <n v="69092"/>
        <n v="94769"/>
        <n v="43127"/>
        <n v="120743"/>
        <n v="105006"/>
        <n v="17427"/>
        <n v="329"/>
        <n v="90156"/>
        <n v="144244"/>
        <n v="51006"/>
        <n v="28047"/>
        <n v="58304"/>
        <n v="25172"/>
        <n v="51530"/>
        <n v="201030"/>
        <n v="106667"/>
        <n v="106932"/>
        <n v="71962"/>
        <n v="26386"/>
        <n v="7089"/>
        <n v="53285"/>
        <n v="45319"/>
        <n v="34603"/>
        <n v="18824"/>
        <n v="25568"/>
        <n v="80751"/>
        <n v="32117"/>
        <n v="42233"/>
        <n v="25564"/>
        <n v="25716"/>
        <n v="50038"/>
        <n v="19124"/>
        <n v="665612"/>
        <n v="17386"/>
        <n v="84178"/>
        <n v="49236"/>
        <n v="9527"/>
        <n v="66500"/>
        <n v="61386"/>
        <n v="83925"/>
        <n v="60311"/>
        <n v="37523"/>
        <n v="59910"/>
        <n v="66457"/>
        <n v="10439"/>
        <n v="21969"/>
        <n v="54325"/>
        <n v="98107"/>
        <n v="79237"/>
        <n v="71800"/>
        <n v="744"/>
        <n v="132544"/>
        <n v="73774"/>
        <n v="66671"/>
        <n v="207850"/>
        <n v="35404"/>
        <n v="77899"/>
        <n v="113671"/>
        <n v="34495"/>
        <n v="13399"/>
        <n v="38149"/>
        <n v="45490"/>
        <n v="39061"/>
        <n v="65209"/>
        <n v="115567"/>
        <n v="38984"/>
        <n v="59711"/>
        <n v="12417"/>
        <n v="26987"/>
        <n v="7401"/>
        <n v="395"/>
        <n v="48152"/>
        <n v="116422"/>
        <n v="40149"/>
        <n v="10157"/>
        <n v="105262"/>
        <n v="47980"/>
        <n v="98086"/>
        <n v="73677"/>
        <n v="46978"/>
        <n v="14916"/>
        <n v="50419"/>
        <n v="92452"/>
        <n v="74000"/>
        <n v="127747"/>
        <n v="17707"/>
        <n v="64774"/>
        <n v="88783"/>
        <n v="114667"/>
        <n v="37583"/>
        <n v="81937"/>
        <n v="31943"/>
        <n v="47786"/>
        <n v="76936"/>
        <n v="4081"/>
        <n v="329444"/>
        <n v="122207"/>
        <n v="99468"/>
        <n v="50782"/>
        <n v="53826"/>
        <n v="49288"/>
        <n v="42556"/>
        <n v="42654"/>
        <n v="79984"/>
        <n v="315"/>
        <n v="11568"/>
        <n v="25773"/>
        <n v="45033"/>
        <n v="106693"/>
        <n v="23903"/>
        <n v="107373"/>
        <n v="65323"/>
        <n v="127211"/>
        <n v="14509"/>
        <n v="43748"/>
        <n v="25281"/>
        <n v="4007"/>
        <n v="133566"/>
        <n v="39357"/>
        <n v="19613"/>
        <n v="12158"/>
        <n v="57090"/>
        <n v="111777"/>
        <n v="26704"/>
        <n v="71831"/>
        <n v="47597"/>
        <n v="63752"/>
        <n v="40434"/>
        <n v="0"/>
        <n v="23118"/>
        <n v="33626"/>
        <n v="49023"/>
        <n v="44018"/>
        <n v="153645"/>
        <n v="30551"/>
        <n v="40291"/>
        <n v="48649"/>
        <n v="23126"/>
        <n v="22803"/>
        <n v="61574"/>
        <n v="20410"/>
        <n v="81512"/>
        <n v="54378"/>
        <n v="103899"/>
        <n v="67993"/>
        <n v="38749"/>
        <n v="15506"/>
        <n v="67930"/>
        <n v="18500"/>
        <n v="303"/>
        <n v="13558"/>
        <n v="44214"/>
        <n v="162588"/>
        <n v="19823"/>
        <n v="53957"/>
        <n v="81088"/>
        <n v="21138"/>
        <n v="130660"/>
        <n v="71502"/>
        <n v="83643"/>
        <n v="70284"/>
        <n v="74516"/>
        <n v="100363"/>
        <n v="81360"/>
        <n v="868"/>
        <n v="105632"/>
        <n v="81081"/>
        <n v="39656"/>
        <n v="65452"/>
        <n v="123215"/>
        <n v="60741"/>
        <n v="204950"/>
        <n v="14683"/>
        <n v="37616"/>
        <n v="34270"/>
        <n v="17057"/>
        <n v="65677"/>
        <n v="84287"/>
        <n v="56512"/>
        <n v="64006"/>
        <n v="65714"/>
        <n v="99883"/>
        <n v="57610"/>
        <n v="40743"/>
        <n v="87091"/>
        <n v="151829"/>
        <n v="36104"/>
        <n v="41335"/>
        <n v="27462"/>
        <n v="20258"/>
        <n v="63833"/>
        <n v="15211"/>
        <n v="23959"/>
        <n v="32345"/>
        <n v="21540"/>
        <n v="67726"/>
        <n v="8948"/>
        <n v="44467"/>
        <n v="121177"/>
        <n v="73607"/>
        <n v="42603"/>
        <n v="67294"/>
        <n v="134744"/>
        <n v="75608"/>
        <n v="36783"/>
        <n v="16680"/>
        <n v="24423"/>
        <n v="23195"/>
        <n v="57058"/>
        <n v="68293"/>
        <n v="31422"/>
        <n v="24596"/>
        <n v="117377"/>
        <n v="61329"/>
        <n v="53672"/>
        <n v="18519"/>
        <n v="28742"/>
        <n v="65113"/>
        <n v="112561"/>
        <n v="49107"/>
        <n v="36653"/>
        <n v="22172"/>
        <n v="108891"/>
        <n v="17201"/>
        <n v="75441"/>
        <n v="58779"/>
        <n v="63738"/>
        <n v="41728"/>
        <n v="78487"/>
        <n v="69216"/>
        <n v="74018"/>
        <n v="41702"/>
        <n v="15157"/>
        <n v="3053"/>
        <n v="63393"/>
        <n v="586"/>
        <n v="103123"/>
        <n v="74064"/>
        <n v="38693"/>
        <n v="8702"/>
        <n v="41147"/>
        <n v="72696"/>
        <n v="222"/>
        <n v="19880"/>
        <n v="8754"/>
        <n v="53738"/>
        <n v="49797"/>
        <n v="17061"/>
        <n v="53378"/>
        <n v="36553"/>
        <n v="92204"/>
        <n v="46032"/>
        <n v="164860"/>
        <n v="20390"/>
        <n v="411"/>
        <n v="362528"/>
        <n v="84012"/>
        <n v="11932"/>
        <n v="87820"/>
        <n v="63677"/>
        <n v="41408"/>
        <n v="687"/>
        <n v="24043"/>
        <n v="18083"/>
        <n v="21621"/>
        <n v="45731"/>
        <n v="-989"/>
        <n v="66338"/>
        <n v="63322"/>
        <n v="19786"/>
        <n v="46660"/>
        <n v="115874"/>
        <n v="23868"/>
        <n v="43868"/>
        <n v="10966"/>
        <n v="75468"/>
        <n v="19340"/>
        <n v="204515"/>
        <n v="76777"/>
        <n v="22865"/>
        <n v="170613"/>
        <n v="39073"/>
        <n v="22825"/>
        <n v="68022"/>
        <n v="15649"/>
        <n v="14902"/>
        <n v="50117"/>
        <n v="10032"/>
        <n v="145393"/>
        <n v="1530"/>
        <n v="45494"/>
        <n v="33927"/>
        <n v="40478"/>
        <n v="48598"/>
        <n v="64041"/>
        <n v="278"/>
        <n v="107092"/>
        <n v="3202"/>
        <n v="45498"/>
        <n v="68615"/>
        <n v="31488"/>
        <n v="38450"/>
        <n v="52404"/>
        <n v="15171"/>
        <n v="74453"/>
        <n v="19648"/>
        <n v="80271"/>
        <n v="119681"/>
        <n v="2629"/>
        <n v="130322"/>
        <n v="42586"/>
        <n v="116709"/>
        <n v="77766"/>
        <n v="76166"/>
        <n v="28863"/>
        <n v="45633"/>
        <n v="75128"/>
        <n v="78897"/>
        <n v="67510"/>
        <n v="43561"/>
        <n v="59184"/>
        <n v="69530"/>
        <n v="138540"/>
        <n v="49108"/>
        <n v="48662"/>
        <n v="37481"/>
        <n v="65253"/>
        <n v="59928"/>
        <n v="11159"/>
        <n v="58984"/>
        <n v="91953"/>
        <n v="106104"/>
        <n v="15205"/>
        <n v="27258"/>
        <n v="24223"/>
        <n v="41210"/>
        <n v="177747"/>
        <n v="26670"/>
        <n v="6392"/>
        <n v="64042"/>
        <n v="59677"/>
        <n v="205028"/>
        <n v="121759"/>
        <n v="50248"/>
        <n v="81260"/>
        <n v="26314"/>
        <n v="308266"/>
        <n v="94643"/>
        <n v="14091"/>
        <n v="37766"/>
        <n v="91854"/>
        <n v="14003"/>
        <n v="101018"/>
        <n v="88363"/>
        <n v="125755"/>
        <n v="102712"/>
        <n v="62999"/>
        <n v="35008"/>
        <n v="37744"/>
        <n v="1011"/>
        <n v="23655"/>
        <n v="488320"/>
        <n v="39860"/>
        <n v="151110"/>
        <n v="308194"/>
        <n v="18363"/>
        <n v="181275"/>
        <n v="78850"/>
        <n v="41389"/>
        <n v="87181"/>
        <n v="38618"/>
        <n v="108263"/>
        <n v="164958"/>
        <n v="33655"/>
        <n v="69036"/>
        <n v="74892"/>
        <n v="96112"/>
        <n v="30087"/>
        <n v="91742"/>
        <n v="28828"/>
        <n v="64806"/>
        <n v="35360"/>
        <n v="72218"/>
        <n v="79835"/>
        <n v="85896"/>
        <n v="51113"/>
        <n v="50304"/>
        <n v="15571"/>
        <n v="81769"/>
        <n v="1144"/>
        <n v="19039"/>
        <n v="31289"/>
        <n v="12492"/>
        <n v="34940"/>
        <n v="14743"/>
        <n v="59661"/>
        <n v="37787"/>
        <n v="67807"/>
        <n v="66885"/>
        <n v="32101"/>
        <n v="73390"/>
        <n v="61922"/>
        <n v="215808"/>
        <n v="9150"/>
        <n v="56215"/>
        <n v="45100"/>
        <n v="57408"/>
        <n v="72575"/>
        <n v="7581"/>
        <n v="12457"/>
        <n v="60686"/>
        <n v="65324"/>
        <n v="84938"/>
        <n v="55"/>
        <n v="33227"/>
        <n v="259130"/>
        <n v="19372"/>
        <n v="34027"/>
        <n v="11742"/>
        <n v="47796"/>
        <n v="177360"/>
        <n v="103878"/>
        <n v="63636"/>
        <n v="38585"/>
        <n v="13962"/>
        <n v="34362"/>
        <n v="23269"/>
        <n v="81530"/>
        <n v="87487"/>
        <n v="84164"/>
        <n v="19278"/>
        <n v="28460"/>
        <n v="20102"/>
        <n v="86061"/>
        <n v="34008"/>
        <n v="65604"/>
        <n v="23041"/>
        <n v="49826"/>
        <n v="53978"/>
        <n v="45598"/>
        <n v="16347"/>
        <n v="52820"/>
        <n v="196896"/>
        <n v="68475"/>
        <n v="22999"/>
        <n v="112532"/>
        <n v="70096"/>
        <n v="51388"/>
        <n v="80691"/>
        <n v="12875"/>
        <n v="66797"/>
        <n v="60159"/>
        <n v="2731"/>
        <n v="60031"/>
        <n v="39657"/>
        <n v="45622"/>
        <n v="76989"/>
        <n v="3687"/>
        <n v="43819"/>
        <n v="77295"/>
        <n v="57962"/>
        <n v="81639"/>
        <n v="8764"/>
        <n v="144106"/>
        <n v="21902"/>
        <n v="38707"/>
        <n v="67891"/>
        <n v="144994"/>
        <n v="39871"/>
        <n v="97853"/>
        <n v="60979"/>
        <n v="87680"/>
        <n v="92333"/>
        <n v="72324"/>
        <n v="34884"/>
        <n v="78906"/>
        <n v="8035"/>
        <n v="34772"/>
        <n v="51584"/>
        <n v="43261"/>
        <n v="65772"/>
        <n v="133661"/>
        <n v="77401"/>
        <n v="12723"/>
        <n v="29394"/>
        <n v="39927"/>
        <n v="130740"/>
        <n v="46461"/>
        <n v="67632"/>
        <n v="110728"/>
        <n v="2364"/>
        <n v="75547"/>
        <n v="51449"/>
        <n v="111011"/>
        <n v="99465"/>
        <n v="43529"/>
        <n v="57321"/>
        <n v="96524"/>
        <n v="74897"/>
        <n v="84918"/>
        <n v="32111"/>
        <n v="103097"/>
        <n v="41222"/>
        <n v="15263"/>
        <n v="34985"/>
        <n v="55677"/>
        <n v="32695"/>
        <n v="214767"/>
        <n v="35588"/>
        <n v="38729"/>
        <n v="19963"/>
        <n v="33963"/>
        <n v="-192"/>
        <n v="87649"/>
        <n v="74993"/>
        <n v="33402"/>
        <n v="67007"/>
        <n v="75178"/>
        <n v="13433"/>
        <n v="17622"/>
        <n v="17979"/>
        <n v="23328"/>
        <n v="69146"/>
        <n v="57304"/>
        <n v="5908"/>
        <n v="44531"/>
        <n v="19884"/>
        <n v="38875"/>
        <n v="32784"/>
        <n v="1866"/>
        <n v="81416"/>
        <n v="18203"/>
        <n v="74260"/>
        <n v="73807"/>
        <n v="80476"/>
        <n v="69025"/>
        <n v="185032"/>
        <n v="17583"/>
        <n v="29235"/>
        <n v="33514"/>
        <n v="54436"/>
        <n v="72866"/>
        <n v="56080"/>
        <n v="92216"/>
        <n v="101435"/>
        <n v="47949"/>
        <n v="41048"/>
        <n v="22108"/>
        <n v="106867"/>
        <n v="13695"/>
        <n v="29608"/>
        <n v="135187"/>
        <n v="5448"/>
        <n v="57626"/>
        <n v="21353"/>
        <n v="40308"/>
        <n v="59108"/>
        <n v="30611"/>
        <n v="63198"/>
        <n v="19465"/>
        <n v="42883"/>
        <n v="119172"/>
        <n v="66396"/>
        <n v="137693"/>
        <n v="87853"/>
        <n v="9631"/>
        <n v="80250"/>
        <n v="34933"/>
        <n v="237801"/>
        <n v="81663"/>
        <n v="91021"/>
        <n v="4044"/>
        <n v="5990"/>
        <n v="62292"/>
        <n v="105916"/>
        <n v="47672"/>
        <n v="24936"/>
        <n v="39321"/>
        <n v="31208"/>
        <n v="821"/>
        <n v="54942"/>
        <n v="83915"/>
        <n v="1681"/>
        <n v="145000"/>
        <n v="48411"/>
        <n v="40311"/>
        <n v="105741"/>
        <n v="33833"/>
        <n v="39456"/>
        <n v="133990"/>
        <n v="22587"/>
        <n v="4439"/>
        <n v="88399"/>
        <n v="59934"/>
        <n v="142548"/>
        <n v="82428"/>
        <n v="13129"/>
        <n v="15146"/>
        <n v="60783"/>
        <n v="177"/>
        <n v="21706"/>
        <n v="215415"/>
        <n v="3"/>
        <n v="12694"/>
        <n v="76009"/>
        <n v="43753"/>
        <n v="49545"/>
        <n v="158820"/>
        <n v="54082"/>
        <n v="39567"/>
        <n v="901"/>
        <n v="11117"/>
        <n v="92653"/>
        <n v="127193"/>
        <n v="11963"/>
        <n v="129812"/>
        <n v="6611"/>
        <n v="36406"/>
        <n v="83674"/>
        <n v="37169"/>
        <n v="99167"/>
        <n v="49651"/>
        <n v="48603"/>
        <n v="1187"/>
        <n v="26551"/>
        <n v="49649"/>
        <n v="20337"/>
        <n v="40411"/>
        <n v="736"/>
        <n v="253296"/>
        <n v="39295"/>
        <n v="33824"/>
        <n v="5175"/>
        <n v="17679"/>
        <n v="10504"/>
        <n v="45279"/>
        <n v="175816"/>
        <n v="54064"/>
        <n v="85665"/>
        <n v="33202"/>
        <n v="22870"/>
        <n v="61229"/>
        <n v="6260"/>
        <n v="45573"/>
        <n v="32718"/>
        <n v="17334"/>
        <n v="64514"/>
        <n v="33678"/>
        <n v="30975"/>
        <n v="40486"/>
        <n v="31818"/>
        <n v="45130"/>
        <n v="5200"/>
        <n v="62812"/>
        <n v="33930"/>
        <n v="52340"/>
        <n v="17570"/>
        <n v="41594"/>
        <n v="499"/>
        <n v="32571"/>
        <n v="39858"/>
        <n v="169967"/>
        <n v="27854"/>
        <n v="12859"/>
        <n v="23531"/>
        <n v="28105"/>
        <n v="184333"/>
        <n v="53904"/>
        <n v="175129"/>
        <n v="25284"/>
        <n v="329651"/>
        <n v="23983"/>
        <n v="79165"/>
        <n v="92935"/>
        <n v="5023"/>
        <n v="40466"/>
        <n v="560"/>
        <n v="79168"/>
        <n v="19087"/>
        <n v="43712"/>
        <n v="24109"/>
        <n v="74283"/>
        <n v="27072"/>
        <n v="29568"/>
        <n v="72248"/>
        <n v="124770"/>
        <n v="31481"/>
        <n v="71534"/>
        <n v="55183"/>
        <n v="403365"/>
        <n v="161394"/>
        <n v="26245"/>
        <n v="308731"/>
        <n v="77110"/>
        <n v="142769"/>
        <n v="39258"/>
        <n v="25625"/>
        <n v="74710"/>
        <n v="18458"/>
        <n v="63024"/>
        <n v="82987"/>
        <n v="47465"/>
        <n v="29069"/>
        <n v="34294"/>
        <n v="30106"/>
        <n v="12363"/>
        <n v="37747"/>
        <n v="36272"/>
        <n v="15685"/>
        <n v="179410"/>
        <n v="84562"/>
        <n v="33852"/>
        <n v="41819"/>
        <n v="38434"/>
        <n v="28082"/>
        <n v="23775"/>
        <n v="21889"/>
        <n v="102932"/>
        <n v="34074"/>
        <n v="83420"/>
        <n v="30531"/>
        <n v="95614"/>
        <n v="4857"/>
        <n v="28839"/>
        <n v="42950"/>
        <n v="17985"/>
        <n v="36043"/>
        <n v="82008"/>
        <n v="84090"/>
        <n v="55127"/>
        <n v="46703"/>
        <n v="75992"/>
        <n v="47729"/>
        <n v="40390"/>
        <n v="30008"/>
        <n v="77602"/>
        <n v="6657"/>
        <n v="113967"/>
        <n v="37298"/>
        <n v="22435"/>
        <n v="6544"/>
        <n v="25845"/>
        <n v="63641"/>
        <n v="4002"/>
        <n v="54800"/>
        <n v="25379"/>
        <n v="12899"/>
        <n v="308104"/>
        <n v="4796"/>
        <n v="141894"/>
        <n v="40195"/>
        <n v="995"/>
        <n v="44641"/>
        <n v="64028"/>
        <n v="21963"/>
        <n v="93019"/>
        <n v="34034"/>
        <n v="21462"/>
        <n v="37850"/>
        <n v="28095"/>
        <n v="36550"/>
        <n v="5530"/>
        <n v="55341"/>
        <n v="25552"/>
        <n v="57115"/>
        <n v="203977"/>
        <n v="33192"/>
        <n v="93232"/>
        <n v="30325"/>
        <n v="47299"/>
        <n v="13812"/>
        <n v="122128"/>
        <n v="22998"/>
        <n v="29097"/>
        <n v="19903"/>
        <n v="38850"/>
        <n v="7049"/>
        <n v="44100"/>
        <n v="60018"/>
        <n v="42736"/>
        <n v="11511"/>
        <n v="21113"/>
        <n v="63142"/>
        <n v="53319"/>
        <n v="18268"/>
        <n v="57252"/>
        <n v="320023"/>
        <n v="82447"/>
        <n v="86314"/>
        <n v="37153"/>
        <n v="39718"/>
        <n v="87809"/>
        <n v="54434"/>
        <n v="52726"/>
        <n v="19594"/>
        <n v="64882"/>
        <n v="126758"/>
        <n v="61883"/>
        <n v="-80309"/>
        <n v="75532"/>
        <n v="108991"/>
        <n v="38472"/>
        <n v="24630"/>
        <n v="71227"/>
        <n v="44382"/>
        <n v="137272"/>
        <n v="116772"/>
        <n v="35497"/>
        <n v="34728"/>
        <n v="58264"/>
        <n v="74208"/>
        <n v="69939"/>
        <n v="26041"/>
        <n v="77359"/>
        <n v="74546"/>
        <n v="106253"/>
        <n v="9505"/>
        <n v="36431"/>
        <n v="22652"/>
        <n v="17364"/>
        <n v="34967"/>
        <n v="78369"/>
        <n v="34612"/>
        <n v="39485"/>
        <n v="11072"/>
        <n v="75600"/>
        <n v="36178"/>
        <n v="127940"/>
        <n v="377234"/>
        <n v="54022"/>
        <n v="11801"/>
        <n v="50305"/>
        <n v="88866"/>
        <n v="11944"/>
        <n v="39774"/>
        <n v="2132"/>
        <n v="29960"/>
        <n v="5395"/>
        <n v="113383"/>
        <n v="59246"/>
        <n v="41182"/>
        <n v="3447"/>
        <n v="91030"/>
        <n v="41775"/>
        <n v="68974"/>
        <n v="121815"/>
        <n v="73515"/>
        <n v="122376"/>
        <n v="75117"/>
        <n v="149842"/>
        <n v="49250"/>
        <n v="93439"/>
        <n v="39499"/>
        <n v="4148"/>
        <n v="52490"/>
        <n v="138377"/>
        <n v="11874"/>
        <n v="20920"/>
        <n v="81692"/>
        <n v="48939"/>
        <n v="12989"/>
        <n v="227664"/>
        <n v="71476"/>
        <n v="20569"/>
        <n v="20272"/>
        <n v="59941"/>
        <n v="38"/>
        <n v="6093"/>
        <n v="-32058"/>
        <n v="58791"/>
        <n v="88773"/>
        <n v="82385"/>
        <n v="38265"/>
        <n v="63136"/>
        <n v="24605"/>
        <n v="142628"/>
        <n v="3270"/>
        <n v="50446"/>
        <n v="39044"/>
        <n v="458"/>
        <n v="112781"/>
        <n v="17843"/>
        <n v="117716"/>
        <n v="49587"/>
        <n v="28927"/>
        <n v="67728"/>
        <n v="31064"/>
        <n v="328743"/>
        <n v="49063"/>
        <n v="26983"/>
        <n v="18227"/>
        <n v="15687"/>
        <n v="5369"/>
        <n v="25214"/>
        <n v="18"/>
        <n v="69307"/>
        <n v="86371"/>
        <n v="21247"/>
        <n v="13556"/>
        <n v="65600"/>
        <n v="60941"/>
        <n v="94472"/>
        <n v="77297"/>
        <n v="32763"/>
        <n v="38194"/>
        <n v="19101"/>
        <n v="71716"/>
        <n v="21626"/>
        <n v="23782"/>
        <n v="43570"/>
        <n v="25239"/>
        <n v="53544"/>
        <n v="125466"/>
        <n v="54503"/>
        <n v="57941"/>
        <n v="10740"/>
        <n v="157614"/>
        <n v="11580"/>
        <n v="42571"/>
        <n v="270704"/>
        <n v="30678"/>
        <n v="5685"/>
        <n v="24192"/>
        <n v="19208"/>
        <n v="78412"/>
        <n v="87780"/>
        <n v="82842"/>
        <n v="619"/>
        <n v="39749"/>
        <n v="14397"/>
        <n v="9974"/>
        <n v="52533"/>
        <n v="7"/>
        <n v="11043"/>
        <n v="15365"/>
        <n v="36458"/>
        <n v="66395"/>
        <n v="50789"/>
        <n v="53674"/>
        <n v="5070"/>
        <n v="36392"/>
        <n v="65394"/>
        <n v="29381"/>
        <n v="14066"/>
        <n v="31108"/>
        <n v="133702"/>
        <n v="202364"/>
        <n v="200292"/>
        <n v="31504"/>
        <n v="57207"/>
        <n v="146765"/>
        <n v="36998"/>
        <n v="1096"/>
        <n v="14242"/>
        <n v="32368"/>
        <n v="107291"/>
        <n v="56592"/>
        <n v="114378"/>
        <n v="106685"/>
        <n v="116064"/>
        <n v="161245"/>
        <n v="24171"/>
        <n v="97322"/>
        <n v="13719"/>
        <n v="81435"/>
        <n v="5"/>
        <n v="21780"/>
        <n v="155773"/>
        <n v="227040"/>
        <n v="22081"/>
        <n v="114363"/>
        <n v="48062"/>
        <n v="21838"/>
        <n v="60370"/>
        <n v="38440"/>
        <n v="25872"/>
        <n v="81954"/>
        <n v="145954"/>
        <n v="39366"/>
        <n v="25115"/>
        <n v="3745"/>
        <n v="4582"/>
        <n v="64752"/>
        <n v="47072"/>
      </sharedItems>
      <fieldGroup base="7">
        <rangePr autoStart="0" autoEnd="0" startNum="0" endNum="350000" groupInterval="50000"/>
        <groupItems count="9">
          <s v="&lt;0"/>
          <s v="0-49999"/>
          <s v="50000-99999"/>
          <s v="100000-149999"/>
          <s v="150000-199999"/>
          <s v="200000-249999"/>
          <s v="250000-299999"/>
          <s v="300000-350000"/>
          <s v="&gt;350000"/>
        </groupItems>
      </fieldGroup>
    </cacheField>
    <cacheField name="Tot_ded_amt" numFmtId="0">
      <sharedItems containsSemiMixedTypes="0" containsString="0" containsNumber="1" containsInteger="1" minValue="0" maxValue="56551" count="719">
        <n v="1060"/>
        <n v="337"/>
        <n v="0"/>
        <n v="4732"/>
        <n v="7787"/>
        <n v="5472"/>
        <n v="838"/>
        <n v="136"/>
        <n v="4363"/>
        <n v="891"/>
        <n v="2405"/>
        <n v="159"/>
        <n v="17669"/>
        <n v="2868"/>
        <n v="2486"/>
        <n v="5581"/>
        <n v="7850"/>
        <n v="10087"/>
        <n v="7536"/>
        <n v="1418"/>
        <n v="5285"/>
        <n v="344"/>
        <n v="6624"/>
        <n v="5265"/>
        <n v="4715"/>
        <n v="3567"/>
        <n v="371"/>
        <n v="160"/>
        <n v="1063"/>
        <n v="1607"/>
        <n v="2608"/>
        <n v="282"/>
        <n v="1952"/>
        <n v="716"/>
        <n v="760"/>
        <n v="162"/>
        <n v="1007"/>
        <n v="1109"/>
        <n v="321"/>
        <n v="21"/>
        <n v="822"/>
        <n v="8136"/>
        <n v="1121"/>
        <n v="860"/>
        <n v="785"/>
        <n v="2664"/>
        <n v="37"/>
        <n v="21465"/>
        <n v="418"/>
        <n v="1262"/>
        <n v="366"/>
        <n v="2867"/>
        <n v="1610"/>
        <n v="141"/>
        <n v="903"/>
        <n v="1366"/>
        <n v="6416"/>
        <n v="5368"/>
        <n v="1454"/>
        <n v="752"/>
        <n v="164"/>
        <n v="5730"/>
        <n v="78"/>
        <n v="927"/>
        <n v="1205"/>
        <n v="1808"/>
        <n v="829"/>
        <n v="7636"/>
        <n v="703"/>
        <n v="8353"/>
        <n v="1197"/>
        <n v="1508"/>
        <n v="4"/>
        <n v="1858"/>
        <n v="6099"/>
        <n v="514"/>
        <n v="9783"/>
        <n v="3496"/>
        <n v="174"/>
        <n v="40006"/>
        <n v="2577"/>
        <n v="56551"/>
        <n v="1583"/>
        <n v="5387"/>
        <n v="2692"/>
        <n v="1244"/>
        <n v="1199"/>
        <n v="1192"/>
        <n v="1298"/>
        <n v="380"/>
        <n v="2422"/>
        <n v="474"/>
        <n v="270"/>
        <n v="355"/>
        <n v="4884"/>
        <n v="1345"/>
        <n v="2569"/>
        <n v="196"/>
        <n v="120"/>
        <n v="5948"/>
        <n v="200"/>
        <n v="111"/>
        <n v="378"/>
        <n v="10223"/>
        <n v="286"/>
        <n v="3041"/>
        <n v="602"/>
        <n v="2277"/>
        <n v="1065"/>
        <n v="332"/>
        <n v="1337"/>
        <n v="1112"/>
        <n v="805"/>
        <n v="13465"/>
        <n v="132"/>
        <n v="3338"/>
        <n v="975"/>
        <n v="305"/>
        <n v="400"/>
        <n v="585"/>
        <n v="11234"/>
        <n v="4277"/>
        <n v="323"/>
        <n v="4745"/>
        <n v="468"/>
        <n v="404"/>
        <n v="387"/>
        <n v="1874"/>
        <n v="896"/>
        <n v="1995"/>
        <n v="1452"/>
        <n v="312"/>
        <n v="2200"/>
        <n v="320"/>
        <n v="4620"/>
        <n v="772"/>
        <n v="2869"/>
        <n v="5429"/>
        <n v="3692"/>
        <n v="2248"/>
        <n v="1695"/>
        <n v="148"/>
        <n v="1470"/>
        <n v="368"/>
        <n v="309"/>
        <n v="1881"/>
        <n v="592"/>
        <n v="494"/>
        <n v="536"/>
        <n v="10904"/>
        <n v="465"/>
        <n v="151"/>
        <n v="2691"/>
        <n v="7641"/>
        <n v="2838"/>
        <n v="325"/>
        <n v="433"/>
        <n v="1014"/>
        <n v="875"/>
        <n v="3093"/>
        <n v="237"/>
        <n v="3212"/>
        <n v="205"/>
        <n v="4635"/>
        <n v="2529"/>
        <n v="4883"/>
        <n v="1519"/>
        <n v="2081"/>
        <n v="391"/>
        <n v="1746"/>
        <n v="324"/>
        <n v="1969"/>
        <n v="377"/>
        <n v="763"/>
        <n v="3236"/>
        <n v="591"/>
        <n v="14157"/>
        <n v="1883"/>
        <n v="156"/>
        <n v="413"/>
        <n v="1011"/>
        <n v="16892"/>
        <n v="457"/>
        <n v="4968"/>
        <n v="384"/>
        <n v="3"/>
        <n v="6053"/>
        <n v="277"/>
        <n v="4823"/>
        <n v="9548"/>
        <n v="1182"/>
        <n v="6829"/>
        <n v="553"/>
        <n v="249"/>
        <n v="322"/>
        <n v="2704"/>
        <n v="833"/>
        <n v="736"/>
        <n v="500"/>
        <n v="1176"/>
        <n v="425"/>
        <n v="2279"/>
        <n v="1748"/>
        <n v="629"/>
        <n v="1391"/>
        <n v="327"/>
        <n v="1078"/>
        <n v="3838"/>
        <n v="8664"/>
        <n v="414"/>
        <n v="47"/>
        <n v="2524"/>
        <n v="403"/>
        <n v="388"/>
        <n v="243"/>
        <n v="883"/>
        <n v="252"/>
        <n v="338"/>
        <n v="963"/>
        <n v="1715"/>
        <n v="471"/>
        <n v="12"/>
        <n v="4583"/>
        <n v="3131"/>
        <n v="877"/>
        <n v="1045"/>
        <n v="9240"/>
        <n v="135"/>
        <n v="269"/>
        <n v="130"/>
        <n v="71"/>
        <n v="1579"/>
        <n v="1311"/>
        <n v="3046"/>
        <n v="2619"/>
        <n v="625"/>
        <n v="1196"/>
        <n v="89"/>
        <n v="479"/>
        <n v="9015"/>
        <n v="1089"/>
        <n v="3331"/>
        <n v="129"/>
        <n v="3238"/>
        <n v="1119"/>
        <n v="2907"/>
        <n v="1358"/>
        <n v="689"/>
        <n v="675"/>
        <n v="1491"/>
        <n v="9"/>
        <n v="211"/>
        <n v="25855"/>
        <n v="3966"/>
        <n v="1318"/>
        <n v="643"/>
        <n v="5039"/>
        <n v="27267"/>
        <n v="328"/>
        <n v="1110"/>
        <n v="3283"/>
        <n v="1666"/>
        <n v="526"/>
        <n v="5455"/>
        <n v="6022"/>
        <n v="756"/>
        <n v="8756"/>
        <n v="725"/>
        <n v="232"/>
        <n v="7294"/>
        <n v="6908"/>
        <n v="674"/>
        <n v="718"/>
        <n v="9284"/>
        <n v="253"/>
        <n v="454"/>
        <n v="347"/>
        <n v="2841"/>
        <n v="678"/>
        <n v="735"/>
        <n v="3698"/>
        <n v="965"/>
        <n v="154"/>
        <n v="799"/>
        <n v="2634"/>
        <n v="573"/>
        <n v="7032"/>
        <n v="2264"/>
        <n v="7855"/>
        <n v="5118"/>
        <n v="503"/>
        <n v="2773"/>
        <n v="4700"/>
        <n v="1768"/>
        <n v="182"/>
        <n v="2173"/>
        <n v="1506"/>
        <n v="25183"/>
        <n v="63"/>
        <n v="2307"/>
        <n v="5701"/>
        <n v="967"/>
        <n v="1024"/>
        <n v="157"/>
        <n v="25466"/>
        <n v="495"/>
        <n v="5788"/>
        <n v="783"/>
        <n v="2148"/>
        <n v="352"/>
        <n v="1159"/>
        <n v="9295"/>
        <n v="1140"/>
        <n v="1357"/>
        <n v="6278"/>
        <n v="1575"/>
        <n v="8420"/>
        <n v="1705"/>
        <n v="2726"/>
        <n v="308"/>
        <n v="225"/>
        <n v="1843"/>
        <n v="1266"/>
        <n v="2920"/>
        <n v="375"/>
        <n v="7469"/>
        <n v="2084"/>
        <n v="1447"/>
        <n v="1479"/>
        <n v="1343"/>
        <n v="2133"/>
        <n v="2319"/>
        <n v="1625"/>
        <n v="766"/>
        <n v="3664"/>
        <n v="3891"/>
        <n v="601"/>
        <n v="2767"/>
        <n v="285"/>
        <n v="1431"/>
        <n v="670"/>
        <n v="521"/>
        <n v="6942"/>
        <n v="1077"/>
        <n v="737"/>
        <n v="99"/>
        <n v="3949"/>
        <n v="3849"/>
        <n v="4388"/>
        <n v="265"/>
        <n v="7967"/>
        <n v="409"/>
        <n v="15205"/>
        <n v="257"/>
        <n v="3983"/>
        <n v="4271"/>
        <n v="1692"/>
        <n v="2282"/>
        <n v="1263"/>
        <n v="105"/>
        <n v="2038"/>
        <n v="1626"/>
        <n v="1091"/>
        <n v="1379"/>
        <n v="3018"/>
        <n v="864"/>
        <n v="19379"/>
        <n v="1290"/>
        <n v="472"/>
        <n v="2441"/>
        <n v="4307"/>
        <n v="3385"/>
        <n v="1531"/>
        <n v="2932"/>
        <n v="5530"/>
        <n v="8274"/>
        <n v="576"/>
        <n v="1805"/>
        <n v="750"/>
        <n v="6486"/>
        <n v="5444"/>
        <n v="999"/>
        <n v="244"/>
        <n v="3448"/>
        <n v="1079"/>
        <n v="856"/>
        <n v="6493"/>
        <n v="1806"/>
        <n v="1053"/>
        <n v="893"/>
        <n v="274"/>
        <n v="281"/>
        <n v="201"/>
        <n v="630"/>
        <n v="273"/>
        <n v="5316"/>
        <n v="15802"/>
        <n v="1919"/>
        <n v="1352"/>
        <n v="235"/>
        <n v="11511"/>
        <n v="4984"/>
        <n v="190"/>
        <n v="318"/>
        <n v="3365"/>
        <n v="22"/>
        <n v="1600"/>
        <n v="1265"/>
        <n v="69"/>
        <n v="693"/>
        <n v="902"/>
        <n v="603"/>
        <n v="759"/>
        <n v="453"/>
        <n v="434"/>
        <n v="4378"/>
        <n v="7752"/>
        <n v="773"/>
        <n v="5743"/>
        <n v="4124"/>
        <n v="5412"/>
        <n v="14037"/>
        <n v="8680"/>
        <n v="218"/>
        <n v="541"/>
        <n v="732"/>
        <n v="19"/>
        <n v="445"/>
        <n v="582"/>
        <n v="1474"/>
        <n v="1642"/>
        <n v="1483"/>
        <n v="1361"/>
        <n v="4473"/>
        <n v="330"/>
        <n v="1036"/>
        <n v="340"/>
        <n v="3280"/>
        <n v="1221"/>
        <n v="2218"/>
        <n v="13658"/>
        <n v="9952"/>
        <n v="1085"/>
        <n v="20903"/>
        <n v="1920"/>
        <n v="832"/>
        <n v="1090"/>
        <n v="865"/>
        <n v="271"/>
        <n v="2762"/>
        <n v="140"/>
        <n v="5554"/>
        <n v="4936"/>
        <n v="867"/>
        <n v="5396"/>
        <n v="5010"/>
        <n v="8422"/>
        <n v="5360"/>
        <n v="268"/>
        <n v="4877"/>
        <n v="704"/>
        <n v="406"/>
        <n v="4158"/>
        <n v="184"/>
        <n v="7507"/>
        <n v="3086"/>
        <n v="507"/>
        <n v="1813"/>
        <n v="408"/>
        <n v="15780"/>
        <n v="874"/>
        <n v="326"/>
        <n v="212"/>
        <n v="220"/>
        <n v="23"/>
        <n v="11799"/>
        <n v="920"/>
        <n v="251"/>
        <n v="2605"/>
        <n v="2445"/>
        <n v="1663"/>
        <n v="29728"/>
        <n v="1035"/>
        <n v="1252"/>
        <n v="5532"/>
        <n v="1623"/>
        <n v="1526"/>
        <n v="23237"/>
        <n v="6133"/>
        <n v="369"/>
        <n v="189"/>
        <n v="3756"/>
        <n v="2286"/>
        <n v="866"/>
        <n v="3572"/>
        <n v="346"/>
        <n v="27"/>
        <n v="936"/>
        <n v="2548"/>
        <n v="821"/>
        <n v="110"/>
        <n v="161"/>
        <n v="2273"/>
        <n v="2348"/>
        <n v="348"/>
        <n v="4056"/>
        <n v="5775"/>
        <n v="780"/>
        <n v="316"/>
        <n v="5465"/>
        <n v="490"/>
        <n v="4479"/>
        <n v="3533"/>
        <n v="1732"/>
        <n v="10570"/>
        <n v="46867"/>
        <n v="6037"/>
        <n v="1255"/>
        <n v="795"/>
        <n v="1895"/>
        <n v="538"/>
        <n v="2931"/>
        <n v="552"/>
        <n v="661"/>
        <n v="614"/>
        <n v="1331"/>
        <n v="26221"/>
        <n v="1001"/>
        <n v="520"/>
        <n v="7349"/>
        <n v="4678"/>
        <n v="1489"/>
        <n v="4609"/>
        <n v="6523"/>
        <n v="3344"/>
        <n v="8333"/>
        <n v="343"/>
        <n v="482"/>
        <n v="2399"/>
        <n v="2527"/>
        <n v="2047"/>
        <n v="1076"/>
        <n v="1183"/>
        <n v="168"/>
        <n v="3058"/>
        <n v="55"/>
        <n v="3116"/>
        <n v="6401"/>
        <n v="528"/>
        <n v="1012"/>
        <n v="317"/>
        <n v="1764"/>
        <n v="3460"/>
        <n v="2844"/>
        <n v="5867"/>
        <n v="605"/>
        <n v="7789"/>
        <n v="4438"/>
        <n v="4361"/>
        <n v="1275"/>
        <n v="615"/>
        <n v="4431"/>
        <n v="1880"/>
        <n v="11"/>
        <n v="1975"/>
        <n v="4226"/>
        <n v="1083"/>
        <n v="3784"/>
        <n v="4424"/>
        <n v="279"/>
        <n v="444"/>
        <n v="1640"/>
        <n v="19172"/>
        <n v="245"/>
        <n v="2936"/>
        <n v="92"/>
        <n v="117"/>
        <n v="937"/>
        <n v="36100"/>
        <n v="183"/>
        <n v="290"/>
        <n v="5831"/>
        <n v="198"/>
        <n v="6997"/>
        <n v="96"/>
        <n v="10790"/>
        <n v="469"/>
        <n v="175"/>
        <n v="137"/>
        <n v="4254"/>
        <n v="36"/>
        <n v="7765"/>
        <n v="11775"/>
        <n v="5248"/>
        <n v="1998"/>
        <n v="3016"/>
        <n v="8172"/>
        <n v="888"/>
        <n v="8"/>
        <n v="54"/>
        <n v="2008"/>
        <n v="6567"/>
        <n v="2491"/>
        <n v="6086"/>
        <n v="2777"/>
        <n v="16430"/>
        <n v="1453"/>
        <n v="59"/>
        <n v="272"/>
        <n v="2971"/>
        <n v="3507"/>
        <n v="3720"/>
        <n v="2198"/>
        <n v="7317"/>
        <n v="5824"/>
        <n v="2313"/>
        <n v="7875"/>
        <n v="17088"/>
        <n v="2112"/>
        <n v="1082"/>
        <n v="115"/>
        <n v="2392"/>
        <n v="4665"/>
        <n v="484"/>
        <n v="28082"/>
        <n v="319"/>
        <n v="1040"/>
        <n v="3589"/>
        <n v="121"/>
        <n v="1700"/>
        <n v="131"/>
        <n v="4178"/>
        <n v="5601"/>
        <n v="1909"/>
        <n v="41914"/>
        <n v="3335"/>
        <n v="83"/>
        <n v="532"/>
        <n v="18"/>
        <n v="294"/>
        <n v="6605"/>
        <n v="1495"/>
        <n v="597"/>
        <n v="10694"/>
        <n v="654"/>
        <n v="68"/>
        <n v="6150"/>
        <n v="1677"/>
        <n v="487"/>
        <n v="1143"/>
        <n v="287"/>
        <n v="2710"/>
        <n v="11149"/>
        <n v="14982"/>
        <n v="12548"/>
        <n v="9327"/>
        <n v="542"/>
        <n v="599"/>
        <n v="18160"/>
        <n v="1000"/>
        <n v="481"/>
        <n v="394"/>
        <n v="4503"/>
        <n v="568"/>
        <n v="2501"/>
        <n v="2146"/>
        <n v="8991"/>
        <n v="1271"/>
        <n v="283"/>
        <n v="8101"/>
        <n v="2334"/>
        <n v="540"/>
        <n v="939"/>
        <n v="431"/>
        <n v="1300"/>
        <n v="21075"/>
        <n v="3353"/>
        <n v="804"/>
        <n v="374"/>
        <n v="1041"/>
        <n v="280"/>
        <n v="2178"/>
        <n v="415"/>
        <n v="4598"/>
        <n v="22459"/>
        <n v="2855"/>
        <n v="202"/>
        <n v="4209"/>
        <n v="587"/>
        <n v="4593"/>
        <n v="9745"/>
        <n v="1032"/>
        <n v="2557"/>
        <n v="1665"/>
        <n v="138"/>
        <n v="9151"/>
        <n v="17627"/>
        <n v="2000"/>
        <n v="145"/>
        <n v="5715"/>
        <n v="123"/>
        <n v="2672"/>
        <n v="2123"/>
        <n v="21631"/>
        <n v="256"/>
        <n v="1931"/>
        <n v="897"/>
        <n v="578"/>
        <n v="731"/>
        <n v="5524"/>
        <n v="1027"/>
        <n v="2328"/>
        <n v="382"/>
        <n v="1890"/>
        <n v="2851"/>
        <n v="3060"/>
        <n v="210"/>
        <n v="6029"/>
        <n v="892"/>
      </sharedItems>
      <fieldGroup base="8">
        <rangePr autoEnd="0" startNum="0" endNum="35000" groupInterval="5000"/>
        <groupItems count="9">
          <s v="&lt;0"/>
          <s v="0-4999"/>
          <s v="5000-9999"/>
          <s v="10000-14999"/>
          <s v="15000-19999"/>
          <s v="20000-24999"/>
          <s v="25000-29999"/>
          <s v="30000-35000"/>
          <s v="&gt;35000"/>
        </groupItems>
      </fieldGroup>
    </cacheField>
    <cacheField name="Taxable_Income" numFmtId="0">
      <sharedItems containsSemiMixedTypes="0" containsString="0" containsNumber="1" containsInteger="1" minValue="-86395" maxValue="663660" count="994">
        <n v="85308"/>
        <n v="62005"/>
        <n v="19046"/>
        <n v="65940"/>
        <n v="41381"/>
        <n v="63620"/>
        <n v="93931"/>
        <n v="42991"/>
        <n v="116380"/>
        <n v="104115"/>
        <n v="15022"/>
        <n v="329"/>
        <n v="89997"/>
        <n v="126575"/>
        <n v="48138"/>
        <n v="25561"/>
        <n v="52723"/>
        <n v="17322"/>
        <n v="41443"/>
        <n v="193494"/>
        <n v="105249"/>
        <n v="101647"/>
        <n v="71618"/>
        <n v="19762"/>
        <n v="7089"/>
        <n v="48020"/>
        <n v="40604"/>
        <n v="31036"/>
        <n v="18453"/>
        <n v="25568"/>
        <n v="80591"/>
        <n v="31054"/>
        <n v="40626"/>
        <n v="25564"/>
        <n v="23108"/>
        <n v="49756"/>
        <n v="19124"/>
        <n v="663660"/>
        <n v="16670"/>
        <n v="83418"/>
        <n v="49074"/>
        <n v="9527"/>
        <n v="66500"/>
        <n v="60379"/>
        <n v="82816"/>
        <n v="59990"/>
        <n v="37523"/>
        <n v="59889"/>
        <n v="65635"/>
        <n v="10439"/>
        <n v="13833"/>
        <n v="53204"/>
        <n v="97247"/>
        <n v="78452"/>
        <n v="69136"/>
        <n v="707"/>
        <n v="111079"/>
        <n v="73356"/>
        <n v="65409"/>
        <n v="207850"/>
        <n v="35038"/>
        <n v="75032"/>
        <n v="112061"/>
        <n v="34354"/>
        <n v="12496"/>
        <n v="36783"/>
        <n v="45490"/>
        <n v="32645"/>
        <n v="59841"/>
        <n v="114113"/>
        <n v="38232"/>
        <n v="59711"/>
        <n v="12417"/>
        <n v="26987"/>
        <n v="7237"/>
        <n v="395"/>
        <n v="42422"/>
        <n v="116344"/>
        <n v="39222"/>
        <n v="8952"/>
        <n v="103454"/>
        <n v="47151"/>
        <n v="90450"/>
        <n v="72974"/>
        <n v="38625"/>
        <n v="13719"/>
        <n v="48911"/>
        <n v="92311"/>
        <n v="74000"/>
        <n v="127743"/>
        <n v="17707"/>
        <n v="62916"/>
        <n v="82684"/>
        <n v="114153"/>
        <n v="27800"/>
        <n v="78441"/>
        <n v="31769"/>
        <n v="7780"/>
        <n v="74359"/>
        <n v="4081"/>
        <n v="272893"/>
        <n v="120624"/>
        <n v="94081"/>
        <n v="48090"/>
        <n v="53826"/>
        <n v="48044"/>
        <n v="41357"/>
        <n v="41462"/>
        <n v="79984"/>
        <n v="-983"/>
        <n v="11188"/>
        <n v="25773"/>
        <n v="42611"/>
        <n v="106219"/>
        <n v="23633"/>
        <n v="107373"/>
        <n v="64968"/>
        <n v="122327"/>
        <n v="13164"/>
        <n v="41179"/>
        <n v="25085"/>
        <n v="3887"/>
        <n v="127618"/>
        <n v="39357"/>
        <n v="19413"/>
        <n v="12047"/>
        <n v="56712"/>
        <n v="101554"/>
        <n v="26418"/>
        <n v="68790"/>
        <n v="46995"/>
        <n v="61475"/>
        <n v="39369"/>
        <n v="0"/>
        <n v="22786"/>
        <n v="32289"/>
        <n v="47911"/>
        <n v="43213"/>
        <n v="140180"/>
        <n v="30551"/>
        <n v="40159"/>
        <n v="45311"/>
        <n v="22151"/>
        <n v="22803"/>
        <n v="61269"/>
        <n v="20010"/>
        <n v="80927"/>
        <n v="43144"/>
        <n v="99622"/>
        <n v="67670"/>
        <n v="34004"/>
        <n v="15506"/>
        <n v="67462"/>
        <n v="18500"/>
        <n v="303"/>
        <n v="13154"/>
        <n v="43827"/>
        <n v="160714"/>
        <n v="19823"/>
        <n v="53061"/>
        <n v="79093"/>
        <n v="21138"/>
        <n v="129208"/>
        <n v="71190"/>
        <n v="81443"/>
        <n v="69964"/>
        <n v="69896"/>
        <n v="99591"/>
        <n v="78491"/>
        <n v="868"/>
        <n v="104929"/>
        <n v="75652"/>
        <n v="35964"/>
        <n v="63204"/>
        <n v="121520"/>
        <n v="60593"/>
        <n v="203480"/>
        <n v="14683"/>
        <n v="37248"/>
        <n v="33961"/>
        <n v="15176"/>
        <n v="65085"/>
        <n v="84287"/>
        <n v="56512"/>
        <n v="63512"/>
        <n v="65178"/>
        <n v="88979"/>
        <n v="57145"/>
        <n v="40592"/>
        <n v="84400"/>
        <n v="144188"/>
        <n v="33266"/>
        <n v="41010"/>
        <n v="27029"/>
        <n v="20258"/>
        <n v="62819"/>
        <n v="15211"/>
        <n v="23084"/>
        <n v="29252"/>
        <n v="21303"/>
        <n v="64514"/>
        <n v="8743"/>
        <n v="39832"/>
        <n v="118648"/>
        <n v="68724"/>
        <n v="41084"/>
        <n v="65213"/>
        <n v="134353"/>
        <n v="75608"/>
        <n v="35037"/>
        <n v="16680"/>
        <n v="24099"/>
        <n v="21226"/>
        <n v="56681"/>
        <n v="67530"/>
        <n v="28186"/>
        <n v="24005"/>
        <n v="103220"/>
        <n v="61329"/>
        <n v="51789"/>
        <n v="18363"/>
        <n v="28329"/>
        <n v="64102"/>
        <n v="95669"/>
        <n v="48650"/>
        <n v="31685"/>
        <n v="21788"/>
        <n v="108568"/>
        <n v="17201"/>
        <n v="75438"/>
        <n v="52726"/>
        <n v="63461"/>
        <n v="36905"/>
        <n v="68939"/>
        <n v="68034"/>
        <n v="67189"/>
        <n v="41149"/>
        <n v="14908"/>
        <n v="3053"/>
        <n v="63071"/>
        <n v="586"/>
        <n v="100419"/>
        <n v="73231"/>
        <n v="37957"/>
        <n v="8702"/>
        <n v="40647"/>
        <n v="71520"/>
        <n v="222"/>
        <n v="19455"/>
        <n v="8477"/>
        <n v="51459"/>
        <n v="48049"/>
        <n v="16432"/>
        <n v="51987"/>
        <n v="36226"/>
        <n v="92204"/>
        <n v="46032"/>
        <n v="163782"/>
        <n v="16552"/>
        <n v="411"/>
        <n v="353864"/>
        <n v="83598"/>
        <n v="11885"/>
        <n v="87820"/>
        <n v="61153"/>
        <n v="41005"/>
        <n v="687"/>
        <n v="23699"/>
        <n v="18083"/>
        <n v="21233"/>
        <n v="45488"/>
        <n v="-989"/>
        <n v="65455"/>
        <n v="63070"/>
        <n v="19448"/>
        <n v="45697"/>
        <n v="114159"/>
        <n v="23868"/>
        <n v="43397"/>
        <n v="10966"/>
        <n v="75456"/>
        <n v="14757"/>
        <n v="201384"/>
        <n v="75900"/>
        <n v="21820"/>
        <n v="161373"/>
        <n v="38938"/>
        <n v="22556"/>
        <n v="67469"/>
        <n v="15519"/>
        <n v="14831"/>
        <n v="48538"/>
        <n v="8721"/>
        <n v="142347"/>
        <n v="1530"/>
        <n v="42875"/>
        <n v="33302"/>
        <n v="39282"/>
        <n v="48509"/>
        <n v="63562"/>
        <n v="278"/>
        <n v="98077"/>
        <n v="2113"/>
        <n v="42167"/>
        <n v="68486"/>
        <n v="29607"/>
        <n v="35212"/>
        <n v="40609"/>
        <n v="49497"/>
        <n v="13813"/>
        <n v="73764"/>
        <n v="18973"/>
        <n v="78780"/>
        <n v="119672"/>
        <n v="2629"/>
        <n v="130111"/>
        <n v="42586"/>
        <n v="90854"/>
        <n v="73800"/>
        <n v="74848"/>
        <n v="28220"/>
        <n v="45255"/>
        <n v="70089"/>
        <n v="51630"/>
        <n v="67182"/>
        <n v="42451"/>
        <n v="55901"/>
        <n v="67864"/>
        <n v="138540"/>
        <n v="48582"/>
        <n v="43207"/>
        <n v="31459"/>
        <n v="64497"/>
        <n v="51172"/>
        <n v="10434"/>
        <n v="58752"/>
        <n v="84659"/>
        <n v="99196"/>
        <n v="14531"/>
        <n v="36489"/>
        <n v="26540"/>
        <n v="23974"/>
        <n v="41210"/>
        <n v="168463"/>
        <n v="26417"/>
        <n v="6392"/>
        <n v="63588"/>
        <n v="59330"/>
        <n v="202187"/>
        <n v="121081"/>
        <n v="49513"/>
        <n v="77562"/>
        <n v="25349"/>
        <n v="308112"/>
        <n v="93844"/>
        <n v="14091"/>
        <n v="35132"/>
        <n v="91281"/>
        <n v="14003"/>
        <n v="93986"/>
        <n v="86099"/>
        <n v="117900"/>
        <n v="97594"/>
        <n v="62496"/>
        <n v="35008"/>
        <n v="34971"/>
        <n v="1011"/>
        <n v="18955"/>
        <n v="486552"/>
        <n v="39678"/>
        <n v="148937"/>
        <n v="306688"/>
        <n v="156092"/>
        <n v="78787"/>
        <n v="39082"/>
        <n v="87181"/>
        <n v="32917"/>
        <n v="107296"/>
        <n v="163934"/>
        <n v="33498"/>
        <n v="43570"/>
        <n v="74397"/>
        <n v="90324"/>
        <n v="29304"/>
        <n v="89594"/>
        <n v="28476"/>
        <n v="63647"/>
        <n v="26065"/>
        <n v="71078"/>
        <n v="78478"/>
        <n v="79618"/>
        <n v="49538"/>
        <n v="41884"/>
        <n v="13866"/>
        <n v="79043"/>
        <n v="1144"/>
        <n v="18361"/>
        <n v="30981"/>
        <n v="12445"/>
        <n v="34715"/>
        <n v="14743"/>
        <n v="57818"/>
        <n v="37787"/>
        <n v="66541"/>
        <n v="63965"/>
        <n v="31726"/>
        <n v="65921"/>
        <n v="59838"/>
        <n v="214361"/>
        <n v="9015"/>
        <n v="54736"/>
        <n v="43757"/>
        <n v="55275"/>
        <n v="70256"/>
        <n v="7581"/>
        <n v="10832"/>
        <n v="59920"/>
        <n v="61660"/>
        <n v="81047"/>
        <n v="55"/>
        <n v="32626"/>
        <n v="256363"/>
        <n v="19087"/>
        <n v="32596"/>
        <n v="11742"/>
        <n v="47126"/>
        <n v="176839"/>
        <n v="96936"/>
        <n v="62559"/>
        <n v="37848"/>
        <n v="13863"/>
        <n v="30413"/>
        <n v="23269"/>
        <n v="77681"/>
        <n v="87328"/>
        <n v="81678"/>
        <n v="14890"/>
        <n v="28460"/>
        <n v="19837"/>
        <n v="78094"/>
        <n v="33599"/>
        <n v="50399"/>
        <n v="23041"/>
        <n v="49569"/>
        <n v="49995"/>
        <n v="41327"/>
        <n v="16347"/>
        <n v="51128"/>
        <n v="194614"/>
        <n v="67212"/>
        <n v="22894"/>
        <n v="110494"/>
        <n v="68470"/>
        <n v="51388"/>
        <n v="79600"/>
        <n v="12875"/>
        <n v="65418"/>
        <n v="60159"/>
        <n v="2731"/>
        <n v="57013"/>
        <n v="38793"/>
        <n v="26243"/>
        <n v="75699"/>
        <n v="3687"/>
        <n v="43347"/>
        <n v="74854"/>
        <n v="53655"/>
        <n v="78254"/>
        <n v="8764"/>
        <n v="136465"/>
        <n v="21902"/>
        <n v="37176"/>
        <n v="64959"/>
        <n v="139464"/>
        <n v="31597"/>
        <n v="97277"/>
        <n v="59174"/>
        <n v="86930"/>
        <n v="85847"/>
        <n v="66880"/>
        <n v="33885"/>
        <n v="78662"/>
        <n v="8035"/>
        <n v="31324"/>
        <n v="50505"/>
        <n v="43261"/>
        <n v="64916"/>
        <n v="127168"/>
        <n v="75595"/>
        <n v="12591"/>
        <n v="28341"/>
        <n v="39927"/>
        <n v="129847"/>
        <n v="46187"/>
        <n v="67351"/>
        <n v="110728"/>
        <n v="2163"/>
        <n v="74917"/>
        <n v="44827"/>
        <n v="46133"/>
        <n v="110851"/>
        <n v="83663"/>
        <n v="41610"/>
        <n v="55969"/>
        <n v="96289"/>
        <n v="63386"/>
        <n v="79934"/>
        <n v="31921"/>
        <n v="102779"/>
        <n v="40899"/>
        <n v="14879"/>
        <n v="31620"/>
        <n v="55655"/>
        <n v="32373"/>
        <n v="214767"/>
        <n v="33988"/>
        <n v="38729"/>
        <n v="19963"/>
        <n v="33963"/>
        <n v="-192"/>
        <n v="86384"/>
        <n v="74924"/>
        <n v="33402"/>
        <n v="39312"/>
        <n v="66314"/>
        <n v="74276"/>
        <n v="13433"/>
        <n v="17019"/>
        <n v="17220"/>
        <n v="22915"/>
        <n v="68802"/>
        <n v="56851"/>
        <n v="5908"/>
        <n v="44097"/>
        <n v="19884"/>
        <n v="38875"/>
        <n v="28406"/>
        <n v="1866"/>
        <n v="73664"/>
        <n v="18203"/>
        <n v="73487"/>
        <n v="75617"/>
        <n v="69683"/>
        <n v="75064"/>
        <n v="68449"/>
        <n v="170995"/>
        <n v="17583"/>
        <n v="20555"/>
        <n v="33296"/>
        <n v="53895"/>
        <n v="72134"/>
        <n v="56061"/>
        <n v="91771"/>
        <n v="100853"/>
        <n v="46475"/>
        <n v="41048"/>
        <n v="21523"/>
        <n v="106489"/>
        <n v="13695"/>
        <n v="27966"/>
        <n v="133704"/>
        <n v="5448"/>
        <n v="56265"/>
        <n v="21035"/>
        <n v="35835"/>
        <n v="56201"/>
        <n v="30281"/>
        <n v="62162"/>
        <n v="19125"/>
        <n v="39603"/>
        <n v="117951"/>
        <n v="64178"/>
        <n v="124035"/>
        <n v="77901"/>
        <n v="8546"/>
        <n v="59347"/>
        <n v="33013"/>
        <n v="236969"/>
        <n v="80573"/>
        <n v="90156"/>
        <n v="3666"/>
        <n v="5719"/>
        <n v="61396"/>
        <n v="103154"/>
        <n v="47532"/>
        <n v="24936"/>
        <n v="33767"/>
        <n v="31208"/>
        <n v="821"/>
        <n v="50006"/>
        <n v="83048"/>
        <n v="1681"/>
        <n v="139604"/>
        <n v="43401"/>
        <n v="40079"/>
        <n v="97319"/>
        <n v="28473"/>
        <n v="39188"/>
        <n v="129113"/>
        <n v="21883"/>
        <n v="4033"/>
        <n v="84241"/>
        <n v="59750"/>
        <n v="135041"/>
        <n v="79342"/>
        <n v="13129"/>
        <n v="14639"/>
        <n v="58970"/>
        <n v="177"/>
        <n v="21298"/>
        <n v="199635"/>
        <n v="3"/>
        <n v="12694"/>
        <n v="74535"/>
        <n v="42879"/>
        <n v="49213"/>
        <n v="158494"/>
        <n v="53870"/>
        <n v="39347"/>
        <n v="901"/>
        <n v="11094"/>
        <n v="80854"/>
        <n v="126194"/>
        <n v="11963"/>
        <n v="128892"/>
        <n v="6611"/>
        <n v="36155"/>
        <n v="81069"/>
        <n v="34724"/>
        <n v="98893"/>
        <n v="47988"/>
        <n v="18875"/>
        <n v="152"/>
        <n v="25299"/>
        <n v="44117"/>
        <n v="18714"/>
        <n v="38885"/>
        <n v="736"/>
        <n v="230059"/>
        <n v="33162"/>
        <n v="33543"/>
        <n v="4806"/>
        <n v="17490"/>
        <n v="10504"/>
        <n v="44785"/>
        <n v="172060"/>
        <n v="54064"/>
        <n v="83379"/>
        <n v="32336"/>
        <n v="19298"/>
        <n v="60883"/>
        <n v="6260"/>
        <n v="45546"/>
        <n v="31782"/>
        <n v="17011"/>
        <n v="61966"/>
        <n v="32857"/>
        <n v="30865"/>
        <n v="40325"/>
        <n v="29545"/>
        <n v="42782"/>
        <n v="5200"/>
        <n v="62491"/>
        <n v="33582"/>
        <n v="48284"/>
        <n v="16603"/>
        <n v="35819"/>
        <n v="499"/>
        <n v="31791"/>
        <n v="39542"/>
        <n v="17263"/>
        <n v="164502"/>
        <n v="27851"/>
        <n v="23413"/>
        <n v="12859"/>
        <n v="23367"/>
        <n v="23626"/>
        <n v="180800"/>
        <n v="52172"/>
        <n v="174803"/>
        <n v="14714"/>
        <n v="282784"/>
        <n v="23151"/>
        <n v="73128"/>
        <n v="91680"/>
        <n v="5023"/>
        <n v="39671"/>
        <n v="560"/>
        <n v="77273"/>
        <n v="43174"/>
        <n v="21178"/>
        <n v="73731"/>
        <n v="26411"/>
        <n v="28954"/>
        <n v="70917"/>
        <n v="98549"/>
        <n v="30299"/>
        <n v="70533"/>
        <n v="54663"/>
        <n v="396016"/>
        <n v="156716"/>
        <n v="24756"/>
        <n v="304122"/>
        <n v="70587"/>
        <n v="139425"/>
        <n v="39258"/>
        <n v="25288"/>
        <n v="66377"/>
        <n v="18115"/>
        <n v="62542"/>
        <n v="80588"/>
        <n v="44938"/>
        <n v="27022"/>
        <n v="33218"/>
        <n v="28923"/>
        <n v="12195"/>
        <n v="34689"/>
        <n v="35765"/>
        <n v="15630"/>
        <n v="176294"/>
        <n v="78161"/>
        <n v="33324"/>
        <n v="40807"/>
        <n v="38117"/>
        <n v="26318"/>
        <n v="22942"/>
        <n v="21889"/>
        <n v="99472"/>
        <n v="33014"/>
        <n v="80576"/>
        <n v="30531"/>
        <n v="89747"/>
        <n v="4857"/>
        <n v="28234"/>
        <n v="42950"/>
        <n v="17663"/>
        <n v="28254"/>
        <n v="77570"/>
        <n v="79729"/>
        <n v="53852"/>
        <n v="46378"/>
        <n v="75377"/>
        <n v="47729"/>
        <n v="40072"/>
        <n v="29847"/>
        <n v="77602"/>
        <n v="6657"/>
        <n v="109536"/>
        <n v="35418"/>
        <n v="22435"/>
        <n v="6533"/>
        <n v="23870"/>
        <n v="63578"/>
        <n v="4002"/>
        <n v="50574"/>
        <n v="25130"/>
        <n v="12899"/>
        <n v="12492"/>
        <n v="307021"/>
        <n v="4796"/>
        <n v="138110"/>
        <n v="35771"/>
        <n v="716"/>
        <n v="44197"/>
        <n v="62388"/>
        <n v="21963"/>
        <n v="73847"/>
        <n v="33769"/>
        <n v="21462"/>
        <n v="37565"/>
        <n v="27850"/>
        <n v="33614"/>
        <n v="5438"/>
        <n v="53716"/>
        <n v="25435"/>
        <n v="56178"/>
        <n v="167877"/>
        <n v="32923"/>
        <n v="93068"/>
        <n v="30142"/>
        <n v="47009"/>
        <n v="13812"/>
        <n v="116297"/>
        <n v="22800"/>
        <n v="22100"/>
        <n v="19903"/>
        <n v="38754"/>
        <n v="7049"/>
        <n v="33310"/>
        <n v="59549"/>
        <n v="42561"/>
        <n v="11374"/>
        <n v="20785"/>
        <n v="58888"/>
        <n v="53319"/>
        <n v="18232"/>
        <n v="49487"/>
        <n v="308248"/>
        <n v="77199"/>
        <n v="84316"/>
        <n v="36747"/>
        <n v="36702"/>
        <n v="79637"/>
        <n v="53546"/>
        <n v="52718"/>
        <n v="19540"/>
        <n v="62874"/>
        <n v="120191"/>
        <n v="59392"/>
        <n v="-86395"/>
        <n v="72755"/>
        <n v="92561"/>
        <n v="37019"/>
        <n v="24571"/>
        <n v="70331"/>
        <n v="44110"/>
        <n v="134301"/>
        <n v="113265"/>
        <n v="31777"/>
        <n v="34568"/>
        <n v="56066"/>
        <n v="66891"/>
        <n v="68469"/>
        <n v="20217"/>
        <n v="75046"/>
        <n v="66671"/>
        <n v="89165"/>
        <n v="9505"/>
        <n v="36107"/>
        <n v="22652"/>
        <n v="15252"/>
        <n v="34472"/>
        <n v="77287"/>
        <n v="34612"/>
        <n v="39370"/>
        <n v="8680"/>
        <n v="70935"/>
        <n v="35694"/>
        <n v="126863"/>
        <n v="349152"/>
        <n v="53263"/>
        <n v="11612"/>
        <n v="49981"/>
        <n v="88866"/>
        <n v="11944"/>
        <n v="39455"/>
        <n v="2132"/>
        <n v="29960"/>
        <n v="5395"/>
        <n v="112343"/>
        <n v="55657"/>
        <n v="40423"/>
        <n v="3326"/>
        <n v="89330"/>
        <n v="41644"/>
        <n v="64796"/>
        <n v="116214"/>
        <n v="71606"/>
        <n v="80462"/>
        <n v="74933"/>
        <n v="146507"/>
        <n v="49167"/>
        <n v="93439"/>
        <n v="38967"/>
        <n v="4130"/>
        <n v="52196"/>
        <n v="131772"/>
        <n v="11874"/>
        <n v="20920"/>
        <n v="80197"/>
        <n v="48342"/>
        <n v="12989"/>
        <n v="216970"/>
        <n v="70822"/>
        <n v="20501"/>
        <n v="14122"/>
        <n v="58264"/>
        <n v="38"/>
        <n v="6093"/>
        <n v="-32545"/>
        <n v="57648"/>
        <n v="87944"/>
        <n v="82098"/>
        <n v="35555"/>
        <n v="23853"/>
        <n v="127646"/>
        <n v="3270"/>
        <n v="50177"/>
        <n v="38915"/>
        <n v="458"/>
        <n v="100233"/>
        <n v="17843"/>
        <n v="108389"/>
        <n v="49045"/>
        <n v="28328"/>
        <n v="49568"/>
        <n v="30782"/>
        <n v="328743"/>
        <n v="48063"/>
        <n v="25874"/>
        <n v="17746"/>
        <n v="15293"/>
        <n v="5099"/>
        <n v="25214"/>
        <n v="18"/>
        <n v="69307"/>
        <n v="81868"/>
        <n v="20679"/>
        <n v="13556"/>
        <n v="63099"/>
        <n v="58795"/>
        <n v="85481"/>
        <n v="76026"/>
        <n v="32480"/>
        <n v="30093"/>
        <n v="19101"/>
        <n v="69382"/>
        <n v="21086"/>
        <n v="23509"/>
        <n v="42631"/>
        <n v="24808"/>
        <n v="52244"/>
        <n v="104391"/>
        <n v="51150"/>
        <n v="57137"/>
        <n v="10740"/>
        <n v="157240"/>
        <n v="11580"/>
        <n v="42153"/>
        <n v="269663"/>
        <n v="30398"/>
        <n v="5685"/>
        <n v="22014"/>
        <n v="18793"/>
        <n v="78142"/>
        <n v="83182"/>
        <n v="60383"/>
        <n v="619"/>
        <n v="39749"/>
        <n v="14397"/>
        <n v="9654"/>
        <n v="49678"/>
        <n v="7"/>
        <n v="11043"/>
        <n v="15163"/>
        <n v="32249"/>
        <n v="64076"/>
        <n v="50202"/>
        <n v="49081"/>
        <n v="5070"/>
        <n v="36111"/>
        <n v="55649"/>
        <n v="28349"/>
        <n v="14066"/>
        <n v="28551"/>
        <n v="132037"/>
        <n v="202226"/>
        <n v="191141"/>
        <n v="31504"/>
        <n v="56964"/>
        <n v="129138"/>
        <n v="34998"/>
        <n v="960"/>
        <n v="14242"/>
        <n v="32359"/>
        <n v="107146"/>
        <n v="50877"/>
        <n v="114255"/>
        <n v="104013"/>
        <n v="113941"/>
        <n v="139614"/>
        <n v="23915"/>
        <n v="95391"/>
        <n v="13015"/>
        <n v="80538"/>
        <n v="5"/>
        <n v="21202"/>
        <n v="155773"/>
        <n v="226309"/>
        <n v="22081"/>
        <n v="108839"/>
        <n v="47035"/>
        <n v="21838"/>
        <n v="59450"/>
        <n v="36112"/>
        <n v="25490"/>
        <n v="80064"/>
        <n v="143103"/>
        <n v="39366"/>
        <n v="22055"/>
        <n v="3635"/>
        <n v="4372"/>
        <n v="58723"/>
        <n v="46180"/>
      </sharedItems>
      <fieldGroup base="9">
        <rangePr autoStart="0" autoEnd="0" startNum="0" endNum="350000" groupInterval="50000"/>
        <groupItems count="9">
          <s v="&lt;0"/>
          <s v="0-49999"/>
          <s v="50000-99999"/>
          <s v="100000-149999"/>
          <s v="150000-199999"/>
          <s v="200000-249999"/>
          <s v="250000-299999"/>
          <s v="300000-350000"/>
          <s v="&gt;350000"/>
        </groupItems>
      </fieldGroup>
    </cacheField>
  </cacheFields>
  <extLst>
    <ext xmlns:x14="http://schemas.microsoft.com/office/spreadsheetml/2009/9/main" uri="{725AE2AE-9491-48be-B2B4-4EB974FC3084}">
      <x14:pivotCacheDefinition pivotCacheId="6368248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7057"/>
    <x v="0"/>
    <x v="0"/>
    <x v="0"/>
    <x v="0"/>
    <x v="0"/>
    <x v="0"/>
    <x v="0"/>
    <x v="0"/>
    <x v="0"/>
  </r>
  <r>
    <n v="138235"/>
    <x v="1"/>
    <x v="1"/>
    <x v="1"/>
    <x v="1"/>
    <x v="0"/>
    <x v="0"/>
    <x v="1"/>
    <x v="1"/>
    <x v="1"/>
  </r>
  <r>
    <n v="57573"/>
    <x v="0"/>
    <x v="2"/>
    <x v="2"/>
    <x v="0"/>
    <x v="0"/>
    <x v="0"/>
    <x v="2"/>
    <x v="2"/>
    <x v="2"/>
  </r>
  <r>
    <n v="156707"/>
    <x v="0"/>
    <x v="3"/>
    <x v="3"/>
    <x v="1"/>
    <x v="0"/>
    <x v="1"/>
    <x v="3"/>
    <x v="3"/>
    <x v="3"/>
  </r>
  <r>
    <n v="177311"/>
    <x v="0"/>
    <x v="4"/>
    <x v="4"/>
    <x v="0"/>
    <x v="0"/>
    <x v="1"/>
    <x v="4"/>
    <x v="4"/>
    <x v="4"/>
  </r>
  <r>
    <n v="166315"/>
    <x v="0"/>
    <x v="3"/>
    <x v="1"/>
    <x v="0"/>
    <x v="0"/>
    <x v="0"/>
    <x v="5"/>
    <x v="5"/>
    <x v="5"/>
  </r>
  <r>
    <n v="60300"/>
    <x v="0"/>
    <x v="5"/>
    <x v="0"/>
    <x v="0"/>
    <x v="1"/>
    <x v="0"/>
    <x v="6"/>
    <x v="6"/>
    <x v="6"/>
  </r>
  <r>
    <n v="251518"/>
    <x v="0"/>
    <x v="1"/>
    <x v="3"/>
    <x v="0"/>
    <x v="0"/>
    <x v="1"/>
    <x v="7"/>
    <x v="7"/>
    <x v="7"/>
  </r>
  <r>
    <n v="109650"/>
    <x v="0"/>
    <x v="3"/>
    <x v="3"/>
    <x v="1"/>
    <x v="1"/>
    <x v="0"/>
    <x v="8"/>
    <x v="8"/>
    <x v="8"/>
  </r>
  <r>
    <n v="67127"/>
    <x v="0"/>
    <x v="5"/>
    <x v="5"/>
    <x v="0"/>
    <x v="0"/>
    <x v="0"/>
    <x v="9"/>
    <x v="9"/>
    <x v="9"/>
  </r>
  <r>
    <n v="231743"/>
    <x v="1"/>
    <x v="1"/>
    <x v="6"/>
    <x v="0"/>
    <x v="0"/>
    <x v="1"/>
    <x v="10"/>
    <x v="10"/>
    <x v="10"/>
  </r>
  <r>
    <n v="179791"/>
    <x v="0"/>
    <x v="6"/>
    <x v="7"/>
    <x v="1"/>
    <x v="0"/>
    <x v="0"/>
    <x v="11"/>
    <x v="2"/>
    <x v="11"/>
  </r>
  <r>
    <n v="167286"/>
    <x v="0"/>
    <x v="3"/>
    <x v="4"/>
    <x v="0"/>
    <x v="0"/>
    <x v="0"/>
    <x v="12"/>
    <x v="11"/>
    <x v="12"/>
  </r>
  <r>
    <n v="242762"/>
    <x v="0"/>
    <x v="1"/>
    <x v="3"/>
    <x v="1"/>
    <x v="0"/>
    <x v="0"/>
    <x v="13"/>
    <x v="12"/>
    <x v="13"/>
  </r>
  <r>
    <n v="59709"/>
    <x v="1"/>
    <x v="5"/>
    <x v="8"/>
    <x v="0"/>
    <x v="0"/>
    <x v="0"/>
    <x v="14"/>
    <x v="13"/>
    <x v="14"/>
  </r>
  <r>
    <n v="100739"/>
    <x v="1"/>
    <x v="7"/>
    <x v="4"/>
    <x v="0"/>
    <x v="0"/>
    <x v="1"/>
    <x v="15"/>
    <x v="14"/>
    <x v="15"/>
  </r>
  <r>
    <n v="246052"/>
    <x v="1"/>
    <x v="4"/>
    <x v="2"/>
    <x v="1"/>
    <x v="0"/>
    <x v="0"/>
    <x v="16"/>
    <x v="15"/>
    <x v="16"/>
  </r>
  <r>
    <n v="177001"/>
    <x v="1"/>
    <x v="4"/>
    <x v="6"/>
    <x v="1"/>
    <x v="1"/>
    <x v="0"/>
    <x v="17"/>
    <x v="16"/>
    <x v="17"/>
  </r>
  <r>
    <n v="45835"/>
    <x v="0"/>
    <x v="8"/>
    <x v="9"/>
    <x v="0"/>
    <x v="0"/>
    <x v="0"/>
    <x v="18"/>
    <x v="17"/>
    <x v="18"/>
  </r>
  <r>
    <n v="189155"/>
    <x v="0"/>
    <x v="9"/>
    <x v="7"/>
    <x v="1"/>
    <x v="0"/>
    <x v="0"/>
    <x v="19"/>
    <x v="18"/>
    <x v="19"/>
  </r>
  <r>
    <n v="7156"/>
    <x v="0"/>
    <x v="10"/>
    <x v="6"/>
    <x v="0"/>
    <x v="0"/>
    <x v="0"/>
    <x v="20"/>
    <x v="19"/>
    <x v="20"/>
  </r>
  <r>
    <n v="238600"/>
    <x v="0"/>
    <x v="1"/>
    <x v="3"/>
    <x v="1"/>
    <x v="0"/>
    <x v="0"/>
    <x v="21"/>
    <x v="20"/>
    <x v="21"/>
  </r>
  <r>
    <n v="28041"/>
    <x v="1"/>
    <x v="0"/>
    <x v="8"/>
    <x v="0"/>
    <x v="1"/>
    <x v="0"/>
    <x v="22"/>
    <x v="21"/>
    <x v="22"/>
  </r>
  <r>
    <n v="203234"/>
    <x v="0"/>
    <x v="11"/>
    <x v="7"/>
    <x v="0"/>
    <x v="0"/>
    <x v="0"/>
    <x v="23"/>
    <x v="22"/>
    <x v="23"/>
  </r>
  <r>
    <n v="122913"/>
    <x v="1"/>
    <x v="4"/>
    <x v="2"/>
    <x v="1"/>
    <x v="1"/>
    <x v="1"/>
    <x v="24"/>
    <x v="2"/>
    <x v="24"/>
  </r>
  <r>
    <n v="163859"/>
    <x v="0"/>
    <x v="3"/>
    <x v="4"/>
    <x v="0"/>
    <x v="0"/>
    <x v="1"/>
    <x v="25"/>
    <x v="23"/>
    <x v="25"/>
  </r>
  <r>
    <n v="86621"/>
    <x v="0"/>
    <x v="11"/>
    <x v="3"/>
    <x v="1"/>
    <x v="0"/>
    <x v="1"/>
    <x v="26"/>
    <x v="24"/>
    <x v="26"/>
  </r>
  <r>
    <n v="176823"/>
    <x v="1"/>
    <x v="4"/>
    <x v="6"/>
    <x v="0"/>
    <x v="0"/>
    <x v="0"/>
    <x v="27"/>
    <x v="25"/>
    <x v="27"/>
  </r>
  <r>
    <n v="27050"/>
    <x v="1"/>
    <x v="8"/>
    <x v="8"/>
    <x v="0"/>
    <x v="0"/>
    <x v="0"/>
    <x v="28"/>
    <x v="26"/>
    <x v="28"/>
  </r>
  <r>
    <n v="94969"/>
    <x v="0"/>
    <x v="11"/>
    <x v="7"/>
    <x v="1"/>
    <x v="0"/>
    <x v="1"/>
    <x v="29"/>
    <x v="2"/>
    <x v="29"/>
  </r>
  <r>
    <n v="26499"/>
    <x v="1"/>
    <x v="7"/>
    <x v="0"/>
    <x v="1"/>
    <x v="0"/>
    <x v="0"/>
    <x v="30"/>
    <x v="27"/>
    <x v="30"/>
  </r>
  <r>
    <n v="118096"/>
    <x v="0"/>
    <x v="6"/>
    <x v="9"/>
    <x v="1"/>
    <x v="0"/>
    <x v="1"/>
    <x v="31"/>
    <x v="28"/>
    <x v="31"/>
  </r>
  <r>
    <n v="179586"/>
    <x v="1"/>
    <x v="1"/>
    <x v="9"/>
    <x v="1"/>
    <x v="0"/>
    <x v="1"/>
    <x v="32"/>
    <x v="29"/>
    <x v="32"/>
  </r>
  <r>
    <n v="139323"/>
    <x v="0"/>
    <x v="4"/>
    <x v="7"/>
    <x v="1"/>
    <x v="0"/>
    <x v="1"/>
    <x v="33"/>
    <x v="2"/>
    <x v="33"/>
  </r>
  <r>
    <n v="125391"/>
    <x v="0"/>
    <x v="6"/>
    <x v="1"/>
    <x v="1"/>
    <x v="0"/>
    <x v="0"/>
    <x v="34"/>
    <x v="30"/>
    <x v="34"/>
  </r>
  <r>
    <n v="196524"/>
    <x v="0"/>
    <x v="0"/>
    <x v="0"/>
    <x v="0"/>
    <x v="0"/>
    <x v="0"/>
    <x v="35"/>
    <x v="31"/>
    <x v="35"/>
  </r>
  <r>
    <n v="240294"/>
    <x v="0"/>
    <x v="4"/>
    <x v="9"/>
    <x v="1"/>
    <x v="1"/>
    <x v="1"/>
    <x v="36"/>
    <x v="2"/>
    <x v="36"/>
  </r>
  <r>
    <n v="189610"/>
    <x v="0"/>
    <x v="9"/>
    <x v="6"/>
    <x v="0"/>
    <x v="0"/>
    <x v="0"/>
    <x v="37"/>
    <x v="32"/>
    <x v="37"/>
  </r>
  <r>
    <n v="256331"/>
    <x v="1"/>
    <x v="1"/>
    <x v="1"/>
    <x v="1"/>
    <x v="0"/>
    <x v="1"/>
    <x v="38"/>
    <x v="33"/>
    <x v="38"/>
  </r>
  <r>
    <n v="64176"/>
    <x v="0"/>
    <x v="5"/>
    <x v="6"/>
    <x v="0"/>
    <x v="0"/>
    <x v="0"/>
    <x v="39"/>
    <x v="34"/>
    <x v="39"/>
  </r>
  <r>
    <n v="92976"/>
    <x v="0"/>
    <x v="9"/>
    <x v="7"/>
    <x v="1"/>
    <x v="0"/>
    <x v="1"/>
    <x v="40"/>
    <x v="35"/>
    <x v="40"/>
  </r>
  <r>
    <n v="252207"/>
    <x v="0"/>
    <x v="8"/>
    <x v="7"/>
    <x v="0"/>
    <x v="1"/>
    <x v="1"/>
    <x v="41"/>
    <x v="2"/>
    <x v="41"/>
  </r>
  <r>
    <n v="99780"/>
    <x v="0"/>
    <x v="7"/>
    <x v="7"/>
    <x v="1"/>
    <x v="0"/>
    <x v="1"/>
    <x v="42"/>
    <x v="2"/>
    <x v="42"/>
  </r>
  <r>
    <n v="98602"/>
    <x v="0"/>
    <x v="7"/>
    <x v="3"/>
    <x v="0"/>
    <x v="1"/>
    <x v="1"/>
    <x v="43"/>
    <x v="36"/>
    <x v="43"/>
  </r>
  <r>
    <n v="219950"/>
    <x v="0"/>
    <x v="5"/>
    <x v="0"/>
    <x v="0"/>
    <x v="0"/>
    <x v="0"/>
    <x v="44"/>
    <x v="37"/>
    <x v="44"/>
  </r>
  <r>
    <n v="11162"/>
    <x v="1"/>
    <x v="9"/>
    <x v="8"/>
    <x v="0"/>
    <x v="0"/>
    <x v="0"/>
    <x v="45"/>
    <x v="38"/>
    <x v="45"/>
  </r>
  <r>
    <n v="41926"/>
    <x v="0"/>
    <x v="8"/>
    <x v="3"/>
    <x v="0"/>
    <x v="0"/>
    <x v="0"/>
    <x v="46"/>
    <x v="2"/>
    <x v="46"/>
  </r>
  <r>
    <n v="89197"/>
    <x v="0"/>
    <x v="2"/>
    <x v="7"/>
    <x v="0"/>
    <x v="1"/>
    <x v="0"/>
    <x v="47"/>
    <x v="39"/>
    <x v="47"/>
  </r>
  <r>
    <n v="224846"/>
    <x v="1"/>
    <x v="1"/>
    <x v="6"/>
    <x v="0"/>
    <x v="1"/>
    <x v="1"/>
    <x v="48"/>
    <x v="40"/>
    <x v="48"/>
  </r>
  <r>
    <n v="80813"/>
    <x v="0"/>
    <x v="10"/>
    <x v="7"/>
    <x v="0"/>
    <x v="0"/>
    <x v="0"/>
    <x v="49"/>
    <x v="2"/>
    <x v="49"/>
  </r>
  <r>
    <n v="226711"/>
    <x v="1"/>
    <x v="4"/>
    <x v="0"/>
    <x v="0"/>
    <x v="1"/>
    <x v="0"/>
    <x v="50"/>
    <x v="41"/>
    <x v="50"/>
  </r>
  <r>
    <n v="249509"/>
    <x v="0"/>
    <x v="4"/>
    <x v="6"/>
    <x v="1"/>
    <x v="0"/>
    <x v="0"/>
    <x v="51"/>
    <x v="42"/>
    <x v="51"/>
  </r>
  <r>
    <n v="98339"/>
    <x v="1"/>
    <x v="0"/>
    <x v="0"/>
    <x v="0"/>
    <x v="0"/>
    <x v="0"/>
    <x v="52"/>
    <x v="43"/>
    <x v="52"/>
  </r>
  <r>
    <n v="222425"/>
    <x v="0"/>
    <x v="5"/>
    <x v="6"/>
    <x v="0"/>
    <x v="1"/>
    <x v="0"/>
    <x v="53"/>
    <x v="44"/>
    <x v="53"/>
  </r>
  <r>
    <n v="107732"/>
    <x v="0"/>
    <x v="3"/>
    <x v="0"/>
    <x v="0"/>
    <x v="1"/>
    <x v="0"/>
    <x v="54"/>
    <x v="45"/>
    <x v="54"/>
  </r>
  <r>
    <n v="69724"/>
    <x v="1"/>
    <x v="8"/>
    <x v="7"/>
    <x v="0"/>
    <x v="0"/>
    <x v="0"/>
    <x v="55"/>
    <x v="46"/>
    <x v="55"/>
  </r>
  <r>
    <n v="135040"/>
    <x v="0"/>
    <x v="0"/>
    <x v="0"/>
    <x v="0"/>
    <x v="0"/>
    <x v="0"/>
    <x v="56"/>
    <x v="47"/>
    <x v="56"/>
  </r>
  <r>
    <n v="225556"/>
    <x v="1"/>
    <x v="4"/>
    <x v="6"/>
    <x v="1"/>
    <x v="0"/>
    <x v="0"/>
    <x v="57"/>
    <x v="48"/>
    <x v="57"/>
  </r>
  <r>
    <n v="83231"/>
    <x v="0"/>
    <x v="7"/>
    <x v="9"/>
    <x v="0"/>
    <x v="0"/>
    <x v="0"/>
    <x v="58"/>
    <x v="49"/>
    <x v="58"/>
  </r>
  <r>
    <n v="233525"/>
    <x v="0"/>
    <x v="5"/>
    <x v="7"/>
    <x v="0"/>
    <x v="0"/>
    <x v="1"/>
    <x v="59"/>
    <x v="2"/>
    <x v="59"/>
  </r>
  <r>
    <n v="240008"/>
    <x v="1"/>
    <x v="5"/>
    <x v="0"/>
    <x v="0"/>
    <x v="1"/>
    <x v="0"/>
    <x v="60"/>
    <x v="50"/>
    <x v="60"/>
  </r>
  <r>
    <n v="96904"/>
    <x v="1"/>
    <x v="7"/>
    <x v="8"/>
    <x v="0"/>
    <x v="0"/>
    <x v="0"/>
    <x v="61"/>
    <x v="51"/>
    <x v="61"/>
  </r>
  <r>
    <n v="170416"/>
    <x v="1"/>
    <x v="8"/>
    <x v="6"/>
    <x v="0"/>
    <x v="1"/>
    <x v="0"/>
    <x v="62"/>
    <x v="52"/>
    <x v="62"/>
  </r>
  <r>
    <n v="176406"/>
    <x v="0"/>
    <x v="1"/>
    <x v="4"/>
    <x v="1"/>
    <x v="1"/>
    <x v="1"/>
    <x v="63"/>
    <x v="53"/>
    <x v="63"/>
  </r>
  <r>
    <n v="228625"/>
    <x v="0"/>
    <x v="3"/>
    <x v="3"/>
    <x v="1"/>
    <x v="0"/>
    <x v="0"/>
    <x v="64"/>
    <x v="54"/>
    <x v="64"/>
  </r>
  <r>
    <n v="226060"/>
    <x v="0"/>
    <x v="1"/>
    <x v="2"/>
    <x v="0"/>
    <x v="0"/>
    <x v="0"/>
    <x v="65"/>
    <x v="55"/>
    <x v="65"/>
  </r>
  <r>
    <n v="165540"/>
    <x v="1"/>
    <x v="8"/>
    <x v="9"/>
    <x v="0"/>
    <x v="0"/>
    <x v="1"/>
    <x v="66"/>
    <x v="2"/>
    <x v="66"/>
  </r>
  <r>
    <n v="25300"/>
    <x v="1"/>
    <x v="8"/>
    <x v="9"/>
    <x v="0"/>
    <x v="0"/>
    <x v="1"/>
    <x v="67"/>
    <x v="56"/>
    <x v="67"/>
  </r>
  <r>
    <n v="3282"/>
    <x v="0"/>
    <x v="9"/>
    <x v="3"/>
    <x v="0"/>
    <x v="0"/>
    <x v="0"/>
    <x v="68"/>
    <x v="57"/>
    <x v="68"/>
  </r>
  <r>
    <n v="103799"/>
    <x v="1"/>
    <x v="5"/>
    <x v="8"/>
    <x v="1"/>
    <x v="0"/>
    <x v="1"/>
    <x v="69"/>
    <x v="58"/>
    <x v="69"/>
  </r>
  <r>
    <n v="256186"/>
    <x v="0"/>
    <x v="1"/>
    <x v="5"/>
    <x v="1"/>
    <x v="0"/>
    <x v="1"/>
    <x v="70"/>
    <x v="59"/>
    <x v="70"/>
  </r>
  <r>
    <n v="219670"/>
    <x v="0"/>
    <x v="9"/>
    <x v="8"/>
    <x v="1"/>
    <x v="1"/>
    <x v="0"/>
    <x v="71"/>
    <x v="2"/>
    <x v="71"/>
  </r>
  <r>
    <n v="164959"/>
    <x v="1"/>
    <x v="4"/>
    <x v="4"/>
    <x v="1"/>
    <x v="0"/>
    <x v="1"/>
    <x v="72"/>
    <x v="2"/>
    <x v="72"/>
  </r>
  <r>
    <n v="74035"/>
    <x v="0"/>
    <x v="7"/>
    <x v="7"/>
    <x v="1"/>
    <x v="0"/>
    <x v="0"/>
    <x v="73"/>
    <x v="2"/>
    <x v="73"/>
  </r>
  <r>
    <n v="57323"/>
    <x v="0"/>
    <x v="8"/>
    <x v="7"/>
    <x v="1"/>
    <x v="0"/>
    <x v="0"/>
    <x v="74"/>
    <x v="60"/>
    <x v="74"/>
  </r>
  <r>
    <n v="205631"/>
    <x v="1"/>
    <x v="2"/>
    <x v="7"/>
    <x v="1"/>
    <x v="1"/>
    <x v="1"/>
    <x v="75"/>
    <x v="2"/>
    <x v="75"/>
  </r>
  <r>
    <n v="83104"/>
    <x v="0"/>
    <x v="9"/>
    <x v="7"/>
    <x v="0"/>
    <x v="0"/>
    <x v="0"/>
    <x v="76"/>
    <x v="61"/>
    <x v="76"/>
  </r>
  <r>
    <n v="70733"/>
    <x v="1"/>
    <x v="1"/>
    <x v="8"/>
    <x v="1"/>
    <x v="0"/>
    <x v="0"/>
    <x v="77"/>
    <x v="62"/>
    <x v="77"/>
  </r>
  <r>
    <n v="97914"/>
    <x v="1"/>
    <x v="2"/>
    <x v="2"/>
    <x v="1"/>
    <x v="0"/>
    <x v="1"/>
    <x v="78"/>
    <x v="63"/>
    <x v="78"/>
  </r>
  <r>
    <n v="139001"/>
    <x v="1"/>
    <x v="4"/>
    <x v="0"/>
    <x v="0"/>
    <x v="0"/>
    <x v="1"/>
    <x v="79"/>
    <x v="64"/>
    <x v="79"/>
  </r>
  <r>
    <n v="3096"/>
    <x v="1"/>
    <x v="9"/>
    <x v="6"/>
    <x v="0"/>
    <x v="0"/>
    <x v="0"/>
    <x v="80"/>
    <x v="65"/>
    <x v="80"/>
  </r>
  <r>
    <n v="228574"/>
    <x v="1"/>
    <x v="5"/>
    <x v="5"/>
    <x v="1"/>
    <x v="0"/>
    <x v="1"/>
    <x v="81"/>
    <x v="66"/>
    <x v="81"/>
  </r>
  <r>
    <n v="212571"/>
    <x v="1"/>
    <x v="9"/>
    <x v="6"/>
    <x v="0"/>
    <x v="0"/>
    <x v="0"/>
    <x v="82"/>
    <x v="67"/>
    <x v="82"/>
  </r>
  <r>
    <n v="81717"/>
    <x v="0"/>
    <x v="2"/>
    <x v="7"/>
    <x v="0"/>
    <x v="0"/>
    <x v="0"/>
    <x v="83"/>
    <x v="68"/>
    <x v="83"/>
  </r>
  <r>
    <n v="179326"/>
    <x v="0"/>
    <x v="1"/>
    <x v="9"/>
    <x v="1"/>
    <x v="0"/>
    <x v="0"/>
    <x v="84"/>
    <x v="69"/>
    <x v="84"/>
  </r>
  <r>
    <n v="145200"/>
    <x v="1"/>
    <x v="3"/>
    <x v="4"/>
    <x v="1"/>
    <x v="0"/>
    <x v="1"/>
    <x v="85"/>
    <x v="70"/>
    <x v="85"/>
  </r>
  <r>
    <n v="162247"/>
    <x v="0"/>
    <x v="7"/>
    <x v="3"/>
    <x v="0"/>
    <x v="0"/>
    <x v="0"/>
    <x v="86"/>
    <x v="71"/>
    <x v="86"/>
  </r>
  <r>
    <n v="147418"/>
    <x v="0"/>
    <x v="6"/>
    <x v="8"/>
    <x v="1"/>
    <x v="0"/>
    <x v="0"/>
    <x v="87"/>
    <x v="53"/>
    <x v="87"/>
  </r>
  <r>
    <n v="2760"/>
    <x v="0"/>
    <x v="11"/>
    <x v="7"/>
    <x v="0"/>
    <x v="0"/>
    <x v="0"/>
    <x v="88"/>
    <x v="2"/>
    <x v="88"/>
  </r>
  <r>
    <n v="20069"/>
    <x v="1"/>
    <x v="0"/>
    <x v="6"/>
    <x v="0"/>
    <x v="1"/>
    <x v="0"/>
    <x v="89"/>
    <x v="72"/>
    <x v="89"/>
  </r>
  <r>
    <n v="210385"/>
    <x v="0"/>
    <x v="9"/>
    <x v="7"/>
    <x v="0"/>
    <x v="0"/>
    <x v="0"/>
    <x v="90"/>
    <x v="2"/>
    <x v="90"/>
  </r>
  <r>
    <n v="24750"/>
    <x v="1"/>
    <x v="9"/>
    <x v="6"/>
    <x v="1"/>
    <x v="0"/>
    <x v="1"/>
    <x v="91"/>
    <x v="73"/>
    <x v="91"/>
  </r>
  <r>
    <n v="66360"/>
    <x v="0"/>
    <x v="5"/>
    <x v="3"/>
    <x v="0"/>
    <x v="0"/>
    <x v="1"/>
    <x v="92"/>
    <x v="74"/>
    <x v="92"/>
  </r>
  <r>
    <n v="29380"/>
    <x v="0"/>
    <x v="7"/>
    <x v="6"/>
    <x v="0"/>
    <x v="1"/>
    <x v="0"/>
    <x v="93"/>
    <x v="75"/>
    <x v="93"/>
  </r>
  <r>
    <n v="39226"/>
    <x v="1"/>
    <x v="7"/>
    <x v="6"/>
    <x v="0"/>
    <x v="0"/>
    <x v="0"/>
    <x v="94"/>
    <x v="76"/>
    <x v="94"/>
  </r>
  <r>
    <n v="20067"/>
    <x v="1"/>
    <x v="0"/>
    <x v="6"/>
    <x v="0"/>
    <x v="0"/>
    <x v="1"/>
    <x v="95"/>
    <x v="77"/>
    <x v="95"/>
  </r>
  <r>
    <n v="235877"/>
    <x v="0"/>
    <x v="6"/>
    <x v="7"/>
    <x v="1"/>
    <x v="0"/>
    <x v="1"/>
    <x v="96"/>
    <x v="78"/>
    <x v="96"/>
  </r>
  <r>
    <n v="25944"/>
    <x v="0"/>
    <x v="0"/>
    <x v="7"/>
    <x v="0"/>
    <x v="0"/>
    <x v="0"/>
    <x v="97"/>
    <x v="79"/>
    <x v="97"/>
  </r>
  <r>
    <n v="214504"/>
    <x v="1"/>
    <x v="0"/>
    <x v="8"/>
    <x v="0"/>
    <x v="0"/>
    <x v="0"/>
    <x v="98"/>
    <x v="80"/>
    <x v="98"/>
  </r>
  <r>
    <n v="1628"/>
    <x v="0"/>
    <x v="11"/>
    <x v="7"/>
    <x v="1"/>
    <x v="1"/>
    <x v="1"/>
    <x v="99"/>
    <x v="2"/>
    <x v="99"/>
  </r>
  <r>
    <n v="199789"/>
    <x v="0"/>
    <x v="9"/>
    <x v="0"/>
    <x v="0"/>
    <x v="0"/>
    <x v="0"/>
    <x v="100"/>
    <x v="81"/>
    <x v="100"/>
  </r>
  <r>
    <n v="34434"/>
    <x v="1"/>
    <x v="7"/>
    <x v="6"/>
    <x v="1"/>
    <x v="0"/>
    <x v="0"/>
    <x v="101"/>
    <x v="82"/>
    <x v="101"/>
  </r>
  <r>
    <n v="167674"/>
    <x v="0"/>
    <x v="4"/>
    <x v="8"/>
    <x v="1"/>
    <x v="0"/>
    <x v="0"/>
    <x v="102"/>
    <x v="83"/>
    <x v="102"/>
  </r>
  <r>
    <n v="5323"/>
    <x v="1"/>
    <x v="9"/>
    <x v="6"/>
    <x v="0"/>
    <x v="0"/>
    <x v="0"/>
    <x v="103"/>
    <x v="84"/>
    <x v="103"/>
  </r>
  <r>
    <n v="126666"/>
    <x v="1"/>
    <x v="4"/>
    <x v="8"/>
    <x v="1"/>
    <x v="0"/>
    <x v="1"/>
    <x v="104"/>
    <x v="2"/>
    <x v="104"/>
  </r>
  <r>
    <n v="174529"/>
    <x v="0"/>
    <x v="3"/>
    <x v="4"/>
    <x v="1"/>
    <x v="0"/>
    <x v="0"/>
    <x v="105"/>
    <x v="85"/>
    <x v="105"/>
  </r>
  <r>
    <n v="121124"/>
    <x v="1"/>
    <x v="3"/>
    <x v="9"/>
    <x v="1"/>
    <x v="0"/>
    <x v="0"/>
    <x v="106"/>
    <x v="86"/>
    <x v="106"/>
  </r>
  <r>
    <n v="34160"/>
    <x v="1"/>
    <x v="0"/>
    <x v="1"/>
    <x v="1"/>
    <x v="0"/>
    <x v="1"/>
    <x v="107"/>
    <x v="87"/>
    <x v="107"/>
  </r>
  <r>
    <n v="52120"/>
    <x v="1"/>
    <x v="7"/>
    <x v="7"/>
    <x v="0"/>
    <x v="0"/>
    <x v="0"/>
    <x v="108"/>
    <x v="2"/>
    <x v="108"/>
  </r>
  <r>
    <n v="175058"/>
    <x v="1"/>
    <x v="3"/>
    <x v="6"/>
    <x v="0"/>
    <x v="0"/>
    <x v="0"/>
    <x v="109"/>
    <x v="88"/>
    <x v="109"/>
  </r>
  <r>
    <n v="238912"/>
    <x v="0"/>
    <x v="1"/>
    <x v="1"/>
    <x v="1"/>
    <x v="1"/>
    <x v="0"/>
    <x v="110"/>
    <x v="89"/>
    <x v="110"/>
  </r>
  <r>
    <n v="96356"/>
    <x v="1"/>
    <x v="2"/>
    <x v="7"/>
    <x v="1"/>
    <x v="0"/>
    <x v="1"/>
    <x v="111"/>
    <x v="2"/>
    <x v="111"/>
  </r>
  <r>
    <n v="235723"/>
    <x v="1"/>
    <x v="1"/>
    <x v="6"/>
    <x v="1"/>
    <x v="1"/>
    <x v="0"/>
    <x v="112"/>
    <x v="90"/>
    <x v="112"/>
  </r>
  <r>
    <n v="195482"/>
    <x v="0"/>
    <x v="0"/>
    <x v="6"/>
    <x v="0"/>
    <x v="0"/>
    <x v="0"/>
    <x v="113"/>
    <x v="91"/>
    <x v="113"/>
  </r>
  <r>
    <n v="246762"/>
    <x v="1"/>
    <x v="1"/>
    <x v="1"/>
    <x v="1"/>
    <x v="0"/>
    <x v="0"/>
    <x v="114"/>
    <x v="92"/>
    <x v="114"/>
  </r>
  <r>
    <n v="222188"/>
    <x v="1"/>
    <x v="2"/>
    <x v="7"/>
    <x v="1"/>
    <x v="1"/>
    <x v="0"/>
    <x v="115"/>
    <x v="2"/>
    <x v="115"/>
  </r>
  <r>
    <n v="148276"/>
    <x v="1"/>
    <x v="4"/>
    <x v="9"/>
    <x v="1"/>
    <x v="1"/>
    <x v="1"/>
    <x v="116"/>
    <x v="93"/>
    <x v="116"/>
  </r>
  <r>
    <n v="113004"/>
    <x v="0"/>
    <x v="3"/>
    <x v="6"/>
    <x v="0"/>
    <x v="0"/>
    <x v="0"/>
    <x v="117"/>
    <x v="94"/>
    <x v="117"/>
  </r>
  <r>
    <n v="199354"/>
    <x v="0"/>
    <x v="10"/>
    <x v="7"/>
    <x v="0"/>
    <x v="0"/>
    <x v="0"/>
    <x v="118"/>
    <x v="95"/>
    <x v="118"/>
  </r>
  <r>
    <n v="71850"/>
    <x v="1"/>
    <x v="5"/>
    <x v="6"/>
    <x v="0"/>
    <x v="0"/>
    <x v="0"/>
    <x v="119"/>
    <x v="96"/>
    <x v="119"/>
  </r>
  <r>
    <n v="254383"/>
    <x v="0"/>
    <x v="6"/>
    <x v="2"/>
    <x v="1"/>
    <x v="1"/>
    <x v="0"/>
    <x v="120"/>
    <x v="97"/>
    <x v="120"/>
  </r>
  <r>
    <n v="5589"/>
    <x v="0"/>
    <x v="10"/>
    <x v="5"/>
    <x v="0"/>
    <x v="0"/>
    <x v="0"/>
    <x v="121"/>
    <x v="98"/>
    <x v="121"/>
  </r>
  <r>
    <n v="72632"/>
    <x v="1"/>
    <x v="5"/>
    <x v="6"/>
    <x v="0"/>
    <x v="0"/>
    <x v="0"/>
    <x v="122"/>
    <x v="99"/>
    <x v="122"/>
  </r>
  <r>
    <n v="207016"/>
    <x v="0"/>
    <x v="9"/>
    <x v="7"/>
    <x v="0"/>
    <x v="0"/>
    <x v="0"/>
    <x v="123"/>
    <x v="2"/>
    <x v="123"/>
  </r>
  <r>
    <n v="117286"/>
    <x v="0"/>
    <x v="1"/>
    <x v="5"/>
    <x v="1"/>
    <x v="0"/>
    <x v="1"/>
    <x v="124"/>
    <x v="100"/>
    <x v="124"/>
  </r>
  <r>
    <n v="254457"/>
    <x v="1"/>
    <x v="7"/>
    <x v="9"/>
    <x v="0"/>
    <x v="0"/>
    <x v="0"/>
    <x v="125"/>
    <x v="101"/>
    <x v="125"/>
  </r>
  <r>
    <n v="165460"/>
    <x v="0"/>
    <x v="5"/>
    <x v="2"/>
    <x v="1"/>
    <x v="0"/>
    <x v="1"/>
    <x v="126"/>
    <x v="102"/>
    <x v="126"/>
  </r>
  <r>
    <n v="61572"/>
    <x v="0"/>
    <x v="5"/>
    <x v="3"/>
    <x v="0"/>
    <x v="0"/>
    <x v="0"/>
    <x v="127"/>
    <x v="103"/>
    <x v="127"/>
  </r>
  <r>
    <n v="247583"/>
    <x v="1"/>
    <x v="1"/>
    <x v="3"/>
    <x v="1"/>
    <x v="1"/>
    <x v="0"/>
    <x v="128"/>
    <x v="104"/>
    <x v="128"/>
  </r>
  <r>
    <n v="62513"/>
    <x v="0"/>
    <x v="5"/>
    <x v="7"/>
    <x v="0"/>
    <x v="0"/>
    <x v="0"/>
    <x v="129"/>
    <x v="105"/>
    <x v="129"/>
  </r>
  <r>
    <n v="189937"/>
    <x v="1"/>
    <x v="9"/>
    <x v="6"/>
    <x v="0"/>
    <x v="0"/>
    <x v="0"/>
    <x v="130"/>
    <x v="106"/>
    <x v="130"/>
  </r>
  <r>
    <n v="164876"/>
    <x v="0"/>
    <x v="8"/>
    <x v="0"/>
    <x v="0"/>
    <x v="0"/>
    <x v="0"/>
    <x v="131"/>
    <x v="107"/>
    <x v="131"/>
  </r>
  <r>
    <n v="253899"/>
    <x v="1"/>
    <x v="1"/>
    <x v="8"/>
    <x v="1"/>
    <x v="0"/>
    <x v="1"/>
    <x v="132"/>
    <x v="108"/>
    <x v="132"/>
  </r>
  <r>
    <n v="166422"/>
    <x v="0"/>
    <x v="3"/>
    <x v="7"/>
    <x v="1"/>
    <x v="0"/>
    <x v="1"/>
    <x v="133"/>
    <x v="2"/>
    <x v="133"/>
  </r>
  <r>
    <n v="98678"/>
    <x v="1"/>
    <x v="9"/>
    <x v="0"/>
    <x v="0"/>
    <x v="0"/>
    <x v="0"/>
    <x v="134"/>
    <x v="109"/>
    <x v="134"/>
  </r>
  <r>
    <n v="233812"/>
    <x v="1"/>
    <x v="1"/>
    <x v="0"/>
    <x v="1"/>
    <x v="0"/>
    <x v="1"/>
    <x v="135"/>
    <x v="110"/>
    <x v="135"/>
  </r>
  <r>
    <n v="85654"/>
    <x v="0"/>
    <x v="0"/>
    <x v="4"/>
    <x v="0"/>
    <x v="0"/>
    <x v="0"/>
    <x v="136"/>
    <x v="111"/>
    <x v="136"/>
  </r>
  <r>
    <n v="100428"/>
    <x v="0"/>
    <x v="0"/>
    <x v="3"/>
    <x v="1"/>
    <x v="0"/>
    <x v="1"/>
    <x v="137"/>
    <x v="112"/>
    <x v="137"/>
  </r>
  <r>
    <n v="199811"/>
    <x v="0"/>
    <x v="7"/>
    <x v="6"/>
    <x v="0"/>
    <x v="0"/>
    <x v="0"/>
    <x v="138"/>
    <x v="113"/>
    <x v="138"/>
  </r>
  <r>
    <n v="238918"/>
    <x v="1"/>
    <x v="1"/>
    <x v="1"/>
    <x v="1"/>
    <x v="1"/>
    <x v="1"/>
    <x v="139"/>
    <x v="2"/>
    <x v="139"/>
  </r>
  <r>
    <n v="179467"/>
    <x v="1"/>
    <x v="8"/>
    <x v="2"/>
    <x v="1"/>
    <x v="0"/>
    <x v="1"/>
    <x v="140"/>
    <x v="114"/>
    <x v="140"/>
  </r>
  <r>
    <n v="84077"/>
    <x v="1"/>
    <x v="7"/>
    <x v="4"/>
    <x v="0"/>
    <x v="0"/>
    <x v="1"/>
    <x v="141"/>
    <x v="115"/>
    <x v="141"/>
  </r>
  <r>
    <n v="10417"/>
    <x v="1"/>
    <x v="7"/>
    <x v="8"/>
    <x v="0"/>
    <x v="0"/>
    <x v="1"/>
    <x v="142"/>
    <x v="116"/>
    <x v="142"/>
  </r>
  <r>
    <n v="89872"/>
    <x v="0"/>
    <x v="10"/>
    <x v="7"/>
    <x v="0"/>
    <x v="0"/>
    <x v="1"/>
    <x v="143"/>
    <x v="2"/>
    <x v="143"/>
  </r>
  <r>
    <n v="106184"/>
    <x v="1"/>
    <x v="3"/>
    <x v="3"/>
    <x v="0"/>
    <x v="0"/>
    <x v="0"/>
    <x v="144"/>
    <x v="117"/>
    <x v="144"/>
  </r>
  <r>
    <n v="212671"/>
    <x v="0"/>
    <x v="7"/>
    <x v="7"/>
    <x v="0"/>
    <x v="0"/>
    <x v="0"/>
    <x v="145"/>
    <x v="118"/>
    <x v="145"/>
  </r>
  <r>
    <n v="183036"/>
    <x v="1"/>
    <x v="2"/>
    <x v="7"/>
    <x v="1"/>
    <x v="0"/>
    <x v="1"/>
    <x v="146"/>
    <x v="119"/>
    <x v="146"/>
  </r>
  <r>
    <n v="115457"/>
    <x v="1"/>
    <x v="4"/>
    <x v="1"/>
    <x v="1"/>
    <x v="0"/>
    <x v="1"/>
    <x v="147"/>
    <x v="120"/>
    <x v="147"/>
  </r>
  <r>
    <n v="114266"/>
    <x v="0"/>
    <x v="3"/>
    <x v="3"/>
    <x v="1"/>
    <x v="0"/>
    <x v="0"/>
    <x v="148"/>
    <x v="121"/>
    <x v="148"/>
  </r>
  <r>
    <n v="135972"/>
    <x v="1"/>
    <x v="3"/>
    <x v="8"/>
    <x v="1"/>
    <x v="0"/>
    <x v="0"/>
    <x v="149"/>
    <x v="122"/>
    <x v="149"/>
  </r>
  <r>
    <n v="121500"/>
    <x v="1"/>
    <x v="3"/>
    <x v="6"/>
    <x v="0"/>
    <x v="0"/>
    <x v="0"/>
    <x v="150"/>
    <x v="123"/>
    <x v="150"/>
  </r>
  <r>
    <n v="170658"/>
    <x v="0"/>
    <x v="1"/>
    <x v="9"/>
    <x v="1"/>
    <x v="0"/>
    <x v="0"/>
    <x v="151"/>
    <x v="2"/>
    <x v="151"/>
  </r>
  <r>
    <n v="145732"/>
    <x v="0"/>
    <x v="4"/>
    <x v="6"/>
    <x v="0"/>
    <x v="0"/>
    <x v="1"/>
    <x v="152"/>
    <x v="124"/>
    <x v="152"/>
  </r>
  <r>
    <n v="82959"/>
    <x v="1"/>
    <x v="7"/>
    <x v="7"/>
    <x v="0"/>
    <x v="0"/>
    <x v="1"/>
    <x v="153"/>
    <x v="2"/>
    <x v="153"/>
  </r>
  <r>
    <n v="76082"/>
    <x v="1"/>
    <x v="2"/>
    <x v="7"/>
    <x v="1"/>
    <x v="1"/>
    <x v="1"/>
    <x v="154"/>
    <x v="2"/>
    <x v="154"/>
  </r>
  <r>
    <n v="72102"/>
    <x v="1"/>
    <x v="5"/>
    <x v="4"/>
    <x v="0"/>
    <x v="1"/>
    <x v="1"/>
    <x v="155"/>
    <x v="125"/>
    <x v="155"/>
  </r>
  <r>
    <n v="256564"/>
    <x v="0"/>
    <x v="5"/>
    <x v="5"/>
    <x v="1"/>
    <x v="0"/>
    <x v="1"/>
    <x v="156"/>
    <x v="126"/>
    <x v="156"/>
  </r>
  <r>
    <n v="103659"/>
    <x v="0"/>
    <x v="0"/>
    <x v="7"/>
    <x v="0"/>
    <x v="0"/>
    <x v="0"/>
    <x v="157"/>
    <x v="127"/>
    <x v="157"/>
  </r>
  <r>
    <n v="241528"/>
    <x v="1"/>
    <x v="4"/>
    <x v="9"/>
    <x v="1"/>
    <x v="1"/>
    <x v="1"/>
    <x v="158"/>
    <x v="2"/>
    <x v="158"/>
  </r>
  <r>
    <n v="113419"/>
    <x v="1"/>
    <x v="3"/>
    <x v="8"/>
    <x v="1"/>
    <x v="0"/>
    <x v="1"/>
    <x v="159"/>
    <x v="128"/>
    <x v="159"/>
  </r>
  <r>
    <n v="10357"/>
    <x v="0"/>
    <x v="0"/>
    <x v="3"/>
    <x v="1"/>
    <x v="0"/>
    <x v="0"/>
    <x v="160"/>
    <x v="129"/>
    <x v="160"/>
  </r>
  <r>
    <n v="158471"/>
    <x v="0"/>
    <x v="3"/>
    <x v="7"/>
    <x v="1"/>
    <x v="0"/>
    <x v="1"/>
    <x v="161"/>
    <x v="2"/>
    <x v="161"/>
  </r>
  <r>
    <n v="220027"/>
    <x v="0"/>
    <x v="0"/>
    <x v="7"/>
    <x v="1"/>
    <x v="0"/>
    <x v="1"/>
    <x v="162"/>
    <x v="130"/>
    <x v="162"/>
  </r>
  <r>
    <n v="36718"/>
    <x v="1"/>
    <x v="8"/>
    <x v="9"/>
    <x v="1"/>
    <x v="0"/>
    <x v="1"/>
    <x v="163"/>
    <x v="131"/>
    <x v="163"/>
  </r>
  <r>
    <n v="84392"/>
    <x v="0"/>
    <x v="7"/>
    <x v="0"/>
    <x v="0"/>
    <x v="1"/>
    <x v="1"/>
    <x v="164"/>
    <x v="132"/>
    <x v="164"/>
  </r>
  <r>
    <n v="164984"/>
    <x v="0"/>
    <x v="1"/>
    <x v="4"/>
    <x v="1"/>
    <x v="0"/>
    <x v="1"/>
    <x v="165"/>
    <x v="133"/>
    <x v="165"/>
  </r>
  <r>
    <n v="15121"/>
    <x v="0"/>
    <x v="7"/>
    <x v="4"/>
    <x v="1"/>
    <x v="0"/>
    <x v="1"/>
    <x v="166"/>
    <x v="134"/>
    <x v="166"/>
  </r>
  <r>
    <n v="246468"/>
    <x v="0"/>
    <x v="0"/>
    <x v="0"/>
    <x v="0"/>
    <x v="0"/>
    <x v="1"/>
    <x v="167"/>
    <x v="135"/>
    <x v="167"/>
  </r>
  <r>
    <n v="25227"/>
    <x v="0"/>
    <x v="8"/>
    <x v="3"/>
    <x v="0"/>
    <x v="0"/>
    <x v="0"/>
    <x v="168"/>
    <x v="136"/>
    <x v="168"/>
  </r>
  <r>
    <n v="83444"/>
    <x v="1"/>
    <x v="7"/>
    <x v="7"/>
    <x v="0"/>
    <x v="0"/>
    <x v="1"/>
    <x v="169"/>
    <x v="2"/>
    <x v="169"/>
  </r>
  <r>
    <n v="12174"/>
    <x v="0"/>
    <x v="7"/>
    <x v="5"/>
    <x v="1"/>
    <x v="0"/>
    <x v="0"/>
    <x v="170"/>
    <x v="68"/>
    <x v="170"/>
  </r>
  <r>
    <n v="108698"/>
    <x v="0"/>
    <x v="11"/>
    <x v="3"/>
    <x v="0"/>
    <x v="0"/>
    <x v="1"/>
    <x v="171"/>
    <x v="137"/>
    <x v="171"/>
  </r>
  <r>
    <n v="91254"/>
    <x v="0"/>
    <x v="2"/>
    <x v="7"/>
    <x v="0"/>
    <x v="1"/>
    <x v="0"/>
    <x v="172"/>
    <x v="138"/>
    <x v="172"/>
  </r>
  <r>
    <n v="27822"/>
    <x v="1"/>
    <x v="0"/>
    <x v="6"/>
    <x v="0"/>
    <x v="0"/>
    <x v="0"/>
    <x v="173"/>
    <x v="139"/>
    <x v="173"/>
  </r>
  <r>
    <n v="191118"/>
    <x v="0"/>
    <x v="10"/>
    <x v="6"/>
    <x v="0"/>
    <x v="1"/>
    <x v="1"/>
    <x v="174"/>
    <x v="140"/>
    <x v="174"/>
  </r>
  <r>
    <n v="201925"/>
    <x v="0"/>
    <x v="10"/>
    <x v="7"/>
    <x v="1"/>
    <x v="0"/>
    <x v="1"/>
    <x v="175"/>
    <x v="141"/>
    <x v="175"/>
  </r>
  <r>
    <n v="92139"/>
    <x v="0"/>
    <x v="7"/>
    <x v="3"/>
    <x v="0"/>
    <x v="0"/>
    <x v="0"/>
    <x v="176"/>
    <x v="142"/>
    <x v="176"/>
  </r>
  <r>
    <n v="50675"/>
    <x v="0"/>
    <x v="8"/>
    <x v="4"/>
    <x v="1"/>
    <x v="1"/>
    <x v="1"/>
    <x v="177"/>
    <x v="2"/>
    <x v="177"/>
  </r>
  <r>
    <n v="38261"/>
    <x v="1"/>
    <x v="8"/>
    <x v="9"/>
    <x v="0"/>
    <x v="0"/>
    <x v="0"/>
    <x v="178"/>
    <x v="143"/>
    <x v="178"/>
  </r>
  <r>
    <n v="51149"/>
    <x v="0"/>
    <x v="8"/>
    <x v="4"/>
    <x v="1"/>
    <x v="0"/>
    <x v="1"/>
    <x v="179"/>
    <x v="144"/>
    <x v="179"/>
  </r>
  <r>
    <n v="60699"/>
    <x v="1"/>
    <x v="2"/>
    <x v="7"/>
    <x v="0"/>
    <x v="0"/>
    <x v="0"/>
    <x v="180"/>
    <x v="145"/>
    <x v="180"/>
  </r>
  <r>
    <n v="92612"/>
    <x v="1"/>
    <x v="11"/>
    <x v="8"/>
    <x v="1"/>
    <x v="0"/>
    <x v="0"/>
    <x v="181"/>
    <x v="146"/>
    <x v="181"/>
  </r>
  <r>
    <n v="166867"/>
    <x v="1"/>
    <x v="3"/>
    <x v="6"/>
    <x v="0"/>
    <x v="1"/>
    <x v="0"/>
    <x v="182"/>
    <x v="2"/>
    <x v="182"/>
  </r>
  <r>
    <n v="75483"/>
    <x v="0"/>
    <x v="8"/>
    <x v="7"/>
    <x v="1"/>
    <x v="0"/>
    <x v="1"/>
    <x v="183"/>
    <x v="2"/>
    <x v="183"/>
  </r>
  <r>
    <n v="123928"/>
    <x v="1"/>
    <x v="4"/>
    <x v="8"/>
    <x v="1"/>
    <x v="1"/>
    <x v="0"/>
    <x v="184"/>
    <x v="147"/>
    <x v="184"/>
  </r>
  <r>
    <n v="161550"/>
    <x v="1"/>
    <x v="4"/>
    <x v="2"/>
    <x v="1"/>
    <x v="1"/>
    <x v="0"/>
    <x v="185"/>
    <x v="148"/>
    <x v="185"/>
  </r>
  <r>
    <n v="124344"/>
    <x v="0"/>
    <x v="8"/>
    <x v="3"/>
    <x v="0"/>
    <x v="0"/>
    <x v="1"/>
    <x v="186"/>
    <x v="149"/>
    <x v="186"/>
  </r>
  <r>
    <n v="198744"/>
    <x v="0"/>
    <x v="7"/>
    <x v="0"/>
    <x v="0"/>
    <x v="0"/>
    <x v="0"/>
    <x v="187"/>
    <x v="150"/>
    <x v="187"/>
  </r>
  <r>
    <n v="181624"/>
    <x v="1"/>
    <x v="7"/>
    <x v="1"/>
    <x v="0"/>
    <x v="0"/>
    <x v="0"/>
    <x v="188"/>
    <x v="151"/>
    <x v="188"/>
  </r>
  <r>
    <n v="25026"/>
    <x v="1"/>
    <x v="0"/>
    <x v="0"/>
    <x v="1"/>
    <x v="0"/>
    <x v="0"/>
    <x v="189"/>
    <x v="152"/>
    <x v="189"/>
  </r>
  <r>
    <n v="54112"/>
    <x v="1"/>
    <x v="3"/>
    <x v="0"/>
    <x v="1"/>
    <x v="0"/>
    <x v="0"/>
    <x v="190"/>
    <x v="153"/>
    <x v="190"/>
  </r>
  <r>
    <n v="101283"/>
    <x v="1"/>
    <x v="7"/>
    <x v="6"/>
    <x v="0"/>
    <x v="1"/>
    <x v="1"/>
    <x v="191"/>
    <x v="154"/>
    <x v="191"/>
  </r>
  <r>
    <n v="68346"/>
    <x v="0"/>
    <x v="5"/>
    <x v="4"/>
    <x v="0"/>
    <x v="1"/>
    <x v="1"/>
    <x v="192"/>
    <x v="155"/>
    <x v="192"/>
  </r>
  <r>
    <n v="23797"/>
    <x v="1"/>
    <x v="0"/>
    <x v="8"/>
    <x v="1"/>
    <x v="0"/>
    <x v="1"/>
    <x v="193"/>
    <x v="156"/>
    <x v="193"/>
  </r>
  <r>
    <n v="174356"/>
    <x v="1"/>
    <x v="7"/>
    <x v="7"/>
    <x v="1"/>
    <x v="0"/>
    <x v="1"/>
    <x v="194"/>
    <x v="2"/>
    <x v="194"/>
  </r>
  <r>
    <n v="158404"/>
    <x v="1"/>
    <x v="5"/>
    <x v="5"/>
    <x v="0"/>
    <x v="0"/>
    <x v="1"/>
    <x v="195"/>
    <x v="157"/>
    <x v="195"/>
  </r>
  <r>
    <n v="215374"/>
    <x v="0"/>
    <x v="11"/>
    <x v="7"/>
    <x v="0"/>
    <x v="0"/>
    <x v="0"/>
    <x v="196"/>
    <x v="2"/>
    <x v="196"/>
  </r>
  <r>
    <n v="90368"/>
    <x v="0"/>
    <x v="10"/>
    <x v="6"/>
    <x v="0"/>
    <x v="1"/>
    <x v="1"/>
    <x v="197"/>
    <x v="158"/>
    <x v="197"/>
  </r>
  <r>
    <n v="96521"/>
    <x v="1"/>
    <x v="2"/>
    <x v="7"/>
    <x v="0"/>
    <x v="1"/>
    <x v="0"/>
    <x v="198"/>
    <x v="159"/>
    <x v="198"/>
  </r>
  <r>
    <n v="141908"/>
    <x v="1"/>
    <x v="4"/>
    <x v="1"/>
    <x v="1"/>
    <x v="0"/>
    <x v="1"/>
    <x v="199"/>
    <x v="160"/>
    <x v="199"/>
  </r>
  <r>
    <n v="197070"/>
    <x v="0"/>
    <x v="8"/>
    <x v="3"/>
    <x v="0"/>
    <x v="0"/>
    <x v="0"/>
    <x v="200"/>
    <x v="161"/>
    <x v="200"/>
  </r>
  <r>
    <n v="148606"/>
    <x v="0"/>
    <x v="6"/>
    <x v="1"/>
    <x v="1"/>
    <x v="0"/>
    <x v="1"/>
    <x v="201"/>
    <x v="162"/>
    <x v="201"/>
  </r>
  <r>
    <n v="230492"/>
    <x v="0"/>
    <x v="3"/>
    <x v="3"/>
    <x v="0"/>
    <x v="0"/>
    <x v="1"/>
    <x v="202"/>
    <x v="163"/>
    <x v="202"/>
  </r>
  <r>
    <n v="69938"/>
    <x v="1"/>
    <x v="3"/>
    <x v="6"/>
    <x v="0"/>
    <x v="1"/>
    <x v="0"/>
    <x v="203"/>
    <x v="164"/>
    <x v="203"/>
  </r>
  <r>
    <n v="118908"/>
    <x v="0"/>
    <x v="5"/>
    <x v="0"/>
    <x v="0"/>
    <x v="0"/>
    <x v="0"/>
    <x v="204"/>
    <x v="165"/>
    <x v="204"/>
  </r>
  <r>
    <n v="97908"/>
    <x v="1"/>
    <x v="7"/>
    <x v="4"/>
    <x v="0"/>
    <x v="0"/>
    <x v="1"/>
    <x v="205"/>
    <x v="166"/>
    <x v="205"/>
  </r>
  <r>
    <n v="64352"/>
    <x v="0"/>
    <x v="5"/>
    <x v="0"/>
    <x v="0"/>
    <x v="1"/>
    <x v="0"/>
    <x v="206"/>
    <x v="167"/>
    <x v="206"/>
  </r>
  <r>
    <n v="213263"/>
    <x v="1"/>
    <x v="7"/>
    <x v="7"/>
    <x v="0"/>
    <x v="0"/>
    <x v="0"/>
    <x v="207"/>
    <x v="168"/>
    <x v="207"/>
  </r>
  <r>
    <n v="129487"/>
    <x v="0"/>
    <x v="3"/>
    <x v="3"/>
    <x v="0"/>
    <x v="0"/>
    <x v="1"/>
    <x v="208"/>
    <x v="2"/>
    <x v="208"/>
  </r>
  <r>
    <n v="152928"/>
    <x v="0"/>
    <x v="5"/>
    <x v="2"/>
    <x v="1"/>
    <x v="0"/>
    <x v="1"/>
    <x v="209"/>
    <x v="169"/>
    <x v="209"/>
  </r>
  <r>
    <n v="182469"/>
    <x v="1"/>
    <x v="2"/>
    <x v="7"/>
    <x v="1"/>
    <x v="0"/>
    <x v="0"/>
    <x v="210"/>
    <x v="2"/>
    <x v="210"/>
  </r>
  <r>
    <n v="172630"/>
    <x v="0"/>
    <x v="1"/>
    <x v="4"/>
    <x v="1"/>
    <x v="0"/>
    <x v="1"/>
    <x v="211"/>
    <x v="170"/>
    <x v="211"/>
  </r>
  <r>
    <n v="58333"/>
    <x v="1"/>
    <x v="2"/>
    <x v="7"/>
    <x v="0"/>
    <x v="0"/>
    <x v="0"/>
    <x v="212"/>
    <x v="171"/>
    <x v="212"/>
  </r>
  <r>
    <n v="151788"/>
    <x v="1"/>
    <x v="3"/>
    <x v="0"/>
    <x v="1"/>
    <x v="1"/>
    <x v="0"/>
    <x v="213"/>
    <x v="172"/>
    <x v="213"/>
  </r>
  <r>
    <n v="68466"/>
    <x v="1"/>
    <x v="5"/>
    <x v="2"/>
    <x v="0"/>
    <x v="0"/>
    <x v="0"/>
    <x v="214"/>
    <x v="173"/>
    <x v="214"/>
  </r>
  <r>
    <n v="59619"/>
    <x v="0"/>
    <x v="5"/>
    <x v="3"/>
    <x v="0"/>
    <x v="1"/>
    <x v="0"/>
    <x v="215"/>
    <x v="174"/>
    <x v="215"/>
  </r>
  <r>
    <n v="170732"/>
    <x v="0"/>
    <x v="3"/>
    <x v="4"/>
    <x v="1"/>
    <x v="0"/>
    <x v="1"/>
    <x v="216"/>
    <x v="175"/>
    <x v="216"/>
  </r>
  <r>
    <n v="100854"/>
    <x v="0"/>
    <x v="0"/>
    <x v="4"/>
    <x v="0"/>
    <x v="1"/>
    <x v="1"/>
    <x v="217"/>
    <x v="176"/>
    <x v="217"/>
  </r>
  <r>
    <n v="221288"/>
    <x v="0"/>
    <x v="4"/>
    <x v="7"/>
    <x v="1"/>
    <x v="0"/>
    <x v="1"/>
    <x v="218"/>
    <x v="2"/>
    <x v="218"/>
  </r>
  <r>
    <n v="84313"/>
    <x v="0"/>
    <x v="7"/>
    <x v="6"/>
    <x v="0"/>
    <x v="1"/>
    <x v="1"/>
    <x v="219"/>
    <x v="177"/>
    <x v="219"/>
  </r>
  <r>
    <n v="215456"/>
    <x v="1"/>
    <x v="10"/>
    <x v="0"/>
    <x v="0"/>
    <x v="0"/>
    <x v="0"/>
    <x v="220"/>
    <x v="178"/>
    <x v="220"/>
  </r>
  <r>
    <n v="49336"/>
    <x v="1"/>
    <x v="10"/>
    <x v="8"/>
    <x v="0"/>
    <x v="0"/>
    <x v="0"/>
    <x v="221"/>
    <x v="179"/>
    <x v="221"/>
  </r>
  <r>
    <n v="129080"/>
    <x v="0"/>
    <x v="3"/>
    <x v="0"/>
    <x v="1"/>
    <x v="0"/>
    <x v="1"/>
    <x v="222"/>
    <x v="180"/>
    <x v="222"/>
  </r>
  <r>
    <n v="72566"/>
    <x v="0"/>
    <x v="5"/>
    <x v="0"/>
    <x v="0"/>
    <x v="0"/>
    <x v="0"/>
    <x v="223"/>
    <x v="181"/>
    <x v="223"/>
  </r>
  <r>
    <n v="15105"/>
    <x v="1"/>
    <x v="9"/>
    <x v="8"/>
    <x v="1"/>
    <x v="0"/>
    <x v="0"/>
    <x v="224"/>
    <x v="182"/>
    <x v="224"/>
  </r>
  <r>
    <n v="147591"/>
    <x v="1"/>
    <x v="1"/>
    <x v="9"/>
    <x v="1"/>
    <x v="0"/>
    <x v="1"/>
    <x v="225"/>
    <x v="183"/>
    <x v="225"/>
  </r>
  <r>
    <n v="27917"/>
    <x v="1"/>
    <x v="9"/>
    <x v="6"/>
    <x v="0"/>
    <x v="0"/>
    <x v="0"/>
    <x v="226"/>
    <x v="184"/>
    <x v="226"/>
  </r>
  <r>
    <n v="181976"/>
    <x v="0"/>
    <x v="10"/>
    <x v="3"/>
    <x v="0"/>
    <x v="0"/>
    <x v="0"/>
    <x v="227"/>
    <x v="122"/>
    <x v="227"/>
  </r>
  <r>
    <n v="231834"/>
    <x v="1"/>
    <x v="1"/>
    <x v="1"/>
    <x v="1"/>
    <x v="1"/>
    <x v="1"/>
    <x v="228"/>
    <x v="2"/>
    <x v="228"/>
  </r>
  <r>
    <n v="77396"/>
    <x v="1"/>
    <x v="8"/>
    <x v="6"/>
    <x v="0"/>
    <x v="0"/>
    <x v="0"/>
    <x v="229"/>
    <x v="185"/>
    <x v="229"/>
  </r>
  <r>
    <n v="225301"/>
    <x v="0"/>
    <x v="1"/>
    <x v="3"/>
    <x v="1"/>
    <x v="0"/>
    <x v="1"/>
    <x v="230"/>
    <x v="186"/>
    <x v="230"/>
  </r>
  <r>
    <n v="246298"/>
    <x v="0"/>
    <x v="1"/>
    <x v="9"/>
    <x v="1"/>
    <x v="0"/>
    <x v="1"/>
    <x v="231"/>
    <x v="187"/>
    <x v="231"/>
  </r>
  <r>
    <n v="199986"/>
    <x v="0"/>
    <x v="11"/>
    <x v="0"/>
    <x v="0"/>
    <x v="0"/>
    <x v="0"/>
    <x v="232"/>
    <x v="188"/>
    <x v="232"/>
  </r>
  <r>
    <n v="217366"/>
    <x v="1"/>
    <x v="10"/>
    <x v="8"/>
    <x v="1"/>
    <x v="0"/>
    <x v="0"/>
    <x v="233"/>
    <x v="189"/>
    <x v="233"/>
  </r>
  <r>
    <n v="242141"/>
    <x v="1"/>
    <x v="3"/>
    <x v="6"/>
    <x v="1"/>
    <x v="1"/>
    <x v="1"/>
    <x v="234"/>
    <x v="190"/>
    <x v="234"/>
  </r>
  <r>
    <n v="97468"/>
    <x v="1"/>
    <x v="7"/>
    <x v="8"/>
    <x v="0"/>
    <x v="0"/>
    <x v="0"/>
    <x v="235"/>
    <x v="191"/>
    <x v="235"/>
  </r>
  <r>
    <n v="85569"/>
    <x v="1"/>
    <x v="7"/>
    <x v="6"/>
    <x v="0"/>
    <x v="1"/>
    <x v="0"/>
    <x v="236"/>
    <x v="192"/>
    <x v="236"/>
  </r>
  <r>
    <n v="155266"/>
    <x v="1"/>
    <x v="1"/>
    <x v="4"/>
    <x v="1"/>
    <x v="1"/>
    <x v="1"/>
    <x v="237"/>
    <x v="193"/>
    <x v="237"/>
  </r>
  <r>
    <n v="124361"/>
    <x v="0"/>
    <x v="8"/>
    <x v="6"/>
    <x v="0"/>
    <x v="1"/>
    <x v="1"/>
    <x v="238"/>
    <x v="2"/>
    <x v="238"/>
  </r>
  <r>
    <n v="126252"/>
    <x v="0"/>
    <x v="5"/>
    <x v="5"/>
    <x v="1"/>
    <x v="0"/>
    <x v="1"/>
    <x v="239"/>
    <x v="194"/>
    <x v="239"/>
  </r>
  <r>
    <n v="5768"/>
    <x v="1"/>
    <x v="2"/>
    <x v="7"/>
    <x v="1"/>
    <x v="1"/>
    <x v="1"/>
    <x v="240"/>
    <x v="2"/>
    <x v="240"/>
  </r>
  <r>
    <n v="129168"/>
    <x v="0"/>
    <x v="3"/>
    <x v="5"/>
    <x v="0"/>
    <x v="0"/>
    <x v="0"/>
    <x v="241"/>
    <x v="195"/>
    <x v="241"/>
  </r>
  <r>
    <n v="97558"/>
    <x v="0"/>
    <x v="10"/>
    <x v="5"/>
    <x v="0"/>
    <x v="0"/>
    <x v="0"/>
    <x v="242"/>
    <x v="196"/>
    <x v="242"/>
  </r>
  <r>
    <n v="34646"/>
    <x v="1"/>
    <x v="7"/>
    <x v="4"/>
    <x v="1"/>
    <x v="0"/>
    <x v="1"/>
    <x v="243"/>
    <x v="197"/>
    <x v="243"/>
  </r>
  <r>
    <n v="170803"/>
    <x v="0"/>
    <x v="1"/>
    <x v="4"/>
    <x v="1"/>
    <x v="0"/>
    <x v="1"/>
    <x v="244"/>
    <x v="2"/>
    <x v="244"/>
  </r>
  <r>
    <n v="89982"/>
    <x v="0"/>
    <x v="9"/>
    <x v="5"/>
    <x v="0"/>
    <x v="1"/>
    <x v="0"/>
    <x v="245"/>
    <x v="198"/>
    <x v="245"/>
  </r>
  <r>
    <n v="204823"/>
    <x v="1"/>
    <x v="7"/>
    <x v="8"/>
    <x v="0"/>
    <x v="0"/>
    <x v="0"/>
    <x v="246"/>
    <x v="199"/>
    <x v="246"/>
  </r>
  <r>
    <n v="1111"/>
    <x v="1"/>
    <x v="2"/>
    <x v="7"/>
    <x v="1"/>
    <x v="1"/>
    <x v="1"/>
    <x v="247"/>
    <x v="2"/>
    <x v="247"/>
  </r>
  <r>
    <n v="145524"/>
    <x v="1"/>
    <x v="3"/>
    <x v="6"/>
    <x v="0"/>
    <x v="0"/>
    <x v="0"/>
    <x v="248"/>
    <x v="200"/>
    <x v="248"/>
  </r>
  <r>
    <n v="160653"/>
    <x v="1"/>
    <x v="3"/>
    <x v="8"/>
    <x v="0"/>
    <x v="0"/>
    <x v="0"/>
    <x v="249"/>
    <x v="187"/>
    <x v="249"/>
  </r>
  <r>
    <n v="155562"/>
    <x v="1"/>
    <x v="4"/>
    <x v="6"/>
    <x v="1"/>
    <x v="0"/>
    <x v="1"/>
    <x v="250"/>
    <x v="201"/>
    <x v="250"/>
  </r>
  <r>
    <n v="189908"/>
    <x v="1"/>
    <x v="9"/>
    <x v="8"/>
    <x v="0"/>
    <x v="1"/>
    <x v="0"/>
    <x v="251"/>
    <x v="202"/>
    <x v="251"/>
  </r>
  <r>
    <n v="248679"/>
    <x v="1"/>
    <x v="1"/>
    <x v="4"/>
    <x v="1"/>
    <x v="0"/>
    <x v="1"/>
    <x v="252"/>
    <x v="203"/>
    <x v="252"/>
  </r>
  <r>
    <n v="255464"/>
    <x v="0"/>
    <x v="4"/>
    <x v="3"/>
    <x v="1"/>
    <x v="0"/>
    <x v="1"/>
    <x v="253"/>
    <x v="204"/>
    <x v="253"/>
  </r>
  <r>
    <n v="55612"/>
    <x v="0"/>
    <x v="0"/>
    <x v="4"/>
    <x v="1"/>
    <x v="0"/>
    <x v="1"/>
    <x v="254"/>
    <x v="205"/>
    <x v="254"/>
  </r>
  <r>
    <n v="106980"/>
    <x v="0"/>
    <x v="4"/>
    <x v="3"/>
    <x v="0"/>
    <x v="0"/>
    <x v="1"/>
    <x v="255"/>
    <x v="2"/>
    <x v="255"/>
  </r>
  <r>
    <n v="211071"/>
    <x v="1"/>
    <x v="7"/>
    <x v="7"/>
    <x v="0"/>
    <x v="0"/>
    <x v="0"/>
    <x v="256"/>
    <x v="2"/>
    <x v="256"/>
  </r>
  <r>
    <n v="199778"/>
    <x v="1"/>
    <x v="9"/>
    <x v="0"/>
    <x v="0"/>
    <x v="1"/>
    <x v="0"/>
    <x v="257"/>
    <x v="206"/>
    <x v="257"/>
  </r>
  <r>
    <n v="108475"/>
    <x v="0"/>
    <x v="4"/>
    <x v="5"/>
    <x v="1"/>
    <x v="1"/>
    <x v="1"/>
    <x v="258"/>
    <x v="207"/>
    <x v="258"/>
  </r>
  <r>
    <n v="190176"/>
    <x v="0"/>
    <x v="2"/>
    <x v="7"/>
    <x v="1"/>
    <x v="1"/>
    <x v="1"/>
    <x v="259"/>
    <x v="2"/>
    <x v="259"/>
  </r>
  <r>
    <n v="52074"/>
    <x v="0"/>
    <x v="8"/>
    <x v="0"/>
    <x v="0"/>
    <x v="0"/>
    <x v="0"/>
    <x v="260"/>
    <x v="208"/>
    <x v="260"/>
  </r>
  <r>
    <n v="178274"/>
    <x v="1"/>
    <x v="5"/>
    <x v="0"/>
    <x v="0"/>
    <x v="1"/>
    <x v="0"/>
    <x v="261"/>
    <x v="209"/>
    <x v="261"/>
  </r>
  <r>
    <n v="180373"/>
    <x v="1"/>
    <x v="6"/>
    <x v="1"/>
    <x v="1"/>
    <x v="1"/>
    <x v="1"/>
    <x v="262"/>
    <x v="210"/>
    <x v="262"/>
  </r>
  <r>
    <n v="119636"/>
    <x v="0"/>
    <x v="5"/>
    <x v="3"/>
    <x v="1"/>
    <x v="1"/>
    <x v="0"/>
    <x v="263"/>
    <x v="2"/>
    <x v="263"/>
  </r>
  <r>
    <n v="167884"/>
    <x v="0"/>
    <x v="5"/>
    <x v="0"/>
    <x v="0"/>
    <x v="0"/>
    <x v="1"/>
    <x v="264"/>
    <x v="211"/>
    <x v="264"/>
  </r>
  <r>
    <n v="197204"/>
    <x v="0"/>
    <x v="7"/>
    <x v="5"/>
    <x v="0"/>
    <x v="1"/>
    <x v="1"/>
    <x v="265"/>
    <x v="212"/>
    <x v="265"/>
  </r>
  <r>
    <n v="109440"/>
    <x v="0"/>
    <x v="3"/>
    <x v="9"/>
    <x v="1"/>
    <x v="1"/>
    <x v="1"/>
    <x v="266"/>
    <x v="2"/>
    <x v="266"/>
  </r>
  <r>
    <n v="86176"/>
    <x v="0"/>
    <x v="2"/>
    <x v="7"/>
    <x v="0"/>
    <x v="0"/>
    <x v="0"/>
    <x v="267"/>
    <x v="21"/>
    <x v="267"/>
  </r>
  <r>
    <n v="208917"/>
    <x v="0"/>
    <x v="2"/>
    <x v="7"/>
    <x v="0"/>
    <x v="0"/>
    <x v="0"/>
    <x v="268"/>
    <x v="2"/>
    <x v="268"/>
  </r>
  <r>
    <n v="118722"/>
    <x v="0"/>
    <x v="6"/>
    <x v="4"/>
    <x v="1"/>
    <x v="0"/>
    <x v="1"/>
    <x v="269"/>
    <x v="213"/>
    <x v="269"/>
  </r>
  <r>
    <n v="93846"/>
    <x v="0"/>
    <x v="11"/>
    <x v="3"/>
    <x v="0"/>
    <x v="0"/>
    <x v="0"/>
    <x v="270"/>
    <x v="214"/>
    <x v="270"/>
  </r>
  <r>
    <n v="20849"/>
    <x v="1"/>
    <x v="0"/>
    <x v="7"/>
    <x v="0"/>
    <x v="0"/>
    <x v="1"/>
    <x v="271"/>
    <x v="2"/>
    <x v="271"/>
  </r>
  <r>
    <n v="28219"/>
    <x v="0"/>
    <x v="8"/>
    <x v="9"/>
    <x v="0"/>
    <x v="0"/>
    <x v="1"/>
    <x v="272"/>
    <x v="215"/>
    <x v="272"/>
  </r>
  <r>
    <n v="151465"/>
    <x v="0"/>
    <x v="0"/>
    <x v="4"/>
    <x v="0"/>
    <x v="0"/>
    <x v="1"/>
    <x v="273"/>
    <x v="216"/>
    <x v="273"/>
  </r>
  <r>
    <n v="63809"/>
    <x v="0"/>
    <x v="5"/>
    <x v="4"/>
    <x v="1"/>
    <x v="0"/>
    <x v="1"/>
    <x v="274"/>
    <x v="217"/>
    <x v="274"/>
  </r>
  <r>
    <n v="46731"/>
    <x v="1"/>
    <x v="9"/>
    <x v="8"/>
    <x v="0"/>
    <x v="0"/>
    <x v="0"/>
    <x v="275"/>
    <x v="218"/>
    <x v="275"/>
  </r>
  <r>
    <n v="57607"/>
    <x v="0"/>
    <x v="7"/>
    <x v="7"/>
    <x v="0"/>
    <x v="1"/>
    <x v="0"/>
    <x v="276"/>
    <x v="219"/>
    <x v="276"/>
  </r>
  <r>
    <n v="252311"/>
    <x v="0"/>
    <x v="1"/>
    <x v="6"/>
    <x v="1"/>
    <x v="0"/>
    <x v="0"/>
    <x v="277"/>
    <x v="2"/>
    <x v="277"/>
  </r>
  <r>
    <n v="222043"/>
    <x v="1"/>
    <x v="4"/>
    <x v="8"/>
    <x v="0"/>
    <x v="0"/>
    <x v="0"/>
    <x v="278"/>
    <x v="220"/>
    <x v="278"/>
  </r>
  <r>
    <n v="78939"/>
    <x v="1"/>
    <x v="2"/>
    <x v="7"/>
    <x v="0"/>
    <x v="1"/>
    <x v="0"/>
    <x v="279"/>
    <x v="2"/>
    <x v="279"/>
  </r>
  <r>
    <n v="128173"/>
    <x v="1"/>
    <x v="3"/>
    <x v="6"/>
    <x v="0"/>
    <x v="1"/>
    <x v="0"/>
    <x v="280"/>
    <x v="221"/>
    <x v="280"/>
  </r>
  <r>
    <n v="13408"/>
    <x v="1"/>
    <x v="7"/>
    <x v="9"/>
    <x v="0"/>
    <x v="0"/>
    <x v="1"/>
    <x v="281"/>
    <x v="222"/>
    <x v="281"/>
  </r>
  <r>
    <n v="176095"/>
    <x v="1"/>
    <x v="3"/>
    <x v="6"/>
    <x v="0"/>
    <x v="1"/>
    <x v="0"/>
    <x v="282"/>
    <x v="223"/>
    <x v="282"/>
  </r>
  <r>
    <n v="208936"/>
    <x v="0"/>
    <x v="10"/>
    <x v="0"/>
    <x v="0"/>
    <x v="0"/>
    <x v="0"/>
    <x v="283"/>
    <x v="224"/>
    <x v="283"/>
  </r>
  <r>
    <n v="226207"/>
    <x v="1"/>
    <x v="4"/>
    <x v="1"/>
    <x v="1"/>
    <x v="1"/>
    <x v="1"/>
    <x v="284"/>
    <x v="225"/>
    <x v="284"/>
  </r>
  <r>
    <n v="79718"/>
    <x v="1"/>
    <x v="10"/>
    <x v="6"/>
    <x v="1"/>
    <x v="0"/>
    <x v="0"/>
    <x v="285"/>
    <x v="226"/>
    <x v="285"/>
  </r>
  <r>
    <n v="22739"/>
    <x v="1"/>
    <x v="0"/>
    <x v="1"/>
    <x v="0"/>
    <x v="0"/>
    <x v="0"/>
    <x v="286"/>
    <x v="227"/>
    <x v="286"/>
  </r>
  <r>
    <n v="255004"/>
    <x v="0"/>
    <x v="1"/>
    <x v="2"/>
    <x v="1"/>
    <x v="0"/>
    <x v="1"/>
    <x v="287"/>
    <x v="228"/>
    <x v="287"/>
  </r>
  <r>
    <n v="15439"/>
    <x v="0"/>
    <x v="0"/>
    <x v="3"/>
    <x v="0"/>
    <x v="0"/>
    <x v="1"/>
    <x v="288"/>
    <x v="192"/>
    <x v="288"/>
  </r>
  <r>
    <n v="246317"/>
    <x v="1"/>
    <x v="1"/>
    <x v="1"/>
    <x v="1"/>
    <x v="0"/>
    <x v="0"/>
    <x v="289"/>
    <x v="229"/>
    <x v="289"/>
  </r>
  <r>
    <n v="30618"/>
    <x v="0"/>
    <x v="0"/>
    <x v="5"/>
    <x v="1"/>
    <x v="1"/>
    <x v="1"/>
    <x v="290"/>
    <x v="230"/>
    <x v="290"/>
  </r>
  <r>
    <n v="138220"/>
    <x v="1"/>
    <x v="4"/>
    <x v="3"/>
    <x v="1"/>
    <x v="0"/>
    <x v="0"/>
    <x v="291"/>
    <x v="231"/>
    <x v="291"/>
  </r>
  <r>
    <n v="14608"/>
    <x v="1"/>
    <x v="11"/>
    <x v="7"/>
    <x v="0"/>
    <x v="0"/>
    <x v="0"/>
    <x v="292"/>
    <x v="232"/>
    <x v="292"/>
  </r>
  <r>
    <n v="176137"/>
    <x v="1"/>
    <x v="4"/>
    <x v="8"/>
    <x v="0"/>
    <x v="0"/>
    <x v="0"/>
    <x v="293"/>
    <x v="233"/>
    <x v="293"/>
  </r>
  <r>
    <n v="93869"/>
    <x v="0"/>
    <x v="2"/>
    <x v="7"/>
    <x v="0"/>
    <x v="0"/>
    <x v="0"/>
    <x v="294"/>
    <x v="2"/>
    <x v="294"/>
  </r>
  <r>
    <n v="122150"/>
    <x v="1"/>
    <x v="4"/>
    <x v="6"/>
    <x v="1"/>
    <x v="0"/>
    <x v="0"/>
    <x v="295"/>
    <x v="234"/>
    <x v="295"/>
  </r>
  <r>
    <n v="214004"/>
    <x v="1"/>
    <x v="10"/>
    <x v="2"/>
    <x v="1"/>
    <x v="0"/>
    <x v="1"/>
    <x v="296"/>
    <x v="235"/>
    <x v="296"/>
  </r>
  <r>
    <n v="212726"/>
    <x v="1"/>
    <x v="7"/>
    <x v="6"/>
    <x v="0"/>
    <x v="0"/>
    <x v="0"/>
    <x v="297"/>
    <x v="236"/>
    <x v="297"/>
  </r>
  <r>
    <n v="138196"/>
    <x v="0"/>
    <x v="3"/>
    <x v="7"/>
    <x v="0"/>
    <x v="0"/>
    <x v="1"/>
    <x v="298"/>
    <x v="237"/>
    <x v="298"/>
  </r>
  <r>
    <n v="197142"/>
    <x v="0"/>
    <x v="0"/>
    <x v="5"/>
    <x v="0"/>
    <x v="0"/>
    <x v="0"/>
    <x v="299"/>
    <x v="238"/>
    <x v="299"/>
  </r>
  <r>
    <n v="16982"/>
    <x v="1"/>
    <x v="0"/>
    <x v="9"/>
    <x v="0"/>
    <x v="0"/>
    <x v="1"/>
    <x v="300"/>
    <x v="2"/>
    <x v="300"/>
  </r>
  <r>
    <n v="195385"/>
    <x v="0"/>
    <x v="0"/>
    <x v="5"/>
    <x v="0"/>
    <x v="0"/>
    <x v="0"/>
    <x v="301"/>
    <x v="239"/>
    <x v="301"/>
  </r>
  <r>
    <n v="93997"/>
    <x v="1"/>
    <x v="10"/>
    <x v="7"/>
    <x v="0"/>
    <x v="0"/>
    <x v="0"/>
    <x v="302"/>
    <x v="240"/>
    <x v="302"/>
  </r>
  <r>
    <n v="95481"/>
    <x v="1"/>
    <x v="9"/>
    <x v="6"/>
    <x v="0"/>
    <x v="0"/>
    <x v="0"/>
    <x v="303"/>
    <x v="241"/>
    <x v="303"/>
  </r>
  <r>
    <n v="96643"/>
    <x v="0"/>
    <x v="7"/>
    <x v="7"/>
    <x v="0"/>
    <x v="0"/>
    <x v="0"/>
    <x v="304"/>
    <x v="242"/>
    <x v="304"/>
  </r>
  <r>
    <n v="89401"/>
    <x v="1"/>
    <x v="9"/>
    <x v="6"/>
    <x v="1"/>
    <x v="0"/>
    <x v="1"/>
    <x v="305"/>
    <x v="145"/>
    <x v="305"/>
  </r>
  <r>
    <n v="257573"/>
    <x v="0"/>
    <x v="8"/>
    <x v="8"/>
    <x v="1"/>
    <x v="0"/>
    <x v="1"/>
    <x v="306"/>
    <x v="243"/>
    <x v="306"/>
  </r>
  <r>
    <n v="178658"/>
    <x v="0"/>
    <x v="1"/>
    <x v="1"/>
    <x v="1"/>
    <x v="0"/>
    <x v="1"/>
    <x v="232"/>
    <x v="244"/>
    <x v="307"/>
  </r>
  <r>
    <n v="225363"/>
    <x v="0"/>
    <x v="4"/>
    <x v="3"/>
    <x v="0"/>
    <x v="1"/>
    <x v="1"/>
    <x v="307"/>
    <x v="245"/>
    <x v="308"/>
  </r>
  <r>
    <n v="5070"/>
    <x v="1"/>
    <x v="9"/>
    <x v="3"/>
    <x v="0"/>
    <x v="0"/>
    <x v="1"/>
    <x v="308"/>
    <x v="246"/>
    <x v="309"/>
  </r>
  <r>
    <n v="48077"/>
    <x v="1"/>
    <x v="7"/>
    <x v="9"/>
    <x v="0"/>
    <x v="0"/>
    <x v="1"/>
    <x v="309"/>
    <x v="247"/>
    <x v="310"/>
  </r>
  <r>
    <n v="16539"/>
    <x v="1"/>
    <x v="0"/>
    <x v="7"/>
    <x v="0"/>
    <x v="1"/>
    <x v="1"/>
    <x v="310"/>
    <x v="248"/>
    <x v="311"/>
  </r>
  <r>
    <n v="54288"/>
    <x v="0"/>
    <x v="8"/>
    <x v="6"/>
    <x v="0"/>
    <x v="0"/>
    <x v="0"/>
    <x v="311"/>
    <x v="249"/>
    <x v="312"/>
  </r>
  <r>
    <n v="213966"/>
    <x v="1"/>
    <x v="0"/>
    <x v="0"/>
    <x v="0"/>
    <x v="1"/>
    <x v="0"/>
    <x v="312"/>
    <x v="250"/>
    <x v="313"/>
  </r>
  <r>
    <n v="184551"/>
    <x v="1"/>
    <x v="7"/>
    <x v="7"/>
    <x v="0"/>
    <x v="0"/>
    <x v="1"/>
    <x v="313"/>
    <x v="2"/>
    <x v="314"/>
  </r>
  <r>
    <n v="7022"/>
    <x v="0"/>
    <x v="2"/>
    <x v="7"/>
    <x v="0"/>
    <x v="0"/>
    <x v="0"/>
    <x v="314"/>
    <x v="251"/>
    <x v="315"/>
  </r>
  <r>
    <n v="95674"/>
    <x v="1"/>
    <x v="9"/>
    <x v="8"/>
    <x v="0"/>
    <x v="0"/>
    <x v="0"/>
    <x v="315"/>
    <x v="2"/>
    <x v="316"/>
  </r>
  <r>
    <n v="191306"/>
    <x v="0"/>
    <x v="7"/>
    <x v="5"/>
    <x v="0"/>
    <x v="1"/>
    <x v="1"/>
    <x v="316"/>
    <x v="252"/>
    <x v="317"/>
  </r>
  <r>
    <n v="15144"/>
    <x v="1"/>
    <x v="0"/>
    <x v="9"/>
    <x v="1"/>
    <x v="0"/>
    <x v="1"/>
    <x v="317"/>
    <x v="253"/>
    <x v="318"/>
  </r>
  <r>
    <n v="228842"/>
    <x v="0"/>
    <x v="3"/>
    <x v="3"/>
    <x v="1"/>
    <x v="0"/>
    <x v="1"/>
    <x v="318"/>
    <x v="254"/>
    <x v="319"/>
  </r>
  <r>
    <n v="85804"/>
    <x v="1"/>
    <x v="7"/>
    <x v="1"/>
    <x v="1"/>
    <x v="1"/>
    <x v="0"/>
    <x v="319"/>
    <x v="255"/>
    <x v="320"/>
  </r>
  <r>
    <n v="236644"/>
    <x v="0"/>
    <x v="1"/>
    <x v="8"/>
    <x v="1"/>
    <x v="1"/>
    <x v="0"/>
    <x v="320"/>
    <x v="102"/>
    <x v="321"/>
  </r>
  <r>
    <n v="25262"/>
    <x v="0"/>
    <x v="8"/>
    <x v="1"/>
    <x v="1"/>
    <x v="0"/>
    <x v="1"/>
    <x v="321"/>
    <x v="256"/>
    <x v="322"/>
  </r>
  <r>
    <n v="51196"/>
    <x v="0"/>
    <x v="8"/>
    <x v="1"/>
    <x v="0"/>
    <x v="0"/>
    <x v="1"/>
    <x v="322"/>
    <x v="257"/>
    <x v="323"/>
  </r>
  <r>
    <n v="224954"/>
    <x v="1"/>
    <x v="4"/>
    <x v="2"/>
    <x v="1"/>
    <x v="0"/>
    <x v="1"/>
    <x v="323"/>
    <x v="258"/>
    <x v="324"/>
  </r>
  <r>
    <n v="215569"/>
    <x v="0"/>
    <x v="10"/>
    <x v="4"/>
    <x v="0"/>
    <x v="0"/>
    <x v="1"/>
    <x v="324"/>
    <x v="259"/>
    <x v="325"/>
  </r>
  <r>
    <n v="160367"/>
    <x v="1"/>
    <x v="4"/>
    <x v="6"/>
    <x v="1"/>
    <x v="1"/>
    <x v="1"/>
    <x v="325"/>
    <x v="260"/>
    <x v="326"/>
  </r>
  <r>
    <n v="97324"/>
    <x v="1"/>
    <x v="10"/>
    <x v="0"/>
    <x v="0"/>
    <x v="0"/>
    <x v="0"/>
    <x v="326"/>
    <x v="261"/>
    <x v="327"/>
  </r>
  <r>
    <n v="9440"/>
    <x v="1"/>
    <x v="2"/>
    <x v="7"/>
    <x v="0"/>
    <x v="0"/>
    <x v="0"/>
    <x v="327"/>
    <x v="2"/>
    <x v="328"/>
  </r>
  <r>
    <n v="57702"/>
    <x v="0"/>
    <x v="5"/>
    <x v="0"/>
    <x v="0"/>
    <x v="0"/>
    <x v="0"/>
    <x v="328"/>
    <x v="262"/>
    <x v="329"/>
  </r>
  <r>
    <n v="204160"/>
    <x v="1"/>
    <x v="9"/>
    <x v="8"/>
    <x v="1"/>
    <x v="1"/>
    <x v="0"/>
    <x v="329"/>
    <x v="263"/>
    <x v="330"/>
  </r>
  <r>
    <n v="55923"/>
    <x v="0"/>
    <x v="0"/>
    <x v="6"/>
    <x v="0"/>
    <x v="1"/>
    <x v="1"/>
    <x v="330"/>
    <x v="264"/>
    <x v="331"/>
  </r>
  <r>
    <n v="5092"/>
    <x v="0"/>
    <x v="9"/>
    <x v="8"/>
    <x v="0"/>
    <x v="1"/>
    <x v="0"/>
    <x v="331"/>
    <x v="265"/>
    <x v="332"/>
  </r>
  <r>
    <n v="29172"/>
    <x v="0"/>
    <x v="0"/>
    <x v="3"/>
    <x v="0"/>
    <x v="0"/>
    <x v="0"/>
    <x v="332"/>
    <x v="266"/>
    <x v="333"/>
  </r>
  <r>
    <n v="30658"/>
    <x v="1"/>
    <x v="8"/>
    <x v="9"/>
    <x v="0"/>
    <x v="0"/>
    <x v="1"/>
    <x v="333"/>
    <x v="267"/>
    <x v="334"/>
  </r>
  <r>
    <n v="192430"/>
    <x v="1"/>
    <x v="2"/>
    <x v="7"/>
    <x v="1"/>
    <x v="0"/>
    <x v="1"/>
    <x v="334"/>
    <x v="268"/>
    <x v="335"/>
  </r>
  <r>
    <n v="169428"/>
    <x v="0"/>
    <x v="4"/>
    <x v="6"/>
    <x v="0"/>
    <x v="0"/>
    <x v="0"/>
    <x v="335"/>
    <x v="269"/>
    <x v="336"/>
  </r>
  <r>
    <n v="10903"/>
    <x v="0"/>
    <x v="7"/>
    <x v="5"/>
    <x v="1"/>
    <x v="0"/>
    <x v="0"/>
    <x v="336"/>
    <x v="270"/>
    <x v="337"/>
  </r>
  <r>
    <n v="134946"/>
    <x v="1"/>
    <x v="5"/>
    <x v="1"/>
    <x v="1"/>
    <x v="0"/>
    <x v="1"/>
    <x v="337"/>
    <x v="271"/>
    <x v="338"/>
  </r>
  <r>
    <n v="197088"/>
    <x v="1"/>
    <x v="0"/>
    <x v="7"/>
    <x v="0"/>
    <x v="1"/>
    <x v="0"/>
    <x v="225"/>
    <x v="60"/>
    <x v="339"/>
  </r>
  <r>
    <n v="101764"/>
    <x v="1"/>
    <x v="9"/>
    <x v="4"/>
    <x v="0"/>
    <x v="1"/>
    <x v="1"/>
    <x v="338"/>
    <x v="272"/>
    <x v="340"/>
  </r>
  <r>
    <n v="48965"/>
    <x v="1"/>
    <x v="7"/>
    <x v="8"/>
    <x v="0"/>
    <x v="1"/>
    <x v="1"/>
    <x v="339"/>
    <x v="193"/>
    <x v="341"/>
  </r>
  <r>
    <n v="5440"/>
    <x v="1"/>
    <x v="2"/>
    <x v="7"/>
    <x v="0"/>
    <x v="0"/>
    <x v="0"/>
    <x v="340"/>
    <x v="2"/>
    <x v="342"/>
  </r>
  <r>
    <n v="245387"/>
    <x v="1"/>
    <x v="8"/>
    <x v="6"/>
    <x v="0"/>
    <x v="0"/>
    <x v="0"/>
    <x v="341"/>
    <x v="273"/>
    <x v="343"/>
  </r>
  <r>
    <n v="97118"/>
    <x v="1"/>
    <x v="7"/>
    <x v="9"/>
    <x v="0"/>
    <x v="0"/>
    <x v="1"/>
    <x v="342"/>
    <x v="274"/>
    <x v="344"/>
  </r>
  <r>
    <n v="71915"/>
    <x v="1"/>
    <x v="7"/>
    <x v="7"/>
    <x v="1"/>
    <x v="0"/>
    <x v="1"/>
    <x v="343"/>
    <x v="2"/>
    <x v="345"/>
  </r>
  <r>
    <n v="84842"/>
    <x v="0"/>
    <x v="0"/>
    <x v="8"/>
    <x v="1"/>
    <x v="0"/>
    <x v="1"/>
    <x v="344"/>
    <x v="275"/>
    <x v="346"/>
  </r>
  <r>
    <n v="70130"/>
    <x v="1"/>
    <x v="7"/>
    <x v="9"/>
    <x v="1"/>
    <x v="0"/>
    <x v="0"/>
    <x v="345"/>
    <x v="276"/>
    <x v="347"/>
  </r>
  <r>
    <n v="207543"/>
    <x v="1"/>
    <x v="2"/>
    <x v="7"/>
    <x v="1"/>
    <x v="1"/>
    <x v="0"/>
    <x v="346"/>
    <x v="277"/>
    <x v="348"/>
  </r>
  <r>
    <n v="7084"/>
    <x v="1"/>
    <x v="2"/>
    <x v="7"/>
    <x v="1"/>
    <x v="0"/>
    <x v="1"/>
    <x v="347"/>
    <x v="278"/>
    <x v="349"/>
  </r>
  <r>
    <n v="218811"/>
    <x v="1"/>
    <x v="7"/>
    <x v="9"/>
    <x v="0"/>
    <x v="0"/>
    <x v="0"/>
    <x v="348"/>
    <x v="279"/>
    <x v="350"/>
  </r>
  <r>
    <n v="61612"/>
    <x v="1"/>
    <x v="5"/>
    <x v="6"/>
    <x v="0"/>
    <x v="0"/>
    <x v="0"/>
    <x v="349"/>
    <x v="280"/>
    <x v="351"/>
  </r>
  <r>
    <n v="130394"/>
    <x v="1"/>
    <x v="4"/>
    <x v="8"/>
    <x v="0"/>
    <x v="1"/>
    <x v="0"/>
    <x v="350"/>
    <x v="281"/>
    <x v="352"/>
  </r>
  <r>
    <n v="81720"/>
    <x v="1"/>
    <x v="2"/>
    <x v="7"/>
    <x v="1"/>
    <x v="0"/>
    <x v="1"/>
    <x v="351"/>
    <x v="282"/>
    <x v="353"/>
  </r>
  <r>
    <n v="22716"/>
    <x v="0"/>
    <x v="0"/>
    <x v="4"/>
    <x v="1"/>
    <x v="0"/>
    <x v="1"/>
    <x v="352"/>
    <x v="283"/>
    <x v="354"/>
  </r>
  <r>
    <n v="191020"/>
    <x v="0"/>
    <x v="11"/>
    <x v="7"/>
    <x v="0"/>
    <x v="0"/>
    <x v="0"/>
    <x v="353"/>
    <x v="2"/>
    <x v="355"/>
  </r>
  <r>
    <n v="216782"/>
    <x v="0"/>
    <x v="7"/>
    <x v="3"/>
    <x v="1"/>
    <x v="0"/>
    <x v="0"/>
    <x v="354"/>
    <x v="284"/>
    <x v="356"/>
  </r>
  <r>
    <n v="189241"/>
    <x v="0"/>
    <x v="9"/>
    <x v="5"/>
    <x v="0"/>
    <x v="0"/>
    <x v="0"/>
    <x v="355"/>
    <x v="285"/>
    <x v="357"/>
  </r>
  <r>
    <n v="47904"/>
    <x v="0"/>
    <x v="8"/>
    <x v="2"/>
    <x v="0"/>
    <x v="1"/>
    <x v="1"/>
    <x v="356"/>
    <x v="2"/>
    <x v="358"/>
  </r>
  <r>
    <n v="139376"/>
    <x v="1"/>
    <x v="8"/>
    <x v="2"/>
    <x v="1"/>
    <x v="0"/>
    <x v="0"/>
    <x v="357"/>
    <x v="286"/>
    <x v="359"/>
  </r>
  <r>
    <n v="183710"/>
    <x v="1"/>
    <x v="9"/>
    <x v="6"/>
    <x v="0"/>
    <x v="0"/>
    <x v="0"/>
    <x v="358"/>
    <x v="287"/>
    <x v="360"/>
  </r>
  <r>
    <n v="135276"/>
    <x v="1"/>
    <x v="5"/>
    <x v="6"/>
    <x v="0"/>
    <x v="0"/>
    <x v="0"/>
    <x v="359"/>
    <x v="288"/>
    <x v="361"/>
  </r>
  <r>
    <n v="21306"/>
    <x v="1"/>
    <x v="0"/>
    <x v="6"/>
    <x v="1"/>
    <x v="0"/>
    <x v="0"/>
    <x v="360"/>
    <x v="289"/>
    <x v="362"/>
  </r>
  <r>
    <n v="179834"/>
    <x v="1"/>
    <x v="1"/>
    <x v="8"/>
    <x v="1"/>
    <x v="0"/>
    <x v="1"/>
    <x v="361"/>
    <x v="290"/>
    <x v="363"/>
  </r>
  <r>
    <n v="140296"/>
    <x v="1"/>
    <x v="4"/>
    <x v="9"/>
    <x v="1"/>
    <x v="1"/>
    <x v="1"/>
    <x v="362"/>
    <x v="2"/>
    <x v="364"/>
  </r>
  <r>
    <n v="19161"/>
    <x v="1"/>
    <x v="0"/>
    <x v="4"/>
    <x v="0"/>
    <x v="0"/>
    <x v="0"/>
    <x v="363"/>
    <x v="291"/>
    <x v="365"/>
  </r>
  <r>
    <n v="212937"/>
    <x v="1"/>
    <x v="10"/>
    <x v="7"/>
    <x v="0"/>
    <x v="0"/>
    <x v="0"/>
    <x v="364"/>
    <x v="2"/>
    <x v="366"/>
  </r>
  <r>
    <n v="197479"/>
    <x v="0"/>
    <x v="9"/>
    <x v="7"/>
    <x v="1"/>
    <x v="0"/>
    <x v="1"/>
    <x v="365"/>
    <x v="292"/>
    <x v="367"/>
  </r>
  <r>
    <n v="32705"/>
    <x v="0"/>
    <x v="0"/>
    <x v="0"/>
    <x v="0"/>
    <x v="0"/>
    <x v="0"/>
    <x v="366"/>
    <x v="293"/>
    <x v="368"/>
  </r>
  <r>
    <n v="142772"/>
    <x v="0"/>
    <x v="5"/>
    <x v="2"/>
    <x v="1"/>
    <x v="0"/>
    <x v="1"/>
    <x v="367"/>
    <x v="294"/>
    <x v="369"/>
  </r>
  <r>
    <n v="185174"/>
    <x v="0"/>
    <x v="7"/>
    <x v="6"/>
    <x v="0"/>
    <x v="0"/>
    <x v="0"/>
    <x v="368"/>
    <x v="295"/>
    <x v="370"/>
  </r>
  <r>
    <n v="147525"/>
    <x v="0"/>
    <x v="7"/>
    <x v="0"/>
    <x v="0"/>
    <x v="0"/>
    <x v="0"/>
    <x v="369"/>
    <x v="296"/>
    <x v="371"/>
  </r>
  <r>
    <n v="225887"/>
    <x v="1"/>
    <x v="5"/>
    <x v="3"/>
    <x v="0"/>
    <x v="1"/>
    <x v="1"/>
    <x v="370"/>
    <x v="2"/>
    <x v="220"/>
  </r>
  <r>
    <n v="39222"/>
    <x v="0"/>
    <x v="8"/>
    <x v="3"/>
    <x v="1"/>
    <x v="0"/>
    <x v="0"/>
    <x v="371"/>
    <x v="297"/>
    <x v="372"/>
  </r>
  <r>
    <n v="128724"/>
    <x v="1"/>
    <x v="3"/>
    <x v="0"/>
    <x v="1"/>
    <x v="1"/>
    <x v="0"/>
    <x v="372"/>
    <x v="298"/>
    <x v="373"/>
  </r>
  <r>
    <n v="136594"/>
    <x v="0"/>
    <x v="7"/>
    <x v="3"/>
    <x v="0"/>
    <x v="0"/>
    <x v="0"/>
    <x v="373"/>
    <x v="299"/>
    <x v="374"/>
  </r>
  <r>
    <n v="209290"/>
    <x v="1"/>
    <x v="10"/>
    <x v="0"/>
    <x v="0"/>
    <x v="0"/>
    <x v="0"/>
    <x v="374"/>
    <x v="2"/>
    <x v="375"/>
  </r>
  <r>
    <n v="200944"/>
    <x v="1"/>
    <x v="10"/>
    <x v="2"/>
    <x v="1"/>
    <x v="0"/>
    <x v="0"/>
    <x v="375"/>
    <x v="300"/>
    <x v="376"/>
  </r>
  <r>
    <n v="173364"/>
    <x v="0"/>
    <x v="5"/>
    <x v="6"/>
    <x v="0"/>
    <x v="0"/>
    <x v="1"/>
    <x v="376"/>
    <x v="301"/>
    <x v="377"/>
  </r>
  <r>
    <n v="194486"/>
    <x v="0"/>
    <x v="7"/>
    <x v="5"/>
    <x v="0"/>
    <x v="1"/>
    <x v="0"/>
    <x v="377"/>
    <x v="302"/>
    <x v="378"/>
  </r>
  <r>
    <n v="211554"/>
    <x v="1"/>
    <x v="10"/>
    <x v="0"/>
    <x v="0"/>
    <x v="1"/>
    <x v="1"/>
    <x v="378"/>
    <x v="303"/>
    <x v="379"/>
  </r>
  <r>
    <n v="49303"/>
    <x v="0"/>
    <x v="8"/>
    <x v="9"/>
    <x v="0"/>
    <x v="0"/>
    <x v="0"/>
    <x v="379"/>
    <x v="304"/>
    <x v="380"/>
  </r>
  <r>
    <n v="96878"/>
    <x v="0"/>
    <x v="9"/>
    <x v="0"/>
    <x v="0"/>
    <x v="0"/>
    <x v="0"/>
    <x v="380"/>
    <x v="305"/>
    <x v="381"/>
  </r>
  <r>
    <n v="228761"/>
    <x v="0"/>
    <x v="1"/>
    <x v="1"/>
    <x v="1"/>
    <x v="0"/>
    <x v="0"/>
    <x v="381"/>
    <x v="306"/>
    <x v="382"/>
  </r>
  <r>
    <n v="117040"/>
    <x v="0"/>
    <x v="6"/>
    <x v="2"/>
    <x v="1"/>
    <x v="1"/>
    <x v="1"/>
    <x v="382"/>
    <x v="307"/>
    <x v="383"/>
  </r>
  <r>
    <n v="186395"/>
    <x v="1"/>
    <x v="10"/>
    <x v="8"/>
    <x v="0"/>
    <x v="0"/>
    <x v="0"/>
    <x v="383"/>
    <x v="308"/>
    <x v="384"/>
  </r>
  <r>
    <n v="2128"/>
    <x v="0"/>
    <x v="11"/>
    <x v="0"/>
    <x v="0"/>
    <x v="0"/>
    <x v="0"/>
    <x v="384"/>
    <x v="309"/>
    <x v="385"/>
  </r>
  <r>
    <n v="89037"/>
    <x v="0"/>
    <x v="9"/>
    <x v="6"/>
    <x v="0"/>
    <x v="0"/>
    <x v="0"/>
    <x v="385"/>
    <x v="310"/>
    <x v="386"/>
  </r>
  <r>
    <n v="129259"/>
    <x v="1"/>
    <x v="3"/>
    <x v="9"/>
    <x v="1"/>
    <x v="1"/>
    <x v="1"/>
    <x v="386"/>
    <x v="311"/>
    <x v="387"/>
  </r>
  <r>
    <n v="73845"/>
    <x v="1"/>
    <x v="0"/>
    <x v="1"/>
    <x v="1"/>
    <x v="0"/>
    <x v="1"/>
    <x v="387"/>
    <x v="312"/>
    <x v="388"/>
  </r>
  <r>
    <n v="67588"/>
    <x v="0"/>
    <x v="5"/>
    <x v="5"/>
    <x v="0"/>
    <x v="1"/>
    <x v="1"/>
    <x v="388"/>
    <x v="313"/>
    <x v="389"/>
  </r>
  <r>
    <n v="105731"/>
    <x v="0"/>
    <x v="3"/>
    <x v="3"/>
    <x v="0"/>
    <x v="0"/>
    <x v="0"/>
    <x v="389"/>
    <x v="314"/>
    <x v="390"/>
  </r>
  <r>
    <n v="185676"/>
    <x v="0"/>
    <x v="9"/>
    <x v="0"/>
    <x v="0"/>
    <x v="0"/>
    <x v="0"/>
    <x v="390"/>
    <x v="315"/>
    <x v="391"/>
  </r>
  <r>
    <n v="150676"/>
    <x v="0"/>
    <x v="5"/>
    <x v="3"/>
    <x v="0"/>
    <x v="0"/>
    <x v="1"/>
    <x v="391"/>
    <x v="316"/>
    <x v="392"/>
  </r>
  <r>
    <n v="209389"/>
    <x v="0"/>
    <x v="10"/>
    <x v="7"/>
    <x v="0"/>
    <x v="0"/>
    <x v="0"/>
    <x v="392"/>
    <x v="317"/>
    <x v="393"/>
  </r>
  <r>
    <n v="143332"/>
    <x v="0"/>
    <x v="3"/>
    <x v="0"/>
    <x v="0"/>
    <x v="0"/>
    <x v="0"/>
    <x v="393"/>
    <x v="318"/>
    <x v="394"/>
  </r>
  <r>
    <n v="190050"/>
    <x v="1"/>
    <x v="9"/>
    <x v="7"/>
    <x v="1"/>
    <x v="1"/>
    <x v="1"/>
    <x v="394"/>
    <x v="2"/>
    <x v="395"/>
  </r>
  <r>
    <n v="194148"/>
    <x v="1"/>
    <x v="7"/>
    <x v="4"/>
    <x v="1"/>
    <x v="0"/>
    <x v="1"/>
    <x v="395"/>
    <x v="278"/>
    <x v="396"/>
  </r>
  <r>
    <n v="165016"/>
    <x v="1"/>
    <x v="1"/>
    <x v="2"/>
    <x v="1"/>
    <x v="0"/>
    <x v="1"/>
    <x v="396"/>
    <x v="319"/>
    <x v="397"/>
  </r>
  <r>
    <n v="57633"/>
    <x v="1"/>
    <x v="0"/>
    <x v="9"/>
    <x v="0"/>
    <x v="0"/>
    <x v="1"/>
    <x v="397"/>
    <x v="210"/>
    <x v="398"/>
  </r>
  <r>
    <n v="251900"/>
    <x v="0"/>
    <x v="4"/>
    <x v="4"/>
    <x v="1"/>
    <x v="1"/>
    <x v="1"/>
    <x v="398"/>
    <x v="320"/>
    <x v="399"/>
  </r>
  <r>
    <n v="143187"/>
    <x v="0"/>
    <x v="10"/>
    <x v="2"/>
    <x v="0"/>
    <x v="1"/>
    <x v="0"/>
    <x v="399"/>
    <x v="2"/>
    <x v="400"/>
  </r>
  <r>
    <n v="237902"/>
    <x v="0"/>
    <x v="3"/>
    <x v="5"/>
    <x v="0"/>
    <x v="0"/>
    <x v="1"/>
    <x v="400"/>
    <x v="321"/>
    <x v="401"/>
  </r>
  <r>
    <n v="171585"/>
    <x v="1"/>
    <x v="6"/>
    <x v="2"/>
    <x v="1"/>
    <x v="0"/>
    <x v="1"/>
    <x v="401"/>
    <x v="2"/>
    <x v="402"/>
  </r>
  <r>
    <n v="132046"/>
    <x v="1"/>
    <x v="4"/>
    <x v="8"/>
    <x v="1"/>
    <x v="0"/>
    <x v="0"/>
    <x v="402"/>
    <x v="322"/>
    <x v="403"/>
  </r>
  <r>
    <n v="196833"/>
    <x v="1"/>
    <x v="0"/>
    <x v="8"/>
    <x v="0"/>
    <x v="0"/>
    <x v="0"/>
    <x v="403"/>
    <x v="323"/>
    <x v="404"/>
  </r>
  <r>
    <n v="116001"/>
    <x v="1"/>
    <x v="4"/>
    <x v="6"/>
    <x v="0"/>
    <x v="0"/>
    <x v="1"/>
    <x v="404"/>
    <x v="324"/>
    <x v="405"/>
  </r>
  <r>
    <n v="123013"/>
    <x v="0"/>
    <x v="4"/>
    <x v="4"/>
    <x v="1"/>
    <x v="0"/>
    <x v="1"/>
    <x v="405"/>
    <x v="325"/>
    <x v="406"/>
  </r>
  <r>
    <n v="152663"/>
    <x v="1"/>
    <x v="3"/>
    <x v="0"/>
    <x v="0"/>
    <x v="0"/>
    <x v="0"/>
    <x v="406"/>
    <x v="326"/>
    <x v="407"/>
  </r>
  <r>
    <n v="84840"/>
    <x v="0"/>
    <x v="0"/>
    <x v="0"/>
    <x v="0"/>
    <x v="0"/>
    <x v="0"/>
    <x v="407"/>
    <x v="327"/>
    <x v="408"/>
  </r>
  <r>
    <n v="236789"/>
    <x v="1"/>
    <x v="1"/>
    <x v="2"/>
    <x v="1"/>
    <x v="1"/>
    <x v="1"/>
    <x v="408"/>
    <x v="227"/>
    <x v="409"/>
  </r>
  <r>
    <n v="178503"/>
    <x v="1"/>
    <x v="3"/>
    <x v="6"/>
    <x v="1"/>
    <x v="1"/>
    <x v="1"/>
    <x v="409"/>
    <x v="328"/>
    <x v="410"/>
  </r>
  <r>
    <n v="116627"/>
    <x v="0"/>
    <x v="5"/>
    <x v="9"/>
    <x v="0"/>
    <x v="0"/>
    <x v="1"/>
    <x v="410"/>
    <x v="329"/>
    <x v="411"/>
  </r>
  <r>
    <n v="130432"/>
    <x v="0"/>
    <x v="4"/>
    <x v="3"/>
    <x v="1"/>
    <x v="1"/>
    <x v="0"/>
    <x v="411"/>
    <x v="330"/>
    <x v="412"/>
  </r>
  <r>
    <n v="16946"/>
    <x v="0"/>
    <x v="0"/>
    <x v="8"/>
    <x v="0"/>
    <x v="0"/>
    <x v="0"/>
    <x v="412"/>
    <x v="331"/>
    <x v="413"/>
  </r>
  <r>
    <n v="156832"/>
    <x v="1"/>
    <x v="4"/>
    <x v="9"/>
    <x v="0"/>
    <x v="0"/>
    <x v="1"/>
    <x v="413"/>
    <x v="2"/>
    <x v="414"/>
  </r>
  <r>
    <n v="7881"/>
    <x v="1"/>
    <x v="9"/>
    <x v="9"/>
    <x v="0"/>
    <x v="0"/>
    <x v="0"/>
    <x v="414"/>
    <x v="332"/>
    <x v="415"/>
  </r>
  <r>
    <n v="79667"/>
    <x v="1"/>
    <x v="10"/>
    <x v="6"/>
    <x v="0"/>
    <x v="0"/>
    <x v="0"/>
    <x v="415"/>
    <x v="333"/>
    <x v="416"/>
  </r>
  <r>
    <n v="246133"/>
    <x v="0"/>
    <x v="3"/>
    <x v="0"/>
    <x v="1"/>
    <x v="0"/>
    <x v="1"/>
    <x v="416"/>
    <x v="334"/>
    <x v="417"/>
  </r>
  <r>
    <n v="8786"/>
    <x v="0"/>
    <x v="9"/>
    <x v="0"/>
    <x v="0"/>
    <x v="0"/>
    <x v="1"/>
    <x v="417"/>
    <x v="335"/>
    <x v="418"/>
  </r>
  <r>
    <n v="152511"/>
    <x v="1"/>
    <x v="3"/>
    <x v="2"/>
    <x v="0"/>
    <x v="1"/>
    <x v="0"/>
    <x v="418"/>
    <x v="2"/>
    <x v="419"/>
  </r>
  <r>
    <n v="87445"/>
    <x v="1"/>
    <x v="10"/>
    <x v="8"/>
    <x v="1"/>
    <x v="0"/>
    <x v="1"/>
    <x v="419"/>
    <x v="336"/>
    <x v="420"/>
  </r>
  <r>
    <n v="42275"/>
    <x v="1"/>
    <x v="8"/>
    <x v="2"/>
    <x v="0"/>
    <x v="0"/>
    <x v="0"/>
    <x v="420"/>
    <x v="337"/>
    <x v="421"/>
  </r>
  <r>
    <n v="17240"/>
    <x v="0"/>
    <x v="7"/>
    <x v="3"/>
    <x v="1"/>
    <x v="0"/>
    <x v="0"/>
    <x v="421"/>
    <x v="338"/>
    <x v="422"/>
  </r>
  <r>
    <n v="185176"/>
    <x v="1"/>
    <x v="0"/>
    <x v="2"/>
    <x v="0"/>
    <x v="1"/>
    <x v="0"/>
    <x v="422"/>
    <x v="339"/>
    <x v="423"/>
  </r>
  <r>
    <n v="141860"/>
    <x v="1"/>
    <x v="3"/>
    <x v="4"/>
    <x v="1"/>
    <x v="1"/>
    <x v="1"/>
    <x v="423"/>
    <x v="2"/>
    <x v="424"/>
  </r>
  <r>
    <n v="211654"/>
    <x v="1"/>
    <x v="10"/>
    <x v="9"/>
    <x v="1"/>
    <x v="0"/>
    <x v="1"/>
    <x v="424"/>
    <x v="340"/>
    <x v="425"/>
  </r>
  <r>
    <n v="190387"/>
    <x v="0"/>
    <x v="10"/>
    <x v="6"/>
    <x v="0"/>
    <x v="0"/>
    <x v="0"/>
    <x v="425"/>
    <x v="341"/>
    <x v="426"/>
  </r>
  <r>
    <n v="38387"/>
    <x v="1"/>
    <x v="8"/>
    <x v="6"/>
    <x v="1"/>
    <x v="0"/>
    <x v="1"/>
    <x v="426"/>
    <x v="342"/>
    <x v="427"/>
  </r>
  <r>
    <n v="152262"/>
    <x v="1"/>
    <x v="3"/>
    <x v="6"/>
    <x v="1"/>
    <x v="0"/>
    <x v="1"/>
    <x v="427"/>
    <x v="343"/>
    <x v="428"/>
  </r>
  <r>
    <n v="183499"/>
    <x v="1"/>
    <x v="9"/>
    <x v="8"/>
    <x v="1"/>
    <x v="1"/>
    <x v="1"/>
    <x v="428"/>
    <x v="344"/>
    <x v="429"/>
  </r>
  <r>
    <n v="198647"/>
    <x v="1"/>
    <x v="7"/>
    <x v="8"/>
    <x v="0"/>
    <x v="0"/>
    <x v="0"/>
    <x v="429"/>
    <x v="345"/>
    <x v="430"/>
  </r>
  <r>
    <n v="221411"/>
    <x v="1"/>
    <x v="4"/>
    <x v="0"/>
    <x v="1"/>
    <x v="0"/>
    <x v="1"/>
    <x v="430"/>
    <x v="346"/>
    <x v="431"/>
  </r>
  <r>
    <n v="257043"/>
    <x v="0"/>
    <x v="1"/>
    <x v="1"/>
    <x v="1"/>
    <x v="0"/>
    <x v="0"/>
    <x v="431"/>
    <x v="2"/>
    <x v="432"/>
  </r>
  <r>
    <n v="52701"/>
    <x v="1"/>
    <x v="8"/>
    <x v="9"/>
    <x v="1"/>
    <x v="0"/>
    <x v="0"/>
    <x v="432"/>
    <x v="347"/>
    <x v="433"/>
  </r>
  <r>
    <n v="129521"/>
    <x v="0"/>
    <x v="3"/>
    <x v="0"/>
    <x v="0"/>
    <x v="0"/>
    <x v="0"/>
    <x v="433"/>
    <x v="11"/>
    <x v="434"/>
  </r>
  <r>
    <n v="135983"/>
    <x v="0"/>
    <x v="3"/>
    <x v="4"/>
    <x v="0"/>
    <x v="0"/>
    <x v="0"/>
    <x v="434"/>
    <x v="14"/>
    <x v="435"/>
  </r>
  <r>
    <n v="203631"/>
    <x v="1"/>
    <x v="9"/>
    <x v="9"/>
    <x v="1"/>
    <x v="0"/>
    <x v="1"/>
    <x v="435"/>
    <x v="348"/>
    <x v="436"/>
  </r>
  <r>
    <n v="45511"/>
    <x v="1"/>
    <x v="0"/>
    <x v="7"/>
    <x v="0"/>
    <x v="0"/>
    <x v="0"/>
    <x v="436"/>
    <x v="2"/>
    <x v="437"/>
  </r>
  <r>
    <n v="12027"/>
    <x v="1"/>
    <x v="7"/>
    <x v="8"/>
    <x v="0"/>
    <x v="0"/>
    <x v="1"/>
    <x v="437"/>
    <x v="349"/>
    <x v="438"/>
  </r>
  <r>
    <n v="177224"/>
    <x v="1"/>
    <x v="4"/>
    <x v="8"/>
    <x v="1"/>
    <x v="0"/>
    <x v="0"/>
    <x v="438"/>
    <x v="350"/>
    <x v="439"/>
  </r>
  <r>
    <n v="193137"/>
    <x v="1"/>
    <x v="0"/>
    <x v="8"/>
    <x v="0"/>
    <x v="0"/>
    <x v="1"/>
    <x v="439"/>
    <x v="351"/>
    <x v="440"/>
  </r>
  <r>
    <n v="74519"/>
    <x v="1"/>
    <x v="5"/>
    <x v="6"/>
    <x v="0"/>
    <x v="0"/>
    <x v="0"/>
    <x v="440"/>
    <x v="352"/>
    <x v="441"/>
  </r>
  <r>
    <n v="26341"/>
    <x v="1"/>
    <x v="2"/>
    <x v="7"/>
    <x v="0"/>
    <x v="1"/>
    <x v="1"/>
    <x v="441"/>
    <x v="2"/>
    <x v="442"/>
  </r>
  <r>
    <n v="166089"/>
    <x v="0"/>
    <x v="5"/>
    <x v="3"/>
    <x v="1"/>
    <x v="1"/>
    <x v="0"/>
    <x v="442"/>
    <x v="353"/>
    <x v="443"/>
  </r>
  <r>
    <n v="121980"/>
    <x v="1"/>
    <x v="3"/>
    <x v="8"/>
    <x v="1"/>
    <x v="0"/>
    <x v="0"/>
    <x v="443"/>
    <x v="354"/>
    <x v="444"/>
  </r>
  <r>
    <n v="71975"/>
    <x v="1"/>
    <x v="5"/>
    <x v="6"/>
    <x v="1"/>
    <x v="1"/>
    <x v="0"/>
    <x v="444"/>
    <x v="355"/>
    <x v="445"/>
  </r>
  <r>
    <n v="46864"/>
    <x v="1"/>
    <x v="7"/>
    <x v="0"/>
    <x v="1"/>
    <x v="0"/>
    <x v="0"/>
    <x v="445"/>
    <x v="2"/>
    <x v="446"/>
  </r>
  <r>
    <n v="234024"/>
    <x v="1"/>
    <x v="1"/>
    <x v="2"/>
    <x v="0"/>
    <x v="1"/>
    <x v="1"/>
    <x v="446"/>
    <x v="356"/>
    <x v="447"/>
  </r>
  <r>
    <n v="94855"/>
    <x v="0"/>
    <x v="9"/>
    <x v="0"/>
    <x v="0"/>
    <x v="1"/>
    <x v="0"/>
    <x v="447"/>
    <x v="357"/>
    <x v="448"/>
  </r>
  <r>
    <n v="72779"/>
    <x v="0"/>
    <x v="5"/>
    <x v="3"/>
    <x v="0"/>
    <x v="0"/>
    <x v="0"/>
    <x v="448"/>
    <x v="358"/>
    <x v="449"/>
  </r>
  <r>
    <n v="223660"/>
    <x v="1"/>
    <x v="4"/>
    <x v="1"/>
    <x v="1"/>
    <x v="0"/>
    <x v="1"/>
    <x v="449"/>
    <x v="359"/>
    <x v="450"/>
  </r>
  <r>
    <n v="127595"/>
    <x v="0"/>
    <x v="7"/>
    <x v="6"/>
    <x v="0"/>
    <x v="1"/>
    <x v="0"/>
    <x v="450"/>
    <x v="360"/>
    <x v="451"/>
  </r>
  <r>
    <n v="183779"/>
    <x v="0"/>
    <x v="9"/>
    <x v="9"/>
    <x v="1"/>
    <x v="0"/>
    <x v="1"/>
    <x v="451"/>
    <x v="361"/>
    <x v="452"/>
  </r>
  <r>
    <n v="236263"/>
    <x v="0"/>
    <x v="1"/>
    <x v="9"/>
    <x v="1"/>
    <x v="1"/>
    <x v="1"/>
    <x v="452"/>
    <x v="2"/>
    <x v="453"/>
  </r>
  <r>
    <n v="218730"/>
    <x v="0"/>
    <x v="7"/>
    <x v="8"/>
    <x v="0"/>
    <x v="0"/>
    <x v="1"/>
    <x v="453"/>
    <x v="362"/>
    <x v="454"/>
  </r>
  <r>
    <n v="244216"/>
    <x v="1"/>
    <x v="8"/>
    <x v="7"/>
    <x v="0"/>
    <x v="0"/>
    <x v="1"/>
    <x v="454"/>
    <x v="2"/>
    <x v="455"/>
  </r>
  <r>
    <n v="175921"/>
    <x v="1"/>
    <x v="4"/>
    <x v="6"/>
    <x v="0"/>
    <x v="1"/>
    <x v="0"/>
    <x v="455"/>
    <x v="363"/>
    <x v="456"/>
  </r>
  <r>
    <n v="169547"/>
    <x v="0"/>
    <x v="8"/>
    <x v="5"/>
    <x v="0"/>
    <x v="1"/>
    <x v="0"/>
    <x v="456"/>
    <x v="2"/>
    <x v="457"/>
  </r>
  <r>
    <n v="149381"/>
    <x v="0"/>
    <x v="4"/>
    <x v="1"/>
    <x v="1"/>
    <x v="0"/>
    <x v="1"/>
    <x v="457"/>
    <x v="2"/>
    <x v="458"/>
  </r>
  <r>
    <n v="87906"/>
    <x v="1"/>
    <x v="11"/>
    <x v="9"/>
    <x v="1"/>
    <x v="0"/>
    <x v="0"/>
    <x v="458"/>
    <x v="364"/>
    <x v="459"/>
  </r>
  <r>
    <n v="78327"/>
    <x v="1"/>
    <x v="5"/>
    <x v="9"/>
    <x v="1"/>
    <x v="0"/>
    <x v="1"/>
    <x v="459"/>
    <x v="365"/>
    <x v="460"/>
  </r>
  <r>
    <n v="31266"/>
    <x v="0"/>
    <x v="0"/>
    <x v="6"/>
    <x v="1"/>
    <x v="1"/>
    <x v="0"/>
    <x v="460"/>
    <x v="366"/>
    <x v="461"/>
  </r>
  <r>
    <n v="26718"/>
    <x v="1"/>
    <x v="7"/>
    <x v="6"/>
    <x v="0"/>
    <x v="0"/>
    <x v="1"/>
    <x v="461"/>
    <x v="367"/>
    <x v="462"/>
  </r>
  <r>
    <n v="185729"/>
    <x v="1"/>
    <x v="11"/>
    <x v="7"/>
    <x v="1"/>
    <x v="1"/>
    <x v="1"/>
    <x v="462"/>
    <x v="2"/>
    <x v="463"/>
  </r>
  <r>
    <n v="77260"/>
    <x v="1"/>
    <x v="7"/>
    <x v="9"/>
    <x v="1"/>
    <x v="1"/>
    <x v="1"/>
    <x v="463"/>
    <x v="368"/>
    <x v="464"/>
  </r>
  <r>
    <n v="73894"/>
    <x v="0"/>
    <x v="5"/>
    <x v="9"/>
    <x v="1"/>
    <x v="0"/>
    <x v="1"/>
    <x v="464"/>
    <x v="369"/>
    <x v="465"/>
  </r>
  <r>
    <n v="249048"/>
    <x v="0"/>
    <x v="1"/>
    <x v="4"/>
    <x v="1"/>
    <x v="1"/>
    <x v="0"/>
    <x v="465"/>
    <x v="370"/>
    <x v="466"/>
  </r>
  <r>
    <n v="37325"/>
    <x v="0"/>
    <x v="8"/>
    <x v="3"/>
    <x v="0"/>
    <x v="0"/>
    <x v="0"/>
    <x v="466"/>
    <x v="371"/>
    <x v="467"/>
  </r>
  <r>
    <n v="187821"/>
    <x v="0"/>
    <x v="2"/>
    <x v="7"/>
    <x v="0"/>
    <x v="0"/>
    <x v="0"/>
    <x v="467"/>
    <x v="2"/>
    <x v="468"/>
  </r>
  <r>
    <n v="15987"/>
    <x v="0"/>
    <x v="0"/>
    <x v="9"/>
    <x v="0"/>
    <x v="0"/>
    <x v="0"/>
    <x v="468"/>
    <x v="153"/>
    <x v="469"/>
  </r>
  <r>
    <n v="6290"/>
    <x v="0"/>
    <x v="10"/>
    <x v="7"/>
    <x v="1"/>
    <x v="0"/>
    <x v="0"/>
    <x v="469"/>
    <x v="2"/>
    <x v="470"/>
  </r>
  <r>
    <n v="75024"/>
    <x v="1"/>
    <x v="5"/>
    <x v="9"/>
    <x v="1"/>
    <x v="0"/>
    <x v="1"/>
    <x v="470"/>
    <x v="372"/>
    <x v="471"/>
  </r>
  <r>
    <n v="40281"/>
    <x v="0"/>
    <x v="8"/>
    <x v="0"/>
    <x v="0"/>
    <x v="0"/>
    <x v="1"/>
    <x v="471"/>
    <x v="373"/>
    <x v="472"/>
  </r>
  <r>
    <n v="220032"/>
    <x v="1"/>
    <x v="3"/>
    <x v="6"/>
    <x v="1"/>
    <x v="1"/>
    <x v="0"/>
    <x v="472"/>
    <x v="374"/>
    <x v="473"/>
  </r>
  <r>
    <n v="46724"/>
    <x v="1"/>
    <x v="8"/>
    <x v="9"/>
    <x v="0"/>
    <x v="0"/>
    <x v="1"/>
    <x v="473"/>
    <x v="375"/>
    <x v="474"/>
  </r>
  <r>
    <n v="139387"/>
    <x v="0"/>
    <x v="4"/>
    <x v="3"/>
    <x v="1"/>
    <x v="1"/>
    <x v="0"/>
    <x v="474"/>
    <x v="376"/>
    <x v="475"/>
  </r>
  <r>
    <n v="99351"/>
    <x v="0"/>
    <x v="7"/>
    <x v="5"/>
    <x v="0"/>
    <x v="0"/>
    <x v="1"/>
    <x v="475"/>
    <x v="377"/>
    <x v="476"/>
  </r>
  <r>
    <n v="79595"/>
    <x v="0"/>
    <x v="11"/>
    <x v="4"/>
    <x v="0"/>
    <x v="0"/>
    <x v="0"/>
    <x v="476"/>
    <x v="378"/>
    <x v="477"/>
  </r>
  <r>
    <n v="206957"/>
    <x v="0"/>
    <x v="10"/>
    <x v="0"/>
    <x v="0"/>
    <x v="0"/>
    <x v="0"/>
    <x v="477"/>
    <x v="379"/>
    <x v="478"/>
  </r>
  <r>
    <n v="29576"/>
    <x v="0"/>
    <x v="8"/>
    <x v="3"/>
    <x v="0"/>
    <x v="1"/>
    <x v="1"/>
    <x v="478"/>
    <x v="380"/>
    <x v="479"/>
  </r>
  <r>
    <n v="114135"/>
    <x v="0"/>
    <x v="3"/>
    <x v="4"/>
    <x v="1"/>
    <x v="1"/>
    <x v="1"/>
    <x v="479"/>
    <x v="381"/>
    <x v="480"/>
  </r>
  <r>
    <n v="223583"/>
    <x v="0"/>
    <x v="4"/>
    <x v="6"/>
    <x v="1"/>
    <x v="0"/>
    <x v="0"/>
    <x v="480"/>
    <x v="382"/>
    <x v="481"/>
  </r>
  <r>
    <n v="90156"/>
    <x v="1"/>
    <x v="10"/>
    <x v="7"/>
    <x v="0"/>
    <x v="1"/>
    <x v="1"/>
    <x v="481"/>
    <x v="2"/>
    <x v="482"/>
  </r>
  <r>
    <n v="24234"/>
    <x v="1"/>
    <x v="0"/>
    <x v="6"/>
    <x v="0"/>
    <x v="0"/>
    <x v="0"/>
    <x v="482"/>
    <x v="383"/>
    <x v="483"/>
  </r>
  <r>
    <n v="5389"/>
    <x v="1"/>
    <x v="9"/>
    <x v="4"/>
    <x v="0"/>
    <x v="0"/>
    <x v="1"/>
    <x v="483"/>
    <x v="384"/>
    <x v="484"/>
  </r>
  <r>
    <n v="86248"/>
    <x v="0"/>
    <x v="11"/>
    <x v="0"/>
    <x v="0"/>
    <x v="0"/>
    <x v="1"/>
    <x v="484"/>
    <x v="2"/>
    <x v="485"/>
  </r>
  <r>
    <n v="102378"/>
    <x v="1"/>
    <x v="7"/>
    <x v="6"/>
    <x v="0"/>
    <x v="1"/>
    <x v="0"/>
    <x v="485"/>
    <x v="385"/>
    <x v="486"/>
  </r>
  <r>
    <n v="117780"/>
    <x v="0"/>
    <x v="5"/>
    <x v="6"/>
    <x v="0"/>
    <x v="0"/>
    <x v="0"/>
    <x v="486"/>
    <x v="386"/>
    <x v="487"/>
  </r>
  <r>
    <n v="26057"/>
    <x v="1"/>
    <x v="0"/>
    <x v="6"/>
    <x v="1"/>
    <x v="0"/>
    <x v="0"/>
    <x v="487"/>
    <x v="387"/>
    <x v="488"/>
  </r>
  <r>
    <n v="106196"/>
    <x v="1"/>
    <x v="1"/>
    <x v="3"/>
    <x v="1"/>
    <x v="1"/>
    <x v="0"/>
    <x v="488"/>
    <x v="114"/>
    <x v="489"/>
  </r>
  <r>
    <n v="7825"/>
    <x v="1"/>
    <x v="9"/>
    <x v="0"/>
    <x v="0"/>
    <x v="0"/>
    <x v="1"/>
    <x v="489"/>
    <x v="388"/>
    <x v="490"/>
  </r>
  <r>
    <n v="155591"/>
    <x v="1"/>
    <x v="6"/>
    <x v="9"/>
    <x v="1"/>
    <x v="1"/>
    <x v="0"/>
    <x v="490"/>
    <x v="2"/>
    <x v="491"/>
  </r>
  <r>
    <n v="39078"/>
    <x v="0"/>
    <x v="8"/>
    <x v="3"/>
    <x v="0"/>
    <x v="1"/>
    <x v="0"/>
    <x v="491"/>
    <x v="389"/>
    <x v="492"/>
  </r>
  <r>
    <n v="205166"/>
    <x v="1"/>
    <x v="7"/>
    <x v="2"/>
    <x v="0"/>
    <x v="1"/>
    <x v="1"/>
    <x v="492"/>
    <x v="390"/>
    <x v="493"/>
  </r>
  <r>
    <n v="212188"/>
    <x v="1"/>
    <x v="9"/>
    <x v="8"/>
    <x v="1"/>
    <x v="0"/>
    <x v="1"/>
    <x v="493"/>
    <x v="391"/>
    <x v="494"/>
  </r>
  <r>
    <n v="22419"/>
    <x v="0"/>
    <x v="0"/>
    <x v="7"/>
    <x v="0"/>
    <x v="0"/>
    <x v="0"/>
    <x v="494"/>
    <x v="2"/>
    <x v="495"/>
  </r>
  <r>
    <n v="82244"/>
    <x v="0"/>
    <x v="9"/>
    <x v="7"/>
    <x v="1"/>
    <x v="0"/>
    <x v="1"/>
    <x v="495"/>
    <x v="392"/>
    <x v="496"/>
  </r>
  <r>
    <n v="75618"/>
    <x v="1"/>
    <x v="5"/>
    <x v="0"/>
    <x v="0"/>
    <x v="0"/>
    <x v="0"/>
    <x v="496"/>
    <x v="393"/>
    <x v="497"/>
  </r>
  <r>
    <n v="217563"/>
    <x v="0"/>
    <x v="10"/>
    <x v="8"/>
    <x v="0"/>
    <x v="0"/>
    <x v="0"/>
    <x v="410"/>
    <x v="394"/>
    <x v="498"/>
  </r>
  <r>
    <n v="227714"/>
    <x v="1"/>
    <x v="1"/>
    <x v="0"/>
    <x v="1"/>
    <x v="0"/>
    <x v="0"/>
    <x v="497"/>
    <x v="395"/>
    <x v="499"/>
  </r>
  <r>
    <n v="40627"/>
    <x v="0"/>
    <x v="8"/>
    <x v="5"/>
    <x v="0"/>
    <x v="0"/>
    <x v="0"/>
    <x v="498"/>
    <x v="27"/>
    <x v="500"/>
  </r>
  <r>
    <n v="198644"/>
    <x v="0"/>
    <x v="10"/>
    <x v="5"/>
    <x v="1"/>
    <x v="0"/>
    <x v="1"/>
    <x v="499"/>
    <x v="396"/>
    <x v="501"/>
  </r>
  <r>
    <n v="194736"/>
    <x v="1"/>
    <x v="9"/>
    <x v="0"/>
    <x v="1"/>
    <x v="0"/>
    <x v="0"/>
    <x v="500"/>
    <x v="397"/>
    <x v="502"/>
  </r>
  <r>
    <n v="93695"/>
    <x v="0"/>
    <x v="2"/>
    <x v="7"/>
    <x v="0"/>
    <x v="0"/>
    <x v="0"/>
    <x v="501"/>
    <x v="398"/>
    <x v="503"/>
  </r>
  <r>
    <n v="177062"/>
    <x v="1"/>
    <x v="4"/>
    <x v="6"/>
    <x v="0"/>
    <x v="1"/>
    <x v="1"/>
    <x v="502"/>
    <x v="399"/>
    <x v="504"/>
  </r>
  <r>
    <n v="28691"/>
    <x v="1"/>
    <x v="8"/>
    <x v="8"/>
    <x v="0"/>
    <x v="0"/>
    <x v="1"/>
    <x v="503"/>
    <x v="400"/>
    <x v="505"/>
  </r>
  <r>
    <n v="216619"/>
    <x v="0"/>
    <x v="7"/>
    <x v="5"/>
    <x v="0"/>
    <x v="0"/>
    <x v="1"/>
    <x v="504"/>
    <x v="401"/>
    <x v="506"/>
  </r>
  <r>
    <n v="187319"/>
    <x v="1"/>
    <x v="2"/>
    <x v="7"/>
    <x v="1"/>
    <x v="0"/>
    <x v="0"/>
    <x v="505"/>
    <x v="402"/>
    <x v="507"/>
  </r>
  <r>
    <n v="238726"/>
    <x v="1"/>
    <x v="1"/>
    <x v="8"/>
    <x v="1"/>
    <x v="0"/>
    <x v="1"/>
    <x v="506"/>
    <x v="403"/>
    <x v="508"/>
  </r>
  <r>
    <n v="245866"/>
    <x v="0"/>
    <x v="1"/>
    <x v="5"/>
    <x v="1"/>
    <x v="1"/>
    <x v="1"/>
    <x v="507"/>
    <x v="122"/>
    <x v="509"/>
  </r>
  <r>
    <n v="112478"/>
    <x v="1"/>
    <x v="3"/>
    <x v="8"/>
    <x v="0"/>
    <x v="0"/>
    <x v="0"/>
    <x v="508"/>
    <x v="184"/>
    <x v="510"/>
  </r>
  <r>
    <n v="18289"/>
    <x v="1"/>
    <x v="0"/>
    <x v="9"/>
    <x v="0"/>
    <x v="0"/>
    <x v="1"/>
    <x v="509"/>
    <x v="404"/>
    <x v="511"/>
  </r>
  <r>
    <n v="250653"/>
    <x v="1"/>
    <x v="1"/>
    <x v="8"/>
    <x v="1"/>
    <x v="1"/>
    <x v="0"/>
    <x v="510"/>
    <x v="405"/>
    <x v="512"/>
  </r>
  <r>
    <n v="206747"/>
    <x v="0"/>
    <x v="0"/>
    <x v="5"/>
    <x v="1"/>
    <x v="0"/>
    <x v="1"/>
    <x v="511"/>
    <x v="194"/>
    <x v="513"/>
  </r>
  <r>
    <n v="161848"/>
    <x v="1"/>
    <x v="4"/>
    <x v="7"/>
    <x v="0"/>
    <x v="0"/>
    <x v="0"/>
    <x v="512"/>
    <x v="2"/>
    <x v="514"/>
  </r>
  <r>
    <n v="51805"/>
    <x v="0"/>
    <x v="8"/>
    <x v="0"/>
    <x v="1"/>
    <x v="0"/>
    <x v="1"/>
    <x v="513"/>
    <x v="406"/>
    <x v="515"/>
  </r>
  <r>
    <n v="134073"/>
    <x v="1"/>
    <x v="6"/>
    <x v="8"/>
    <x v="1"/>
    <x v="0"/>
    <x v="1"/>
    <x v="514"/>
    <x v="2"/>
    <x v="516"/>
  </r>
  <r>
    <n v="114901"/>
    <x v="0"/>
    <x v="3"/>
    <x v="7"/>
    <x v="1"/>
    <x v="0"/>
    <x v="1"/>
    <x v="515"/>
    <x v="2"/>
    <x v="517"/>
  </r>
  <r>
    <n v="24578"/>
    <x v="1"/>
    <x v="0"/>
    <x v="7"/>
    <x v="0"/>
    <x v="0"/>
    <x v="0"/>
    <x v="516"/>
    <x v="2"/>
    <x v="518"/>
  </r>
  <r>
    <n v="78551"/>
    <x v="1"/>
    <x v="2"/>
    <x v="2"/>
    <x v="0"/>
    <x v="0"/>
    <x v="0"/>
    <x v="517"/>
    <x v="2"/>
    <x v="519"/>
  </r>
  <r>
    <n v="210996"/>
    <x v="0"/>
    <x v="10"/>
    <x v="3"/>
    <x v="0"/>
    <x v="0"/>
    <x v="0"/>
    <x v="518"/>
    <x v="407"/>
    <x v="520"/>
  </r>
  <r>
    <n v="173575"/>
    <x v="0"/>
    <x v="5"/>
    <x v="7"/>
    <x v="0"/>
    <x v="0"/>
    <x v="0"/>
    <x v="519"/>
    <x v="408"/>
    <x v="521"/>
  </r>
  <r>
    <n v="35088"/>
    <x v="1"/>
    <x v="8"/>
    <x v="7"/>
    <x v="0"/>
    <x v="0"/>
    <x v="0"/>
    <x v="520"/>
    <x v="2"/>
    <x v="522"/>
  </r>
  <r>
    <n v="185786"/>
    <x v="0"/>
    <x v="11"/>
    <x v="8"/>
    <x v="0"/>
    <x v="0"/>
    <x v="0"/>
    <x v="172"/>
    <x v="21"/>
    <x v="523"/>
  </r>
  <r>
    <n v="164270"/>
    <x v="1"/>
    <x v="4"/>
    <x v="6"/>
    <x v="1"/>
    <x v="0"/>
    <x v="1"/>
    <x v="521"/>
    <x v="409"/>
    <x v="524"/>
  </r>
  <r>
    <n v="224088"/>
    <x v="0"/>
    <x v="4"/>
    <x v="3"/>
    <x v="0"/>
    <x v="0"/>
    <x v="0"/>
    <x v="522"/>
    <x v="410"/>
    <x v="525"/>
  </r>
  <r>
    <n v="187047"/>
    <x v="1"/>
    <x v="10"/>
    <x v="8"/>
    <x v="0"/>
    <x v="0"/>
    <x v="0"/>
    <x v="523"/>
    <x v="2"/>
    <x v="526"/>
  </r>
  <r>
    <n v="93720"/>
    <x v="0"/>
    <x v="2"/>
    <x v="7"/>
    <x v="0"/>
    <x v="0"/>
    <x v="0"/>
    <x v="524"/>
    <x v="411"/>
    <x v="527"/>
  </r>
  <r>
    <n v="244437"/>
    <x v="0"/>
    <x v="1"/>
    <x v="3"/>
    <x v="1"/>
    <x v="0"/>
    <x v="1"/>
    <x v="525"/>
    <x v="412"/>
    <x v="528"/>
  </r>
  <r>
    <n v="18498"/>
    <x v="0"/>
    <x v="0"/>
    <x v="7"/>
    <x v="0"/>
    <x v="0"/>
    <x v="0"/>
    <x v="526"/>
    <x v="179"/>
    <x v="529"/>
  </r>
  <r>
    <n v="243191"/>
    <x v="1"/>
    <x v="0"/>
    <x v="0"/>
    <x v="0"/>
    <x v="0"/>
    <x v="1"/>
    <x v="527"/>
    <x v="21"/>
    <x v="530"/>
  </r>
  <r>
    <n v="209392"/>
    <x v="0"/>
    <x v="10"/>
    <x v="6"/>
    <x v="0"/>
    <x v="1"/>
    <x v="0"/>
    <x v="528"/>
    <x v="413"/>
    <x v="531"/>
  </r>
  <r>
    <n v="88731"/>
    <x v="0"/>
    <x v="2"/>
    <x v="7"/>
    <x v="0"/>
    <x v="0"/>
    <x v="0"/>
    <x v="529"/>
    <x v="2"/>
    <x v="532"/>
  </r>
  <r>
    <n v="237983"/>
    <x v="1"/>
    <x v="4"/>
    <x v="0"/>
    <x v="1"/>
    <x v="1"/>
    <x v="0"/>
    <x v="530"/>
    <x v="414"/>
    <x v="533"/>
  </r>
  <r>
    <n v="190555"/>
    <x v="1"/>
    <x v="7"/>
    <x v="0"/>
    <x v="0"/>
    <x v="0"/>
    <x v="0"/>
    <x v="531"/>
    <x v="2"/>
    <x v="534"/>
  </r>
  <r>
    <n v="108809"/>
    <x v="0"/>
    <x v="1"/>
    <x v="2"/>
    <x v="1"/>
    <x v="0"/>
    <x v="1"/>
    <x v="532"/>
    <x v="2"/>
    <x v="535"/>
  </r>
  <r>
    <n v="186195"/>
    <x v="0"/>
    <x v="2"/>
    <x v="7"/>
    <x v="0"/>
    <x v="0"/>
    <x v="0"/>
    <x v="533"/>
    <x v="415"/>
    <x v="536"/>
  </r>
  <r>
    <n v="130105"/>
    <x v="1"/>
    <x v="3"/>
    <x v="9"/>
    <x v="0"/>
    <x v="0"/>
    <x v="1"/>
    <x v="534"/>
    <x v="2"/>
    <x v="537"/>
  </r>
  <r>
    <n v="30113"/>
    <x v="1"/>
    <x v="8"/>
    <x v="0"/>
    <x v="1"/>
    <x v="0"/>
    <x v="0"/>
    <x v="535"/>
    <x v="416"/>
    <x v="538"/>
  </r>
  <r>
    <n v="180305"/>
    <x v="0"/>
    <x v="6"/>
    <x v="8"/>
    <x v="1"/>
    <x v="0"/>
    <x v="1"/>
    <x v="536"/>
    <x v="2"/>
    <x v="539"/>
  </r>
  <r>
    <n v="21972"/>
    <x v="1"/>
    <x v="0"/>
    <x v="0"/>
    <x v="0"/>
    <x v="0"/>
    <x v="0"/>
    <x v="537"/>
    <x v="417"/>
    <x v="540"/>
  </r>
  <r>
    <n v="53320"/>
    <x v="1"/>
    <x v="8"/>
    <x v="6"/>
    <x v="0"/>
    <x v="0"/>
    <x v="0"/>
    <x v="168"/>
    <x v="418"/>
    <x v="541"/>
  </r>
  <r>
    <n v="252182"/>
    <x v="0"/>
    <x v="1"/>
    <x v="2"/>
    <x v="1"/>
    <x v="0"/>
    <x v="1"/>
    <x v="538"/>
    <x v="419"/>
    <x v="542"/>
  </r>
  <r>
    <n v="54439"/>
    <x v="0"/>
    <x v="8"/>
    <x v="9"/>
    <x v="0"/>
    <x v="1"/>
    <x v="1"/>
    <x v="539"/>
    <x v="420"/>
    <x v="543"/>
  </r>
  <r>
    <n v="76780"/>
    <x v="1"/>
    <x v="9"/>
    <x v="0"/>
    <x v="0"/>
    <x v="0"/>
    <x v="0"/>
    <x v="540"/>
    <x v="376"/>
    <x v="544"/>
  </r>
  <r>
    <n v="143797"/>
    <x v="0"/>
    <x v="5"/>
    <x v="6"/>
    <x v="0"/>
    <x v="0"/>
    <x v="0"/>
    <x v="541"/>
    <x v="421"/>
    <x v="545"/>
  </r>
  <r>
    <n v="311"/>
    <x v="0"/>
    <x v="10"/>
    <x v="4"/>
    <x v="0"/>
    <x v="0"/>
    <x v="1"/>
    <x v="542"/>
    <x v="2"/>
    <x v="546"/>
  </r>
  <r>
    <n v="132251"/>
    <x v="0"/>
    <x v="1"/>
    <x v="2"/>
    <x v="1"/>
    <x v="0"/>
    <x v="1"/>
    <x v="543"/>
    <x v="422"/>
    <x v="547"/>
  </r>
  <r>
    <n v="243415"/>
    <x v="1"/>
    <x v="4"/>
    <x v="2"/>
    <x v="1"/>
    <x v="1"/>
    <x v="1"/>
    <x v="544"/>
    <x v="423"/>
    <x v="548"/>
  </r>
  <r>
    <n v="68976"/>
    <x v="0"/>
    <x v="5"/>
    <x v="5"/>
    <x v="0"/>
    <x v="0"/>
    <x v="1"/>
    <x v="545"/>
    <x v="424"/>
    <x v="549"/>
  </r>
  <r>
    <n v="53435"/>
    <x v="0"/>
    <x v="8"/>
    <x v="0"/>
    <x v="1"/>
    <x v="0"/>
    <x v="1"/>
    <x v="546"/>
    <x v="425"/>
    <x v="550"/>
  </r>
  <r>
    <n v="233092"/>
    <x v="0"/>
    <x v="3"/>
    <x v="7"/>
    <x v="0"/>
    <x v="0"/>
    <x v="0"/>
    <x v="547"/>
    <x v="426"/>
    <x v="551"/>
  </r>
  <r>
    <n v="89886"/>
    <x v="0"/>
    <x v="11"/>
    <x v="3"/>
    <x v="0"/>
    <x v="0"/>
    <x v="1"/>
    <x v="548"/>
    <x v="427"/>
    <x v="552"/>
  </r>
  <r>
    <n v="199563"/>
    <x v="0"/>
    <x v="10"/>
    <x v="8"/>
    <x v="0"/>
    <x v="0"/>
    <x v="0"/>
    <x v="549"/>
    <x v="428"/>
    <x v="553"/>
  </r>
  <r>
    <n v="66419"/>
    <x v="1"/>
    <x v="5"/>
    <x v="0"/>
    <x v="1"/>
    <x v="0"/>
    <x v="1"/>
    <x v="550"/>
    <x v="429"/>
    <x v="554"/>
  </r>
  <r>
    <n v="112035"/>
    <x v="0"/>
    <x v="1"/>
    <x v="7"/>
    <x v="1"/>
    <x v="0"/>
    <x v="1"/>
    <x v="551"/>
    <x v="2"/>
    <x v="555"/>
  </r>
  <r>
    <n v="11311"/>
    <x v="0"/>
    <x v="2"/>
    <x v="7"/>
    <x v="0"/>
    <x v="0"/>
    <x v="0"/>
    <x v="552"/>
    <x v="119"/>
    <x v="556"/>
  </r>
  <r>
    <n v="197314"/>
    <x v="1"/>
    <x v="3"/>
    <x v="1"/>
    <x v="0"/>
    <x v="0"/>
    <x v="0"/>
    <x v="553"/>
    <x v="102"/>
    <x v="557"/>
  </r>
  <r>
    <n v="131871"/>
    <x v="0"/>
    <x v="8"/>
    <x v="4"/>
    <x v="0"/>
    <x v="0"/>
    <x v="1"/>
    <x v="554"/>
    <x v="2"/>
    <x v="558"/>
  </r>
  <r>
    <n v="187322"/>
    <x v="0"/>
    <x v="11"/>
    <x v="7"/>
    <x v="0"/>
    <x v="0"/>
    <x v="1"/>
    <x v="555"/>
    <x v="430"/>
    <x v="559"/>
  </r>
  <r>
    <n v="85203"/>
    <x v="0"/>
    <x v="7"/>
    <x v="0"/>
    <x v="0"/>
    <x v="0"/>
    <x v="0"/>
    <x v="556"/>
    <x v="431"/>
    <x v="560"/>
  </r>
  <r>
    <n v="224455"/>
    <x v="1"/>
    <x v="0"/>
    <x v="9"/>
    <x v="0"/>
    <x v="0"/>
    <x v="0"/>
    <x v="557"/>
    <x v="2"/>
    <x v="561"/>
  </r>
  <r>
    <n v="21467"/>
    <x v="1"/>
    <x v="0"/>
    <x v="0"/>
    <x v="0"/>
    <x v="0"/>
    <x v="0"/>
    <x v="558"/>
    <x v="432"/>
    <x v="562"/>
  </r>
  <r>
    <n v="243829"/>
    <x v="0"/>
    <x v="4"/>
    <x v="3"/>
    <x v="1"/>
    <x v="0"/>
    <x v="1"/>
    <x v="559"/>
    <x v="403"/>
    <x v="563"/>
  </r>
  <r>
    <n v="144949"/>
    <x v="1"/>
    <x v="3"/>
    <x v="8"/>
    <x v="1"/>
    <x v="0"/>
    <x v="1"/>
    <x v="560"/>
    <x v="433"/>
    <x v="564"/>
  </r>
  <r>
    <n v="235712"/>
    <x v="1"/>
    <x v="1"/>
    <x v="8"/>
    <x v="1"/>
    <x v="0"/>
    <x v="0"/>
    <x v="561"/>
    <x v="245"/>
    <x v="565"/>
  </r>
  <r>
    <n v="147336"/>
    <x v="1"/>
    <x v="4"/>
    <x v="1"/>
    <x v="0"/>
    <x v="0"/>
    <x v="1"/>
    <x v="562"/>
    <x v="434"/>
    <x v="566"/>
  </r>
  <r>
    <n v="121735"/>
    <x v="1"/>
    <x v="0"/>
    <x v="8"/>
    <x v="0"/>
    <x v="0"/>
    <x v="0"/>
    <x v="563"/>
    <x v="435"/>
    <x v="567"/>
  </r>
  <r>
    <n v="212466"/>
    <x v="1"/>
    <x v="7"/>
    <x v="4"/>
    <x v="0"/>
    <x v="1"/>
    <x v="0"/>
    <x v="564"/>
    <x v="436"/>
    <x v="568"/>
  </r>
  <r>
    <n v="254634"/>
    <x v="0"/>
    <x v="4"/>
    <x v="6"/>
    <x v="1"/>
    <x v="0"/>
    <x v="1"/>
    <x v="565"/>
    <x v="437"/>
    <x v="569"/>
  </r>
  <r>
    <n v="122603"/>
    <x v="0"/>
    <x v="4"/>
    <x v="3"/>
    <x v="1"/>
    <x v="0"/>
    <x v="0"/>
    <x v="566"/>
    <x v="438"/>
    <x v="570"/>
  </r>
  <r>
    <n v="243100"/>
    <x v="1"/>
    <x v="8"/>
    <x v="0"/>
    <x v="0"/>
    <x v="0"/>
    <x v="0"/>
    <x v="567"/>
    <x v="439"/>
    <x v="571"/>
  </r>
  <r>
    <n v="61103"/>
    <x v="0"/>
    <x v="5"/>
    <x v="0"/>
    <x v="0"/>
    <x v="0"/>
    <x v="0"/>
    <x v="568"/>
    <x v="440"/>
    <x v="572"/>
  </r>
  <r>
    <n v="205433"/>
    <x v="0"/>
    <x v="7"/>
    <x v="1"/>
    <x v="0"/>
    <x v="0"/>
    <x v="0"/>
    <x v="569"/>
    <x v="441"/>
    <x v="573"/>
  </r>
  <r>
    <n v="201186"/>
    <x v="0"/>
    <x v="10"/>
    <x v="1"/>
    <x v="1"/>
    <x v="0"/>
    <x v="0"/>
    <x v="570"/>
    <x v="442"/>
    <x v="574"/>
  </r>
  <r>
    <n v="193407"/>
    <x v="0"/>
    <x v="7"/>
    <x v="5"/>
    <x v="0"/>
    <x v="0"/>
    <x v="1"/>
    <x v="571"/>
    <x v="443"/>
    <x v="575"/>
  </r>
  <r>
    <n v="1849"/>
    <x v="0"/>
    <x v="11"/>
    <x v="3"/>
    <x v="0"/>
    <x v="0"/>
    <x v="0"/>
    <x v="572"/>
    <x v="444"/>
    <x v="576"/>
  </r>
  <r>
    <n v="29995"/>
    <x v="1"/>
    <x v="8"/>
    <x v="8"/>
    <x v="0"/>
    <x v="0"/>
    <x v="0"/>
    <x v="573"/>
    <x v="445"/>
    <x v="577"/>
  </r>
  <r>
    <n v="167309"/>
    <x v="1"/>
    <x v="3"/>
    <x v="8"/>
    <x v="0"/>
    <x v="0"/>
    <x v="0"/>
    <x v="574"/>
    <x v="446"/>
    <x v="578"/>
  </r>
  <r>
    <n v="184813"/>
    <x v="0"/>
    <x v="7"/>
    <x v="7"/>
    <x v="1"/>
    <x v="0"/>
    <x v="0"/>
    <x v="575"/>
    <x v="447"/>
    <x v="579"/>
  </r>
  <r>
    <n v="169601"/>
    <x v="1"/>
    <x v="7"/>
    <x v="7"/>
    <x v="1"/>
    <x v="0"/>
    <x v="0"/>
    <x v="576"/>
    <x v="102"/>
    <x v="580"/>
  </r>
  <r>
    <n v="54095"/>
    <x v="1"/>
    <x v="8"/>
    <x v="8"/>
    <x v="0"/>
    <x v="0"/>
    <x v="0"/>
    <x v="577"/>
    <x v="448"/>
    <x v="581"/>
  </r>
  <r>
    <n v="169039"/>
    <x v="0"/>
    <x v="10"/>
    <x v="2"/>
    <x v="1"/>
    <x v="0"/>
    <x v="1"/>
    <x v="578"/>
    <x v="128"/>
    <x v="582"/>
  </r>
  <r>
    <n v="204571"/>
    <x v="1"/>
    <x v="7"/>
    <x v="6"/>
    <x v="1"/>
    <x v="0"/>
    <x v="1"/>
    <x v="579"/>
    <x v="449"/>
    <x v="583"/>
  </r>
  <r>
    <n v="60814"/>
    <x v="1"/>
    <x v="0"/>
    <x v="8"/>
    <x v="0"/>
    <x v="0"/>
    <x v="0"/>
    <x v="580"/>
    <x v="450"/>
    <x v="584"/>
  </r>
  <r>
    <n v="16942"/>
    <x v="1"/>
    <x v="2"/>
    <x v="7"/>
    <x v="0"/>
    <x v="0"/>
    <x v="0"/>
    <x v="581"/>
    <x v="2"/>
    <x v="585"/>
  </r>
  <r>
    <n v="7186"/>
    <x v="1"/>
    <x v="10"/>
    <x v="7"/>
    <x v="0"/>
    <x v="0"/>
    <x v="0"/>
    <x v="582"/>
    <x v="451"/>
    <x v="586"/>
  </r>
  <r>
    <n v="70782"/>
    <x v="1"/>
    <x v="8"/>
    <x v="7"/>
    <x v="0"/>
    <x v="0"/>
    <x v="0"/>
    <x v="583"/>
    <x v="2"/>
    <x v="587"/>
  </r>
  <r>
    <n v="215322"/>
    <x v="0"/>
    <x v="2"/>
    <x v="7"/>
    <x v="1"/>
    <x v="1"/>
    <x v="1"/>
    <x v="584"/>
    <x v="2"/>
    <x v="588"/>
  </r>
  <r>
    <n v="234306"/>
    <x v="1"/>
    <x v="4"/>
    <x v="6"/>
    <x v="1"/>
    <x v="1"/>
    <x v="0"/>
    <x v="585"/>
    <x v="452"/>
    <x v="589"/>
  </r>
  <r>
    <n v="96703"/>
    <x v="1"/>
    <x v="9"/>
    <x v="9"/>
    <x v="0"/>
    <x v="0"/>
    <x v="0"/>
    <x v="586"/>
    <x v="453"/>
    <x v="590"/>
  </r>
  <r>
    <n v="208085"/>
    <x v="0"/>
    <x v="10"/>
    <x v="7"/>
    <x v="1"/>
    <x v="1"/>
    <x v="1"/>
    <x v="587"/>
    <x v="2"/>
    <x v="591"/>
  </r>
  <r>
    <n v="16984"/>
    <x v="0"/>
    <x v="0"/>
    <x v="8"/>
    <x v="0"/>
    <x v="0"/>
    <x v="0"/>
    <x v="588"/>
    <x v="454"/>
    <x v="592"/>
  </r>
  <r>
    <n v="237682"/>
    <x v="0"/>
    <x v="4"/>
    <x v="3"/>
    <x v="1"/>
    <x v="0"/>
    <x v="1"/>
    <x v="589"/>
    <x v="455"/>
    <x v="593"/>
  </r>
  <r>
    <n v="216659"/>
    <x v="1"/>
    <x v="7"/>
    <x v="1"/>
    <x v="0"/>
    <x v="0"/>
    <x v="0"/>
    <x v="590"/>
    <x v="268"/>
    <x v="594"/>
  </r>
  <r>
    <n v="19279"/>
    <x v="0"/>
    <x v="0"/>
    <x v="3"/>
    <x v="0"/>
    <x v="0"/>
    <x v="1"/>
    <x v="591"/>
    <x v="456"/>
    <x v="595"/>
  </r>
  <r>
    <n v="133859"/>
    <x v="0"/>
    <x v="5"/>
    <x v="4"/>
    <x v="1"/>
    <x v="0"/>
    <x v="1"/>
    <x v="592"/>
    <x v="457"/>
    <x v="596"/>
  </r>
  <r>
    <n v="52974"/>
    <x v="0"/>
    <x v="3"/>
    <x v="0"/>
    <x v="1"/>
    <x v="0"/>
    <x v="0"/>
    <x v="593"/>
    <x v="458"/>
    <x v="597"/>
  </r>
  <r>
    <n v="44024"/>
    <x v="0"/>
    <x v="8"/>
    <x v="6"/>
    <x v="0"/>
    <x v="0"/>
    <x v="0"/>
    <x v="594"/>
    <x v="459"/>
    <x v="598"/>
  </r>
  <r>
    <n v="18299"/>
    <x v="1"/>
    <x v="0"/>
    <x v="1"/>
    <x v="0"/>
    <x v="1"/>
    <x v="0"/>
    <x v="595"/>
    <x v="460"/>
    <x v="599"/>
  </r>
  <r>
    <n v="195062"/>
    <x v="1"/>
    <x v="10"/>
    <x v="7"/>
    <x v="0"/>
    <x v="0"/>
    <x v="0"/>
    <x v="596"/>
    <x v="461"/>
    <x v="600"/>
  </r>
  <r>
    <n v="55242"/>
    <x v="0"/>
    <x v="8"/>
    <x v="6"/>
    <x v="0"/>
    <x v="0"/>
    <x v="0"/>
    <x v="597"/>
    <x v="462"/>
    <x v="601"/>
  </r>
  <r>
    <n v="129342"/>
    <x v="1"/>
    <x v="3"/>
    <x v="8"/>
    <x v="1"/>
    <x v="1"/>
    <x v="0"/>
    <x v="598"/>
    <x v="463"/>
    <x v="602"/>
  </r>
  <r>
    <n v="137262"/>
    <x v="0"/>
    <x v="3"/>
    <x v="6"/>
    <x v="1"/>
    <x v="0"/>
    <x v="0"/>
    <x v="599"/>
    <x v="464"/>
    <x v="603"/>
  </r>
  <r>
    <n v="127619"/>
    <x v="0"/>
    <x v="3"/>
    <x v="6"/>
    <x v="0"/>
    <x v="0"/>
    <x v="0"/>
    <x v="600"/>
    <x v="465"/>
    <x v="604"/>
  </r>
  <r>
    <n v="172619"/>
    <x v="0"/>
    <x v="6"/>
    <x v="9"/>
    <x v="1"/>
    <x v="0"/>
    <x v="1"/>
    <x v="601"/>
    <x v="2"/>
    <x v="605"/>
  </r>
  <r>
    <n v="121225"/>
    <x v="1"/>
    <x v="8"/>
    <x v="7"/>
    <x v="0"/>
    <x v="0"/>
    <x v="1"/>
    <x v="602"/>
    <x v="466"/>
    <x v="606"/>
  </r>
  <r>
    <n v="28463"/>
    <x v="0"/>
    <x v="0"/>
    <x v="0"/>
    <x v="0"/>
    <x v="0"/>
    <x v="0"/>
    <x v="603"/>
    <x v="467"/>
    <x v="607"/>
  </r>
  <r>
    <n v="63865"/>
    <x v="1"/>
    <x v="5"/>
    <x v="7"/>
    <x v="0"/>
    <x v="0"/>
    <x v="0"/>
    <x v="604"/>
    <x v="2"/>
    <x v="608"/>
  </r>
  <r>
    <n v="187357"/>
    <x v="0"/>
    <x v="2"/>
    <x v="7"/>
    <x v="1"/>
    <x v="1"/>
    <x v="1"/>
    <x v="605"/>
    <x v="468"/>
    <x v="609"/>
  </r>
  <r>
    <n v="55997"/>
    <x v="0"/>
    <x v="8"/>
    <x v="0"/>
    <x v="0"/>
    <x v="0"/>
    <x v="0"/>
    <x v="606"/>
    <x v="469"/>
    <x v="610"/>
  </r>
  <r>
    <n v="112043"/>
    <x v="0"/>
    <x v="3"/>
    <x v="7"/>
    <x v="1"/>
    <x v="0"/>
    <x v="1"/>
    <x v="607"/>
    <x v="2"/>
    <x v="611"/>
  </r>
  <r>
    <n v="176713"/>
    <x v="1"/>
    <x v="4"/>
    <x v="7"/>
    <x v="0"/>
    <x v="0"/>
    <x v="0"/>
    <x v="608"/>
    <x v="2"/>
    <x v="612"/>
  </r>
  <r>
    <n v="55269"/>
    <x v="0"/>
    <x v="8"/>
    <x v="5"/>
    <x v="1"/>
    <x v="0"/>
    <x v="0"/>
    <x v="609"/>
    <x v="429"/>
    <x v="613"/>
  </r>
  <r>
    <n v="115766"/>
    <x v="0"/>
    <x v="3"/>
    <x v="7"/>
    <x v="0"/>
    <x v="0"/>
    <x v="1"/>
    <x v="610"/>
    <x v="470"/>
    <x v="614"/>
  </r>
  <r>
    <n v="129079"/>
    <x v="0"/>
    <x v="3"/>
    <x v="4"/>
    <x v="0"/>
    <x v="1"/>
    <x v="1"/>
    <x v="611"/>
    <x v="109"/>
    <x v="615"/>
  </r>
  <r>
    <n v="35054"/>
    <x v="0"/>
    <x v="8"/>
    <x v="0"/>
    <x v="0"/>
    <x v="0"/>
    <x v="0"/>
    <x v="612"/>
    <x v="471"/>
    <x v="616"/>
  </r>
  <r>
    <n v="211834"/>
    <x v="1"/>
    <x v="7"/>
    <x v="1"/>
    <x v="0"/>
    <x v="0"/>
    <x v="0"/>
    <x v="613"/>
    <x v="472"/>
    <x v="617"/>
  </r>
  <r>
    <n v="121434"/>
    <x v="1"/>
    <x v="3"/>
    <x v="6"/>
    <x v="0"/>
    <x v="0"/>
    <x v="1"/>
    <x v="614"/>
    <x v="473"/>
    <x v="618"/>
  </r>
  <r>
    <n v="198184"/>
    <x v="1"/>
    <x v="2"/>
    <x v="7"/>
    <x v="1"/>
    <x v="1"/>
    <x v="1"/>
    <x v="615"/>
    <x v="2"/>
    <x v="619"/>
  </r>
  <r>
    <n v="33356"/>
    <x v="1"/>
    <x v="8"/>
    <x v="6"/>
    <x v="0"/>
    <x v="0"/>
    <x v="0"/>
    <x v="616"/>
    <x v="474"/>
    <x v="620"/>
  </r>
  <r>
    <n v="146947"/>
    <x v="0"/>
    <x v="4"/>
    <x v="3"/>
    <x v="1"/>
    <x v="0"/>
    <x v="1"/>
    <x v="617"/>
    <x v="475"/>
    <x v="621"/>
  </r>
  <r>
    <n v="252868"/>
    <x v="0"/>
    <x v="5"/>
    <x v="6"/>
    <x v="0"/>
    <x v="0"/>
    <x v="0"/>
    <x v="618"/>
    <x v="381"/>
    <x v="622"/>
  </r>
  <r>
    <n v="64907"/>
    <x v="1"/>
    <x v="8"/>
    <x v="7"/>
    <x v="0"/>
    <x v="0"/>
    <x v="1"/>
    <x v="619"/>
    <x v="2"/>
    <x v="623"/>
  </r>
  <r>
    <n v="122922"/>
    <x v="0"/>
    <x v="3"/>
    <x v="0"/>
    <x v="1"/>
    <x v="0"/>
    <x v="0"/>
    <x v="620"/>
    <x v="476"/>
    <x v="624"/>
  </r>
  <r>
    <n v="253796"/>
    <x v="0"/>
    <x v="6"/>
    <x v="6"/>
    <x v="1"/>
    <x v="0"/>
    <x v="0"/>
    <x v="621"/>
    <x v="2"/>
    <x v="625"/>
  </r>
  <r>
    <n v="75102"/>
    <x v="1"/>
    <x v="5"/>
    <x v="8"/>
    <x v="0"/>
    <x v="0"/>
    <x v="0"/>
    <x v="622"/>
    <x v="477"/>
    <x v="626"/>
  </r>
  <r>
    <n v="36699"/>
    <x v="0"/>
    <x v="0"/>
    <x v="9"/>
    <x v="0"/>
    <x v="0"/>
    <x v="0"/>
    <x v="623"/>
    <x v="478"/>
    <x v="627"/>
  </r>
  <r>
    <n v="52470"/>
    <x v="1"/>
    <x v="8"/>
    <x v="8"/>
    <x v="0"/>
    <x v="0"/>
    <x v="0"/>
    <x v="624"/>
    <x v="479"/>
    <x v="628"/>
  </r>
  <r>
    <n v="232596"/>
    <x v="1"/>
    <x v="8"/>
    <x v="8"/>
    <x v="0"/>
    <x v="0"/>
    <x v="0"/>
    <x v="625"/>
    <x v="390"/>
    <x v="629"/>
  </r>
  <r>
    <n v="41510"/>
    <x v="1"/>
    <x v="9"/>
    <x v="6"/>
    <x v="1"/>
    <x v="0"/>
    <x v="1"/>
    <x v="626"/>
    <x v="480"/>
    <x v="630"/>
  </r>
  <r>
    <n v="191551"/>
    <x v="1"/>
    <x v="10"/>
    <x v="7"/>
    <x v="0"/>
    <x v="0"/>
    <x v="0"/>
    <x v="627"/>
    <x v="481"/>
    <x v="631"/>
  </r>
  <r>
    <n v="186536"/>
    <x v="0"/>
    <x v="9"/>
    <x v="7"/>
    <x v="0"/>
    <x v="0"/>
    <x v="0"/>
    <x v="628"/>
    <x v="482"/>
    <x v="632"/>
  </r>
  <r>
    <n v="111889"/>
    <x v="1"/>
    <x v="3"/>
    <x v="1"/>
    <x v="0"/>
    <x v="0"/>
    <x v="1"/>
    <x v="629"/>
    <x v="483"/>
    <x v="633"/>
  </r>
  <r>
    <n v="32273"/>
    <x v="1"/>
    <x v="8"/>
    <x v="0"/>
    <x v="1"/>
    <x v="0"/>
    <x v="1"/>
    <x v="630"/>
    <x v="484"/>
    <x v="634"/>
  </r>
  <r>
    <n v="37949"/>
    <x v="1"/>
    <x v="8"/>
    <x v="6"/>
    <x v="0"/>
    <x v="0"/>
    <x v="0"/>
    <x v="631"/>
    <x v="485"/>
    <x v="635"/>
  </r>
  <r>
    <n v="197972"/>
    <x v="1"/>
    <x v="10"/>
    <x v="6"/>
    <x v="0"/>
    <x v="0"/>
    <x v="0"/>
    <x v="632"/>
    <x v="486"/>
    <x v="636"/>
  </r>
  <r>
    <n v="90415"/>
    <x v="0"/>
    <x v="2"/>
    <x v="7"/>
    <x v="1"/>
    <x v="1"/>
    <x v="1"/>
    <x v="633"/>
    <x v="2"/>
    <x v="637"/>
  </r>
  <r>
    <n v="189845"/>
    <x v="0"/>
    <x v="9"/>
    <x v="7"/>
    <x v="0"/>
    <x v="0"/>
    <x v="0"/>
    <x v="634"/>
    <x v="487"/>
    <x v="638"/>
  </r>
  <r>
    <n v="173099"/>
    <x v="1"/>
    <x v="5"/>
    <x v="6"/>
    <x v="1"/>
    <x v="0"/>
    <x v="1"/>
    <x v="635"/>
    <x v="488"/>
    <x v="639"/>
  </r>
  <r>
    <n v="246530"/>
    <x v="0"/>
    <x v="4"/>
    <x v="0"/>
    <x v="1"/>
    <x v="1"/>
    <x v="1"/>
    <x v="636"/>
    <x v="391"/>
    <x v="640"/>
  </r>
  <r>
    <n v="95275"/>
    <x v="1"/>
    <x v="2"/>
    <x v="2"/>
    <x v="0"/>
    <x v="0"/>
    <x v="1"/>
    <x v="637"/>
    <x v="489"/>
    <x v="641"/>
  </r>
  <r>
    <n v="235464"/>
    <x v="1"/>
    <x v="1"/>
    <x v="2"/>
    <x v="1"/>
    <x v="0"/>
    <x v="1"/>
    <x v="638"/>
    <x v="490"/>
    <x v="642"/>
  </r>
  <r>
    <n v="172726"/>
    <x v="0"/>
    <x v="1"/>
    <x v="9"/>
    <x v="1"/>
    <x v="0"/>
    <x v="1"/>
    <x v="639"/>
    <x v="2"/>
    <x v="643"/>
  </r>
  <r>
    <n v="107317"/>
    <x v="1"/>
    <x v="3"/>
    <x v="8"/>
    <x v="0"/>
    <x v="0"/>
    <x v="0"/>
    <x v="640"/>
    <x v="147"/>
    <x v="644"/>
  </r>
  <r>
    <n v="209852"/>
    <x v="1"/>
    <x v="9"/>
    <x v="6"/>
    <x v="1"/>
    <x v="0"/>
    <x v="0"/>
    <x v="641"/>
    <x v="491"/>
    <x v="645"/>
  </r>
  <r>
    <n v="250962"/>
    <x v="0"/>
    <x v="5"/>
    <x v="7"/>
    <x v="0"/>
    <x v="0"/>
    <x v="0"/>
    <x v="642"/>
    <x v="2"/>
    <x v="646"/>
  </r>
  <r>
    <n v="157053"/>
    <x v="1"/>
    <x v="4"/>
    <x v="6"/>
    <x v="0"/>
    <x v="1"/>
    <x v="0"/>
    <x v="643"/>
    <x v="492"/>
    <x v="647"/>
  </r>
  <r>
    <n v="170523"/>
    <x v="1"/>
    <x v="1"/>
    <x v="9"/>
    <x v="1"/>
    <x v="0"/>
    <x v="0"/>
    <x v="644"/>
    <x v="493"/>
    <x v="648"/>
  </r>
  <r>
    <n v="226101"/>
    <x v="1"/>
    <x v="4"/>
    <x v="1"/>
    <x v="0"/>
    <x v="0"/>
    <x v="0"/>
    <x v="645"/>
    <x v="494"/>
    <x v="649"/>
  </r>
  <r>
    <n v="62139"/>
    <x v="1"/>
    <x v="5"/>
    <x v="8"/>
    <x v="1"/>
    <x v="0"/>
    <x v="1"/>
    <x v="646"/>
    <x v="495"/>
    <x v="650"/>
  </r>
  <r>
    <n v="223791"/>
    <x v="0"/>
    <x v="8"/>
    <x v="5"/>
    <x v="0"/>
    <x v="1"/>
    <x v="0"/>
    <x v="647"/>
    <x v="2"/>
    <x v="651"/>
  </r>
  <r>
    <n v="253327"/>
    <x v="1"/>
    <x v="4"/>
    <x v="6"/>
    <x v="0"/>
    <x v="1"/>
    <x v="1"/>
    <x v="648"/>
    <x v="496"/>
    <x v="652"/>
  </r>
  <r>
    <n v="78798"/>
    <x v="0"/>
    <x v="2"/>
    <x v="5"/>
    <x v="0"/>
    <x v="0"/>
    <x v="0"/>
    <x v="649"/>
    <x v="497"/>
    <x v="653"/>
  </r>
  <r>
    <n v="91400"/>
    <x v="1"/>
    <x v="11"/>
    <x v="8"/>
    <x v="0"/>
    <x v="0"/>
    <x v="0"/>
    <x v="650"/>
    <x v="122"/>
    <x v="654"/>
  </r>
  <r>
    <n v="22571"/>
    <x v="1"/>
    <x v="8"/>
    <x v="0"/>
    <x v="1"/>
    <x v="1"/>
    <x v="0"/>
    <x v="651"/>
    <x v="498"/>
    <x v="655"/>
  </r>
  <r>
    <n v="110246"/>
    <x v="1"/>
    <x v="7"/>
    <x v="9"/>
    <x v="0"/>
    <x v="0"/>
    <x v="1"/>
    <x v="652"/>
    <x v="499"/>
    <x v="656"/>
  </r>
  <r>
    <n v="243356"/>
    <x v="1"/>
    <x v="9"/>
    <x v="7"/>
    <x v="1"/>
    <x v="0"/>
    <x v="1"/>
    <x v="653"/>
    <x v="500"/>
    <x v="657"/>
  </r>
  <r>
    <n v="131623"/>
    <x v="1"/>
    <x v="4"/>
    <x v="3"/>
    <x v="0"/>
    <x v="1"/>
    <x v="1"/>
    <x v="654"/>
    <x v="501"/>
    <x v="658"/>
  </r>
  <r>
    <n v="140627"/>
    <x v="0"/>
    <x v="1"/>
    <x v="5"/>
    <x v="1"/>
    <x v="0"/>
    <x v="1"/>
    <x v="655"/>
    <x v="502"/>
    <x v="659"/>
  </r>
  <r>
    <n v="254142"/>
    <x v="0"/>
    <x v="4"/>
    <x v="2"/>
    <x v="0"/>
    <x v="1"/>
    <x v="1"/>
    <x v="656"/>
    <x v="503"/>
    <x v="660"/>
  </r>
  <r>
    <n v="104734"/>
    <x v="1"/>
    <x v="5"/>
    <x v="7"/>
    <x v="0"/>
    <x v="0"/>
    <x v="1"/>
    <x v="657"/>
    <x v="2"/>
    <x v="661"/>
  </r>
  <r>
    <n v="184775"/>
    <x v="1"/>
    <x v="7"/>
    <x v="8"/>
    <x v="0"/>
    <x v="0"/>
    <x v="0"/>
    <x v="658"/>
    <x v="38"/>
    <x v="662"/>
  </r>
  <r>
    <n v="181468"/>
    <x v="0"/>
    <x v="2"/>
    <x v="2"/>
    <x v="1"/>
    <x v="0"/>
    <x v="0"/>
    <x v="659"/>
    <x v="504"/>
    <x v="663"/>
  </r>
  <r>
    <n v="88841"/>
    <x v="0"/>
    <x v="10"/>
    <x v="7"/>
    <x v="0"/>
    <x v="0"/>
    <x v="0"/>
    <x v="607"/>
    <x v="2"/>
    <x v="611"/>
  </r>
  <r>
    <n v="227145"/>
    <x v="0"/>
    <x v="1"/>
    <x v="4"/>
    <x v="1"/>
    <x v="1"/>
    <x v="1"/>
    <x v="660"/>
    <x v="505"/>
    <x v="664"/>
  </r>
  <r>
    <n v="199532"/>
    <x v="0"/>
    <x v="11"/>
    <x v="3"/>
    <x v="0"/>
    <x v="0"/>
    <x v="0"/>
    <x v="661"/>
    <x v="301"/>
    <x v="665"/>
  </r>
  <r>
    <n v="23643"/>
    <x v="0"/>
    <x v="0"/>
    <x v="7"/>
    <x v="0"/>
    <x v="0"/>
    <x v="0"/>
    <x v="662"/>
    <x v="506"/>
    <x v="666"/>
  </r>
  <r>
    <n v="31299"/>
    <x v="1"/>
    <x v="2"/>
    <x v="7"/>
    <x v="1"/>
    <x v="1"/>
    <x v="1"/>
    <x v="663"/>
    <x v="2"/>
    <x v="667"/>
  </r>
  <r>
    <n v="234031"/>
    <x v="1"/>
    <x v="1"/>
    <x v="9"/>
    <x v="0"/>
    <x v="0"/>
    <x v="1"/>
    <x v="664"/>
    <x v="507"/>
    <x v="668"/>
  </r>
  <r>
    <n v="163500"/>
    <x v="1"/>
    <x v="5"/>
    <x v="2"/>
    <x v="1"/>
    <x v="0"/>
    <x v="1"/>
    <x v="665"/>
    <x v="508"/>
    <x v="669"/>
  </r>
  <r>
    <n v="179672"/>
    <x v="1"/>
    <x v="6"/>
    <x v="1"/>
    <x v="1"/>
    <x v="0"/>
    <x v="1"/>
    <x v="10"/>
    <x v="60"/>
    <x v="670"/>
  </r>
  <r>
    <n v="200015"/>
    <x v="0"/>
    <x v="9"/>
    <x v="0"/>
    <x v="0"/>
    <x v="1"/>
    <x v="0"/>
    <x v="666"/>
    <x v="509"/>
    <x v="671"/>
  </r>
  <r>
    <n v="29681"/>
    <x v="1"/>
    <x v="0"/>
    <x v="7"/>
    <x v="0"/>
    <x v="0"/>
    <x v="0"/>
    <x v="667"/>
    <x v="185"/>
    <x v="672"/>
  </r>
  <r>
    <n v="100138"/>
    <x v="1"/>
    <x v="0"/>
    <x v="6"/>
    <x v="0"/>
    <x v="0"/>
    <x v="0"/>
    <x v="114"/>
    <x v="510"/>
    <x v="673"/>
  </r>
  <r>
    <n v="183256"/>
    <x v="0"/>
    <x v="2"/>
    <x v="7"/>
    <x v="0"/>
    <x v="0"/>
    <x v="0"/>
    <x v="668"/>
    <x v="2"/>
    <x v="674"/>
  </r>
  <r>
    <n v="215528"/>
    <x v="0"/>
    <x v="11"/>
    <x v="6"/>
    <x v="0"/>
    <x v="0"/>
    <x v="0"/>
    <x v="669"/>
    <x v="60"/>
    <x v="675"/>
  </r>
  <r>
    <n v="255425"/>
    <x v="0"/>
    <x v="1"/>
    <x v="2"/>
    <x v="1"/>
    <x v="0"/>
    <x v="1"/>
    <x v="670"/>
    <x v="511"/>
    <x v="676"/>
  </r>
  <r>
    <n v="90196"/>
    <x v="0"/>
    <x v="9"/>
    <x v="6"/>
    <x v="0"/>
    <x v="0"/>
    <x v="0"/>
    <x v="671"/>
    <x v="512"/>
    <x v="677"/>
  </r>
  <r>
    <n v="50413"/>
    <x v="1"/>
    <x v="8"/>
    <x v="6"/>
    <x v="0"/>
    <x v="0"/>
    <x v="0"/>
    <x v="672"/>
    <x v="513"/>
    <x v="678"/>
  </r>
  <r>
    <n v="210414"/>
    <x v="0"/>
    <x v="9"/>
    <x v="5"/>
    <x v="1"/>
    <x v="0"/>
    <x v="0"/>
    <x v="673"/>
    <x v="471"/>
    <x v="679"/>
  </r>
  <r>
    <n v="93194"/>
    <x v="0"/>
    <x v="2"/>
    <x v="2"/>
    <x v="0"/>
    <x v="0"/>
    <x v="0"/>
    <x v="674"/>
    <x v="514"/>
    <x v="680"/>
  </r>
  <r>
    <n v="200380"/>
    <x v="0"/>
    <x v="9"/>
    <x v="6"/>
    <x v="0"/>
    <x v="0"/>
    <x v="0"/>
    <x v="675"/>
    <x v="515"/>
    <x v="681"/>
  </r>
  <r>
    <n v="9396"/>
    <x v="0"/>
    <x v="2"/>
    <x v="7"/>
    <x v="0"/>
    <x v="0"/>
    <x v="0"/>
    <x v="676"/>
    <x v="445"/>
    <x v="682"/>
  </r>
  <r>
    <n v="32871"/>
    <x v="0"/>
    <x v="8"/>
    <x v="6"/>
    <x v="1"/>
    <x v="0"/>
    <x v="1"/>
    <x v="677"/>
    <x v="516"/>
    <x v="683"/>
  </r>
  <r>
    <n v="199881"/>
    <x v="0"/>
    <x v="9"/>
    <x v="9"/>
    <x v="0"/>
    <x v="0"/>
    <x v="0"/>
    <x v="678"/>
    <x v="517"/>
    <x v="684"/>
  </r>
  <r>
    <n v="252786"/>
    <x v="1"/>
    <x v="1"/>
    <x v="7"/>
    <x v="0"/>
    <x v="0"/>
    <x v="1"/>
    <x v="679"/>
    <x v="2"/>
    <x v="685"/>
  </r>
  <r>
    <n v="82555"/>
    <x v="1"/>
    <x v="7"/>
    <x v="1"/>
    <x v="1"/>
    <x v="1"/>
    <x v="1"/>
    <x v="680"/>
    <x v="518"/>
    <x v="686"/>
  </r>
  <r>
    <n v="7284"/>
    <x v="1"/>
    <x v="10"/>
    <x v="7"/>
    <x v="1"/>
    <x v="1"/>
    <x v="1"/>
    <x v="681"/>
    <x v="2"/>
    <x v="687"/>
  </r>
  <r>
    <n v="151875"/>
    <x v="0"/>
    <x v="3"/>
    <x v="4"/>
    <x v="0"/>
    <x v="1"/>
    <x v="1"/>
    <x v="682"/>
    <x v="519"/>
    <x v="688"/>
  </r>
  <r>
    <n v="89513"/>
    <x v="0"/>
    <x v="10"/>
    <x v="7"/>
    <x v="1"/>
    <x v="1"/>
    <x v="1"/>
    <x v="683"/>
    <x v="2"/>
    <x v="422"/>
  </r>
  <r>
    <n v="235265"/>
    <x v="0"/>
    <x v="1"/>
    <x v="3"/>
    <x v="0"/>
    <x v="0"/>
    <x v="0"/>
    <x v="684"/>
    <x v="520"/>
    <x v="689"/>
  </r>
  <r>
    <n v="161513"/>
    <x v="0"/>
    <x v="4"/>
    <x v="6"/>
    <x v="0"/>
    <x v="1"/>
    <x v="0"/>
    <x v="685"/>
    <x v="521"/>
    <x v="690"/>
  </r>
  <r>
    <n v="193943"/>
    <x v="1"/>
    <x v="0"/>
    <x v="8"/>
    <x v="1"/>
    <x v="1"/>
    <x v="0"/>
    <x v="686"/>
    <x v="522"/>
    <x v="691"/>
  </r>
  <r>
    <n v="147549"/>
    <x v="0"/>
    <x v="6"/>
    <x v="3"/>
    <x v="1"/>
    <x v="1"/>
    <x v="1"/>
    <x v="687"/>
    <x v="523"/>
    <x v="692"/>
  </r>
  <r>
    <n v="130304"/>
    <x v="1"/>
    <x v="3"/>
    <x v="9"/>
    <x v="1"/>
    <x v="0"/>
    <x v="1"/>
    <x v="688"/>
    <x v="524"/>
    <x v="693"/>
  </r>
  <r>
    <n v="24753"/>
    <x v="0"/>
    <x v="0"/>
    <x v="3"/>
    <x v="0"/>
    <x v="0"/>
    <x v="0"/>
    <x v="689"/>
    <x v="525"/>
    <x v="694"/>
  </r>
  <r>
    <n v="112634"/>
    <x v="0"/>
    <x v="5"/>
    <x v="3"/>
    <x v="0"/>
    <x v="0"/>
    <x v="1"/>
    <x v="690"/>
    <x v="526"/>
    <x v="695"/>
  </r>
  <r>
    <n v="244553"/>
    <x v="1"/>
    <x v="1"/>
    <x v="0"/>
    <x v="1"/>
    <x v="0"/>
    <x v="1"/>
    <x v="691"/>
    <x v="190"/>
    <x v="696"/>
  </r>
  <r>
    <n v="39252"/>
    <x v="1"/>
    <x v="9"/>
    <x v="8"/>
    <x v="0"/>
    <x v="1"/>
    <x v="0"/>
    <x v="692"/>
    <x v="527"/>
    <x v="697"/>
  </r>
  <r>
    <n v="36295"/>
    <x v="1"/>
    <x v="0"/>
    <x v="8"/>
    <x v="0"/>
    <x v="0"/>
    <x v="1"/>
    <x v="693"/>
    <x v="528"/>
    <x v="698"/>
  </r>
  <r>
    <n v="5787"/>
    <x v="0"/>
    <x v="10"/>
    <x v="0"/>
    <x v="0"/>
    <x v="0"/>
    <x v="0"/>
    <x v="694"/>
    <x v="529"/>
    <x v="699"/>
  </r>
  <r>
    <n v="24663"/>
    <x v="0"/>
    <x v="0"/>
    <x v="4"/>
    <x v="0"/>
    <x v="0"/>
    <x v="1"/>
    <x v="695"/>
    <x v="530"/>
    <x v="700"/>
  </r>
  <r>
    <n v="62368"/>
    <x v="1"/>
    <x v="10"/>
    <x v="7"/>
    <x v="0"/>
    <x v="0"/>
    <x v="0"/>
    <x v="696"/>
    <x v="531"/>
    <x v="701"/>
  </r>
  <r>
    <n v="49875"/>
    <x v="0"/>
    <x v="8"/>
    <x v="6"/>
    <x v="0"/>
    <x v="0"/>
    <x v="0"/>
    <x v="697"/>
    <x v="532"/>
    <x v="702"/>
  </r>
  <r>
    <n v="235271"/>
    <x v="0"/>
    <x v="1"/>
    <x v="2"/>
    <x v="0"/>
    <x v="0"/>
    <x v="1"/>
    <x v="698"/>
    <x v="533"/>
    <x v="703"/>
  </r>
  <r>
    <n v="229718"/>
    <x v="0"/>
    <x v="4"/>
    <x v="5"/>
    <x v="0"/>
    <x v="0"/>
    <x v="0"/>
    <x v="699"/>
    <x v="534"/>
    <x v="704"/>
  </r>
  <r>
    <n v="249239"/>
    <x v="0"/>
    <x v="1"/>
    <x v="8"/>
    <x v="1"/>
    <x v="1"/>
    <x v="0"/>
    <x v="700"/>
    <x v="2"/>
    <x v="705"/>
  </r>
  <r>
    <n v="238766"/>
    <x v="0"/>
    <x v="1"/>
    <x v="3"/>
    <x v="1"/>
    <x v="0"/>
    <x v="1"/>
    <x v="701"/>
    <x v="1"/>
    <x v="706"/>
  </r>
  <r>
    <n v="6340"/>
    <x v="0"/>
    <x v="11"/>
    <x v="8"/>
    <x v="0"/>
    <x v="0"/>
    <x v="0"/>
    <x v="702"/>
    <x v="535"/>
    <x v="707"/>
  </r>
  <r>
    <n v="151973"/>
    <x v="1"/>
    <x v="3"/>
    <x v="6"/>
    <x v="0"/>
    <x v="0"/>
    <x v="0"/>
    <x v="703"/>
    <x v="536"/>
    <x v="708"/>
  </r>
  <r>
    <n v="141007"/>
    <x v="0"/>
    <x v="1"/>
    <x v="1"/>
    <x v="1"/>
    <x v="0"/>
    <x v="1"/>
    <x v="704"/>
    <x v="537"/>
    <x v="709"/>
  </r>
  <r>
    <n v="154205"/>
    <x v="0"/>
    <x v="3"/>
    <x v="6"/>
    <x v="0"/>
    <x v="1"/>
    <x v="0"/>
    <x v="705"/>
    <x v="538"/>
    <x v="710"/>
  </r>
  <r>
    <n v="15878"/>
    <x v="0"/>
    <x v="0"/>
    <x v="6"/>
    <x v="0"/>
    <x v="0"/>
    <x v="0"/>
    <x v="706"/>
    <x v="539"/>
    <x v="711"/>
  </r>
  <r>
    <n v="159237"/>
    <x v="1"/>
    <x v="7"/>
    <x v="5"/>
    <x v="1"/>
    <x v="0"/>
    <x v="1"/>
    <x v="707"/>
    <x v="540"/>
    <x v="712"/>
  </r>
  <r>
    <n v="125591"/>
    <x v="1"/>
    <x v="1"/>
    <x v="8"/>
    <x v="1"/>
    <x v="1"/>
    <x v="1"/>
    <x v="708"/>
    <x v="541"/>
    <x v="713"/>
  </r>
  <r>
    <n v="17386"/>
    <x v="1"/>
    <x v="7"/>
    <x v="9"/>
    <x v="0"/>
    <x v="0"/>
    <x v="0"/>
    <x v="709"/>
    <x v="542"/>
    <x v="714"/>
  </r>
  <r>
    <n v="27609"/>
    <x v="0"/>
    <x v="0"/>
    <x v="3"/>
    <x v="1"/>
    <x v="0"/>
    <x v="1"/>
    <x v="710"/>
    <x v="543"/>
    <x v="715"/>
  </r>
  <r>
    <n v="176077"/>
    <x v="0"/>
    <x v="3"/>
    <x v="0"/>
    <x v="1"/>
    <x v="0"/>
    <x v="0"/>
    <x v="711"/>
    <x v="544"/>
    <x v="716"/>
  </r>
  <r>
    <n v="251449"/>
    <x v="0"/>
    <x v="1"/>
    <x v="5"/>
    <x v="1"/>
    <x v="1"/>
    <x v="1"/>
    <x v="712"/>
    <x v="466"/>
    <x v="717"/>
  </r>
  <r>
    <n v="71684"/>
    <x v="1"/>
    <x v="0"/>
    <x v="8"/>
    <x v="0"/>
    <x v="1"/>
    <x v="0"/>
    <x v="713"/>
    <x v="545"/>
    <x v="718"/>
  </r>
  <r>
    <n v="213900"/>
    <x v="0"/>
    <x v="0"/>
    <x v="3"/>
    <x v="0"/>
    <x v="0"/>
    <x v="0"/>
    <x v="714"/>
    <x v="546"/>
    <x v="719"/>
  </r>
  <r>
    <n v="63932"/>
    <x v="0"/>
    <x v="5"/>
    <x v="5"/>
    <x v="0"/>
    <x v="0"/>
    <x v="0"/>
    <x v="715"/>
    <x v="547"/>
    <x v="720"/>
  </r>
  <r>
    <n v="199294"/>
    <x v="1"/>
    <x v="11"/>
    <x v="7"/>
    <x v="0"/>
    <x v="0"/>
    <x v="0"/>
    <x v="716"/>
    <x v="548"/>
    <x v="721"/>
  </r>
  <r>
    <n v="72731"/>
    <x v="0"/>
    <x v="5"/>
    <x v="3"/>
    <x v="0"/>
    <x v="0"/>
    <x v="1"/>
    <x v="717"/>
    <x v="549"/>
    <x v="722"/>
  </r>
  <r>
    <n v="99834"/>
    <x v="1"/>
    <x v="7"/>
    <x v="9"/>
    <x v="1"/>
    <x v="0"/>
    <x v="1"/>
    <x v="718"/>
    <x v="550"/>
    <x v="723"/>
  </r>
  <r>
    <n v="161786"/>
    <x v="1"/>
    <x v="4"/>
    <x v="6"/>
    <x v="0"/>
    <x v="0"/>
    <x v="1"/>
    <x v="719"/>
    <x v="551"/>
    <x v="724"/>
  </r>
  <r>
    <n v="95259"/>
    <x v="1"/>
    <x v="10"/>
    <x v="8"/>
    <x v="0"/>
    <x v="0"/>
    <x v="0"/>
    <x v="720"/>
    <x v="196"/>
    <x v="725"/>
  </r>
  <r>
    <n v="178749"/>
    <x v="1"/>
    <x v="1"/>
    <x v="8"/>
    <x v="1"/>
    <x v="1"/>
    <x v="1"/>
    <x v="721"/>
    <x v="2"/>
    <x v="726"/>
  </r>
  <r>
    <n v="34593"/>
    <x v="0"/>
    <x v="8"/>
    <x v="6"/>
    <x v="0"/>
    <x v="1"/>
    <x v="0"/>
    <x v="722"/>
    <x v="552"/>
    <x v="727"/>
  </r>
  <r>
    <n v="97724"/>
    <x v="1"/>
    <x v="7"/>
    <x v="9"/>
    <x v="0"/>
    <x v="0"/>
    <x v="1"/>
    <x v="723"/>
    <x v="0"/>
    <x v="728"/>
  </r>
  <r>
    <n v="95696"/>
    <x v="1"/>
    <x v="11"/>
    <x v="7"/>
    <x v="0"/>
    <x v="0"/>
    <x v="0"/>
    <x v="724"/>
    <x v="553"/>
    <x v="729"/>
  </r>
  <r>
    <n v="177538"/>
    <x v="1"/>
    <x v="4"/>
    <x v="6"/>
    <x v="1"/>
    <x v="1"/>
    <x v="0"/>
    <x v="725"/>
    <x v="2"/>
    <x v="730"/>
  </r>
  <r>
    <n v="115505"/>
    <x v="0"/>
    <x v="4"/>
    <x v="0"/>
    <x v="1"/>
    <x v="0"/>
    <x v="0"/>
    <x v="726"/>
    <x v="554"/>
    <x v="731"/>
  </r>
  <r>
    <n v="109731"/>
    <x v="1"/>
    <x v="8"/>
    <x v="4"/>
    <x v="0"/>
    <x v="0"/>
    <x v="1"/>
    <x v="727"/>
    <x v="2"/>
    <x v="732"/>
  </r>
  <r>
    <n v="171099"/>
    <x v="0"/>
    <x v="6"/>
    <x v="2"/>
    <x v="1"/>
    <x v="0"/>
    <x v="1"/>
    <x v="728"/>
    <x v="555"/>
    <x v="733"/>
  </r>
  <r>
    <n v="227196"/>
    <x v="0"/>
    <x v="4"/>
    <x v="4"/>
    <x v="1"/>
    <x v="1"/>
    <x v="1"/>
    <x v="729"/>
    <x v="2"/>
    <x v="734"/>
  </r>
  <r>
    <n v="2664"/>
    <x v="0"/>
    <x v="2"/>
    <x v="7"/>
    <x v="0"/>
    <x v="0"/>
    <x v="1"/>
    <x v="730"/>
    <x v="194"/>
    <x v="735"/>
  </r>
  <r>
    <n v="2057"/>
    <x v="1"/>
    <x v="11"/>
    <x v="8"/>
    <x v="1"/>
    <x v="0"/>
    <x v="0"/>
    <x v="731"/>
    <x v="556"/>
    <x v="736"/>
  </r>
  <r>
    <n v="100751"/>
    <x v="0"/>
    <x v="7"/>
    <x v="0"/>
    <x v="0"/>
    <x v="0"/>
    <x v="0"/>
    <x v="732"/>
    <x v="557"/>
    <x v="737"/>
  </r>
  <r>
    <n v="102449"/>
    <x v="1"/>
    <x v="7"/>
    <x v="0"/>
    <x v="0"/>
    <x v="0"/>
    <x v="0"/>
    <x v="733"/>
    <x v="558"/>
    <x v="738"/>
  </r>
  <r>
    <n v="183143"/>
    <x v="0"/>
    <x v="9"/>
    <x v="4"/>
    <x v="0"/>
    <x v="0"/>
    <x v="1"/>
    <x v="734"/>
    <x v="559"/>
    <x v="739"/>
  </r>
  <r>
    <n v="203773"/>
    <x v="1"/>
    <x v="9"/>
    <x v="0"/>
    <x v="0"/>
    <x v="0"/>
    <x v="0"/>
    <x v="735"/>
    <x v="155"/>
    <x v="740"/>
  </r>
  <r>
    <n v="48704"/>
    <x v="0"/>
    <x v="5"/>
    <x v="6"/>
    <x v="0"/>
    <x v="0"/>
    <x v="0"/>
    <x v="736"/>
    <x v="560"/>
    <x v="741"/>
  </r>
  <r>
    <n v="134449"/>
    <x v="1"/>
    <x v="3"/>
    <x v="6"/>
    <x v="0"/>
    <x v="1"/>
    <x v="0"/>
    <x v="737"/>
    <x v="2"/>
    <x v="742"/>
  </r>
  <r>
    <n v="75961"/>
    <x v="1"/>
    <x v="5"/>
    <x v="8"/>
    <x v="1"/>
    <x v="1"/>
    <x v="0"/>
    <x v="738"/>
    <x v="403"/>
    <x v="743"/>
  </r>
  <r>
    <n v="241385"/>
    <x v="1"/>
    <x v="8"/>
    <x v="8"/>
    <x v="0"/>
    <x v="0"/>
    <x v="1"/>
    <x v="739"/>
    <x v="501"/>
    <x v="744"/>
  </r>
  <r>
    <n v="10099"/>
    <x v="0"/>
    <x v="2"/>
    <x v="7"/>
    <x v="0"/>
    <x v="0"/>
    <x v="0"/>
    <x v="740"/>
    <x v="2"/>
    <x v="745"/>
  </r>
  <r>
    <n v="172962"/>
    <x v="1"/>
    <x v="6"/>
    <x v="9"/>
    <x v="1"/>
    <x v="1"/>
    <x v="1"/>
    <x v="741"/>
    <x v="2"/>
    <x v="746"/>
  </r>
  <r>
    <n v="209832"/>
    <x v="1"/>
    <x v="10"/>
    <x v="0"/>
    <x v="0"/>
    <x v="0"/>
    <x v="0"/>
    <x v="742"/>
    <x v="561"/>
    <x v="747"/>
  </r>
  <r>
    <n v="237184"/>
    <x v="1"/>
    <x v="4"/>
    <x v="8"/>
    <x v="0"/>
    <x v="0"/>
    <x v="1"/>
    <x v="743"/>
    <x v="562"/>
    <x v="748"/>
  </r>
  <r>
    <n v="74814"/>
    <x v="0"/>
    <x v="7"/>
    <x v="7"/>
    <x v="0"/>
    <x v="0"/>
    <x v="1"/>
    <x v="744"/>
    <x v="2"/>
    <x v="749"/>
  </r>
  <r>
    <n v="89712"/>
    <x v="0"/>
    <x v="10"/>
    <x v="7"/>
    <x v="0"/>
    <x v="1"/>
    <x v="0"/>
    <x v="745"/>
    <x v="563"/>
    <x v="750"/>
  </r>
  <r>
    <n v="93995"/>
    <x v="0"/>
    <x v="10"/>
    <x v="7"/>
    <x v="0"/>
    <x v="0"/>
    <x v="1"/>
    <x v="746"/>
    <x v="564"/>
    <x v="751"/>
  </r>
  <r>
    <n v="40587"/>
    <x v="1"/>
    <x v="10"/>
    <x v="8"/>
    <x v="0"/>
    <x v="0"/>
    <x v="0"/>
    <x v="747"/>
    <x v="298"/>
    <x v="752"/>
  </r>
  <r>
    <n v="139341"/>
    <x v="0"/>
    <x v="4"/>
    <x v="9"/>
    <x v="1"/>
    <x v="0"/>
    <x v="0"/>
    <x v="748"/>
    <x v="2"/>
    <x v="753"/>
  </r>
  <r>
    <n v="202417"/>
    <x v="0"/>
    <x v="9"/>
    <x v="6"/>
    <x v="0"/>
    <x v="0"/>
    <x v="0"/>
    <x v="749"/>
    <x v="565"/>
    <x v="754"/>
  </r>
  <r>
    <n v="232392"/>
    <x v="0"/>
    <x v="1"/>
    <x v="1"/>
    <x v="1"/>
    <x v="0"/>
    <x v="1"/>
    <x v="750"/>
    <x v="193"/>
    <x v="755"/>
  </r>
  <r>
    <n v="251085"/>
    <x v="0"/>
    <x v="11"/>
    <x v="2"/>
    <x v="0"/>
    <x v="0"/>
    <x v="0"/>
    <x v="751"/>
    <x v="2"/>
    <x v="756"/>
  </r>
  <r>
    <n v="165703"/>
    <x v="1"/>
    <x v="5"/>
    <x v="8"/>
    <x v="0"/>
    <x v="1"/>
    <x v="1"/>
    <x v="397"/>
    <x v="2"/>
    <x v="757"/>
  </r>
  <r>
    <n v="7293"/>
    <x v="0"/>
    <x v="9"/>
    <x v="0"/>
    <x v="0"/>
    <x v="0"/>
    <x v="0"/>
    <x v="752"/>
    <x v="566"/>
    <x v="758"/>
  </r>
  <r>
    <n v="133874"/>
    <x v="0"/>
    <x v="4"/>
    <x v="2"/>
    <x v="1"/>
    <x v="1"/>
    <x v="1"/>
    <x v="753"/>
    <x v="2"/>
    <x v="759"/>
  </r>
  <r>
    <n v="98414"/>
    <x v="0"/>
    <x v="7"/>
    <x v="7"/>
    <x v="0"/>
    <x v="0"/>
    <x v="0"/>
    <x v="754"/>
    <x v="567"/>
    <x v="760"/>
  </r>
  <r>
    <n v="258399"/>
    <x v="0"/>
    <x v="1"/>
    <x v="3"/>
    <x v="1"/>
    <x v="0"/>
    <x v="1"/>
    <x v="755"/>
    <x v="568"/>
    <x v="761"/>
  </r>
  <r>
    <n v="175359"/>
    <x v="1"/>
    <x v="3"/>
    <x v="1"/>
    <x v="0"/>
    <x v="0"/>
    <x v="0"/>
    <x v="756"/>
    <x v="569"/>
    <x v="762"/>
  </r>
  <r>
    <n v="172160"/>
    <x v="1"/>
    <x v="0"/>
    <x v="2"/>
    <x v="0"/>
    <x v="0"/>
    <x v="0"/>
    <x v="757"/>
    <x v="570"/>
    <x v="763"/>
  </r>
  <r>
    <n v="19953"/>
    <x v="0"/>
    <x v="0"/>
    <x v="0"/>
    <x v="0"/>
    <x v="0"/>
    <x v="0"/>
    <x v="758"/>
    <x v="571"/>
    <x v="764"/>
  </r>
  <r>
    <n v="134335"/>
    <x v="0"/>
    <x v="4"/>
    <x v="7"/>
    <x v="0"/>
    <x v="0"/>
    <x v="1"/>
    <x v="759"/>
    <x v="2"/>
    <x v="765"/>
  </r>
  <r>
    <n v="106589"/>
    <x v="0"/>
    <x v="4"/>
    <x v="4"/>
    <x v="1"/>
    <x v="0"/>
    <x v="1"/>
    <x v="760"/>
    <x v="572"/>
    <x v="766"/>
  </r>
  <r>
    <n v="195840"/>
    <x v="1"/>
    <x v="7"/>
    <x v="4"/>
    <x v="1"/>
    <x v="0"/>
    <x v="1"/>
    <x v="761"/>
    <x v="349"/>
    <x v="767"/>
  </r>
  <r>
    <n v="202686"/>
    <x v="1"/>
    <x v="9"/>
    <x v="1"/>
    <x v="0"/>
    <x v="0"/>
    <x v="0"/>
    <x v="762"/>
    <x v="2"/>
    <x v="768"/>
  </r>
  <r>
    <n v="29893"/>
    <x v="0"/>
    <x v="0"/>
    <x v="5"/>
    <x v="0"/>
    <x v="0"/>
    <x v="1"/>
    <x v="763"/>
    <x v="338"/>
    <x v="769"/>
  </r>
  <r>
    <n v="245623"/>
    <x v="0"/>
    <x v="1"/>
    <x v="5"/>
    <x v="1"/>
    <x v="1"/>
    <x v="0"/>
    <x v="764"/>
    <x v="573"/>
    <x v="770"/>
  </r>
  <r>
    <n v="251206"/>
    <x v="1"/>
    <x v="1"/>
    <x v="9"/>
    <x v="1"/>
    <x v="0"/>
    <x v="1"/>
    <x v="765"/>
    <x v="574"/>
    <x v="771"/>
  </r>
  <r>
    <n v="140007"/>
    <x v="0"/>
    <x v="1"/>
    <x v="1"/>
    <x v="1"/>
    <x v="0"/>
    <x v="0"/>
    <x v="766"/>
    <x v="575"/>
    <x v="772"/>
  </r>
  <r>
    <n v="219657"/>
    <x v="1"/>
    <x v="4"/>
    <x v="2"/>
    <x v="0"/>
    <x v="1"/>
    <x v="1"/>
    <x v="767"/>
    <x v="332"/>
    <x v="773"/>
  </r>
  <r>
    <n v="155122"/>
    <x v="1"/>
    <x v="1"/>
    <x v="1"/>
    <x v="1"/>
    <x v="1"/>
    <x v="0"/>
    <x v="768"/>
    <x v="576"/>
    <x v="774"/>
  </r>
  <r>
    <n v="209635"/>
    <x v="1"/>
    <x v="10"/>
    <x v="8"/>
    <x v="0"/>
    <x v="1"/>
    <x v="0"/>
    <x v="769"/>
    <x v="577"/>
    <x v="775"/>
  </r>
  <r>
    <n v="24808"/>
    <x v="1"/>
    <x v="0"/>
    <x v="7"/>
    <x v="0"/>
    <x v="0"/>
    <x v="0"/>
    <x v="770"/>
    <x v="578"/>
    <x v="776"/>
  </r>
  <r>
    <n v="194182"/>
    <x v="1"/>
    <x v="0"/>
    <x v="3"/>
    <x v="0"/>
    <x v="1"/>
    <x v="0"/>
    <x v="771"/>
    <x v="228"/>
    <x v="777"/>
  </r>
  <r>
    <n v="28655"/>
    <x v="0"/>
    <x v="8"/>
    <x v="3"/>
    <x v="0"/>
    <x v="1"/>
    <x v="1"/>
    <x v="772"/>
    <x v="60"/>
    <x v="778"/>
  </r>
  <r>
    <n v="176587"/>
    <x v="1"/>
    <x v="1"/>
    <x v="1"/>
    <x v="1"/>
    <x v="1"/>
    <x v="1"/>
    <x v="773"/>
    <x v="579"/>
    <x v="779"/>
  </r>
  <r>
    <n v="188556"/>
    <x v="0"/>
    <x v="2"/>
    <x v="7"/>
    <x v="0"/>
    <x v="0"/>
    <x v="0"/>
    <x v="774"/>
    <x v="580"/>
    <x v="780"/>
  </r>
  <r>
    <n v="50450"/>
    <x v="1"/>
    <x v="8"/>
    <x v="0"/>
    <x v="0"/>
    <x v="0"/>
    <x v="0"/>
    <x v="775"/>
    <x v="2"/>
    <x v="781"/>
  </r>
  <r>
    <n v="35784"/>
    <x v="0"/>
    <x v="8"/>
    <x v="4"/>
    <x v="0"/>
    <x v="1"/>
    <x v="0"/>
    <x v="776"/>
    <x v="581"/>
    <x v="782"/>
  </r>
  <r>
    <n v="80318"/>
    <x v="0"/>
    <x v="9"/>
    <x v="5"/>
    <x v="0"/>
    <x v="0"/>
    <x v="1"/>
    <x v="777"/>
    <x v="582"/>
    <x v="783"/>
  </r>
  <r>
    <n v="13114"/>
    <x v="1"/>
    <x v="7"/>
    <x v="1"/>
    <x v="0"/>
    <x v="0"/>
    <x v="0"/>
    <x v="778"/>
    <x v="583"/>
    <x v="784"/>
  </r>
  <r>
    <n v="238848"/>
    <x v="0"/>
    <x v="7"/>
    <x v="7"/>
    <x v="0"/>
    <x v="0"/>
    <x v="1"/>
    <x v="779"/>
    <x v="2"/>
    <x v="785"/>
  </r>
  <r>
    <n v="93717"/>
    <x v="0"/>
    <x v="2"/>
    <x v="7"/>
    <x v="1"/>
    <x v="0"/>
    <x v="0"/>
    <x v="780"/>
    <x v="584"/>
    <x v="786"/>
  </r>
  <r>
    <n v="91493"/>
    <x v="0"/>
    <x v="2"/>
    <x v="7"/>
    <x v="0"/>
    <x v="0"/>
    <x v="0"/>
    <x v="781"/>
    <x v="2"/>
    <x v="787"/>
  </r>
  <r>
    <n v="217116"/>
    <x v="0"/>
    <x v="0"/>
    <x v="7"/>
    <x v="0"/>
    <x v="1"/>
    <x v="1"/>
    <x v="782"/>
    <x v="585"/>
    <x v="788"/>
  </r>
  <r>
    <n v="42644"/>
    <x v="1"/>
    <x v="8"/>
    <x v="8"/>
    <x v="1"/>
    <x v="0"/>
    <x v="1"/>
    <x v="783"/>
    <x v="586"/>
    <x v="789"/>
  </r>
  <r>
    <n v="216647"/>
    <x v="0"/>
    <x v="7"/>
    <x v="0"/>
    <x v="1"/>
    <x v="1"/>
    <x v="1"/>
    <x v="784"/>
    <x v="587"/>
    <x v="790"/>
  </r>
  <r>
    <n v="171112"/>
    <x v="1"/>
    <x v="6"/>
    <x v="2"/>
    <x v="1"/>
    <x v="1"/>
    <x v="1"/>
    <x v="785"/>
    <x v="588"/>
    <x v="791"/>
  </r>
  <r>
    <n v="254527"/>
    <x v="1"/>
    <x v="4"/>
    <x v="8"/>
    <x v="1"/>
    <x v="0"/>
    <x v="1"/>
    <x v="786"/>
    <x v="258"/>
    <x v="792"/>
  </r>
  <r>
    <n v="24725"/>
    <x v="1"/>
    <x v="8"/>
    <x v="3"/>
    <x v="0"/>
    <x v="0"/>
    <x v="0"/>
    <x v="787"/>
    <x v="589"/>
    <x v="793"/>
  </r>
  <r>
    <n v="188399"/>
    <x v="1"/>
    <x v="10"/>
    <x v="7"/>
    <x v="0"/>
    <x v="0"/>
    <x v="0"/>
    <x v="788"/>
    <x v="2"/>
    <x v="794"/>
  </r>
  <r>
    <n v="223203"/>
    <x v="1"/>
    <x v="4"/>
    <x v="8"/>
    <x v="1"/>
    <x v="1"/>
    <x v="1"/>
    <x v="789"/>
    <x v="590"/>
    <x v="795"/>
  </r>
  <r>
    <n v="29100"/>
    <x v="0"/>
    <x v="8"/>
    <x v="8"/>
    <x v="0"/>
    <x v="0"/>
    <x v="0"/>
    <x v="790"/>
    <x v="591"/>
    <x v="796"/>
  </r>
  <r>
    <n v="102880"/>
    <x v="0"/>
    <x v="0"/>
    <x v="6"/>
    <x v="0"/>
    <x v="0"/>
    <x v="0"/>
    <x v="791"/>
    <x v="592"/>
    <x v="797"/>
  </r>
  <r>
    <n v="24654"/>
    <x v="0"/>
    <x v="0"/>
    <x v="3"/>
    <x v="1"/>
    <x v="0"/>
    <x v="1"/>
    <x v="792"/>
    <x v="593"/>
    <x v="798"/>
  </r>
  <r>
    <n v="194889"/>
    <x v="1"/>
    <x v="0"/>
    <x v="8"/>
    <x v="1"/>
    <x v="0"/>
    <x v="0"/>
    <x v="793"/>
    <x v="594"/>
    <x v="799"/>
  </r>
  <r>
    <n v="80861"/>
    <x v="1"/>
    <x v="10"/>
    <x v="8"/>
    <x v="1"/>
    <x v="0"/>
    <x v="0"/>
    <x v="794"/>
    <x v="461"/>
    <x v="800"/>
  </r>
  <r>
    <n v="151263"/>
    <x v="1"/>
    <x v="3"/>
    <x v="6"/>
    <x v="0"/>
    <x v="0"/>
    <x v="1"/>
    <x v="795"/>
    <x v="595"/>
    <x v="801"/>
  </r>
  <r>
    <n v="27100"/>
    <x v="1"/>
    <x v="8"/>
    <x v="6"/>
    <x v="1"/>
    <x v="0"/>
    <x v="1"/>
    <x v="796"/>
    <x v="596"/>
    <x v="802"/>
  </r>
  <r>
    <n v="153875"/>
    <x v="1"/>
    <x v="4"/>
    <x v="6"/>
    <x v="0"/>
    <x v="0"/>
    <x v="0"/>
    <x v="797"/>
    <x v="597"/>
    <x v="803"/>
  </r>
  <r>
    <n v="198016"/>
    <x v="0"/>
    <x v="10"/>
    <x v="7"/>
    <x v="1"/>
    <x v="0"/>
    <x v="0"/>
    <x v="798"/>
    <x v="598"/>
    <x v="804"/>
  </r>
  <r>
    <n v="57957"/>
    <x v="1"/>
    <x v="2"/>
    <x v="7"/>
    <x v="0"/>
    <x v="0"/>
    <x v="0"/>
    <x v="799"/>
    <x v="599"/>
    <x v="805"/>
  </r>
  <r>
    <n v="53102"/>
    <x v="0"/>
    <x v="8"/>
    <x v="7"/>
    <x v="0"/>
    <x v="0"/>
    <x v="0"/>
    <x v="800"/>
    <x v="600"/>
    <x v="806"/>
  </r>
  <r>
    <n v="124298"/>
    <x v="0"/>
    <x v="4"/>
    <x v="3"/>
    <x v="0"/>
    <x v="1"/>
    <x v="0"/>
    <x v="801"/>
    <x v="601"/>
    <x v="807"/>
  </r>
  <r>
    <n v="138401"/>
    <x v="0"/>
    <x v="4"/>
    <x v="0"/>
    <x v="1"/>
    <x v="0"/>
    <x v="1"/>
    <x v="802"/>
    <x v="602"/>
    <x v="808"/>
  </r>
  <r>
    <n v="50588"/>
    <x v="1"/>
    <x v="8"/>
    <x v="0"/>
    <x v="0"/>
    <x v="0"/>
    <x v="0"/>
    <x v="803"/>
    <x v="603"/>
    <x v="809"/>
  </r>
  <r>
    <n v="96731"/>
    <x v="1"/>
    <x v="7"/>
    <x v="8"/>
    <x v="0"/>
    <x v="1"/>
    <x v="0"/>
    <x v="804"/>
    <x v="604"/>
    <x v="810"/>
  </r>
  <r>
    <n v="257304"/>
    <x v="0"/>
    <x v="1"/>
    <x v="3"/>
    <x v="1"/>
    <x v="0"/>
    <x v="1"/>
    <x v="805"/>
    <x v="605"/>
    <x v="811"/>
  </r>
  <r>
    <n v="20559"/>
    <x v="1"/>
    <x v="0"/>
    <x v="8"/>
    <x v="0"/>
    <x v="0"/>
    <x v="1"/>
    <x v="806"/>
    <x v="606"/>
    <x v="812"/>
  </r>
  <r>
    <n v="113044"/>
    <x v="1"/>
    <x v="3"/>
    <x v="2"/>
    <x v="1"/>
    <x v="0"/>
    <x v="0"/>
    <x v="807"/>
    <x v="607"/>
    <x v="813"/>
  </r>
  <r>
    <n v="211924"/>
    <x v="1"/>
    <x v="9"/>
    <x v="9"/>
    <x v="0"/>
    <x v="0"/>
    <x v="0"/>
    <x v="808"/>
    <x v="128"/>
    <x v="814"/>
  </r>
  <r>
    <n v="177714"/>
    <x v="1"/>
    <x v="0"/>
    <x v="9"/>
    <x v="1"/>
    <x v="1"/>
    <x v="1"/>
    <x v="809"/>
    <x v="608"/>
    <x v="815"/>
  </r>
  <r>
    <n v="77093"/>
    <x v="1"/>
    <x v="8"/>
    <x v="6"/>
    <x v="1"/>
    <x v="0"/>
    <x v="0"/>
    <x v="810"/>
    <x v="609"/>
    <x v="816"/>
  </r>
  <r>
    <n v="7788"/>
    <x v="0"/>
    <x v="11"/>
    <x v="6"/>
    <x v="1"/>
    <x v="0"/>
    <x v="0"/>
    <x v="811"/>
    <x v="610"/>
    <x v="817"/>
  </r>
  <r>
    <n v="193704"/>
    <x v="0"/>
    <x v="10"/>
    <x v="4"/>
    <x v="1"/>
    <x v="0"/>
    <x v="1"/>
    <x v="812"/>
    <x v="611"/>
    <x v="818"/>
  </r>
  <r>
    <n v="79817"/>
    <x v="0"/>
    <x v="10"/>
    <x v="6"/>
    <x v="0"/>
    <x v="0"/>
    <x v="1"/>
    <x v="813"/>
    <x v="27"/>
    <x v="819"/>
  </r>
  <r>
    <n v="54297"/>
    <x v="0"/>
    <x v="8"/>
    <x v="9"/>
    <x v="0"/>
    <x v="1"/>
    <x v="1"/>
    <x v="814"/>
    <x v="612"/>
    <x v="820"/>
  </r>
  <r>
    <n v="161943"/>
    <x v="0"/>
    <x v="4"/>
    <x v="2"/>
    <x v="1"/>
    <x v="1"/>
    <x v="1"/>
    <x v="815"/>
    <x v="613"/>
    <x v="821"/>
  </r>
  <r>
    <n v="178022"/>
    <x v="1"/>
    <x v="4"/>
    <x v="8"/>
    <x v="1"/>
    <x v="0"/>
    <x v="0"/>
    <x v="816"/>
    <x v="142"/>
    <x v="822"/>
  </r>
  <r>
    <n v="33275"/>
    <x v="1"/>
    <x v="5"/>
    <x v="4"/>
    <x v="0"/>
    <x v="0"/>
    <x v="0"/>
    <x v="817"/>
    <x v="614"/>
    <x v="823"/>
  </r>
  <r>
    <n v="249669"/>
    <x v="1"/>
    <x v="7"/>
    <x v="6"/>
    <x v="1"/>
    <x v="0"/>
    <x v="1"/>
    <x v="818"/>
    <x v="615"/>
    <x v="824"/>
  </r>
  <r>
    <n v="168241"/>
    <x v="0"/>
    <x v="3"/>
    <x v="3"/>
    <x v="1"/>
    <x v="1"/>
    <x v="0"/>
    <x v="819"/>
    <x v="616"/>
    <x v="825"/>
  </r>
  <r>
    <n v="220425"/>
    <x v="0"/>
    <x v="4"/>
    <x v="5"/>
    <x v="1"/>
    <x v="0"/>
    <x v="0"/>
    <x v="820"/>
    <x v="617"/>
    <x v="826"/>
  </r>
  <r>
    <n v="96183"/>
    <x v="0"/>
    <x v="9"/>
    <x v="7"/>
    <x v="0"/>
    <x v="0"/>
    <x v="0"/>
    <x v="821"/>
    <x v="2"/>
    <x v="827"/>
  </r>
  <r>
    <n v="142035"/>
    <x v="1"/>
    <x v="1"/>
    <x v="4"/>
    <x v="1"/>
    <x v="0"/>
    <x v="1"/>
    <x v="822"/>
    <x v="170"/>
    <x v="828"/>
  </r>
  <r>
    <n v="80578"/>
    <x v="0"/>
    <x v="10"/>
    <x v="6"/>
    <x v="0"/>
    <x v="1"/>
    <x v="0"/>
    <x v="823"/>
    <x v="2"/>
    <x v="829"/>
  </r>
  <r>
    <n v="218513"/>
    <x v="1"/>
    <x v="9"/>
    <x v="8"/>
    <x v="0"/>
    <x v="0"/>
    <x v="0"/>
    <x v="824"/>
    <x v="618"/>
    <x v="830"/>
  </r>
  <r>
    <n v="105290"/>
    <x v="1"/>
    <x v="3"/>
    <x v="9"/>
    <x v="0"/>
    <x v="0"/>
    <x v="0"/>
    <x v="825"/>
    <x v="305"/>
    <x v="831"/>
  </r>
  <r>
    <n v="127505"/>
    <x v="1"/>
    <x v="5"/>
    <x v="6"/>
    <x v="0"/>
    <x v="1"/>
    <x v="0"/>
    <x v="826"/>
    <x v="619"/>
    <x v="832"/>
  </r>
  <r>
    <n v="217415"/>
    <x v="0"/>
    <x v="2"/>
    <x v="2"/>
    <x v="1"/>
    <x v="1"/>
    <x v="0"/>
    <x v="827"/>
    <x v="2"/>
    <x v="833"/>
  </r>
  <r>
    <n v="242852"/>
    <x v="0"/>
    <x v="1"/>
    <x v="8"/>
    <x v="1"/>
    <x v="1"/>
    <x v="0"/>
    <x v="828"/>
    <x v="620"/>
    <x v="834"/>
  </r>
  <r>
    <n v="87257"/>
    <x v="0"/>
    <x v="2"/>
    <x v="7"/>
    <x v="0"/>
    <x v="0"/>
    <x v="0"/>
    <x v="829"/>
    <x v="621"/>
    <x v="835"/>
  </r>
  <r>
    <n v="17403"/>
    <x v="0"/>
    <x v="7"/>
    <x v="3"/>
    <x v="0"/>
    <x v="0"/>
    <x v="0"/>
    <x v="830"/>
    <x v="622"/>
    <x v="836"/>
  </r>
  <r>
    <n v="69177"/>
    <x v="1"/>
    <x v="5"/>
    <x v="6"/>
    <x v="0"/>
    <x v="0"/>
    <x v="0"/>
    <x v="831"/>
    <x v="623"/>
    <x v="837"/>
  </r>
  <r>
    <n v="29307"/>
    <x v="0"/>
    <x v="7"/>
    <x v="3"/>
    <x v="0"/>
    <x v="1"/>
    <x v="1"/>
    <x v="832"/>
    <x v="343"/>
    <x v="838"/>
  </r>
  <r>
    <n v="7174"/>
    <x v="0"/>
    <x v="11"/>
    <x v="7"/>
    <x v="0"/>
    <x v="0"/>
    <x v="0"/>
    <x v="833"/>
    <x v="624"/>
    <x v="839"/>
  </r>
  <r>
    <n v="247546"/>
    <x v="0"/>
    <x v="4"/>
    <x v="8"/>
    <x v="1"/>
    <x v="0"/>
    <x v="1"/>
    <x v="834"/>
    <x v="412"/>
    <x v="840"/>
  </r>
  <r>
    <n v="147916"/>
    <x v="1"/>
    <x v="1"/>
    <x v="1"/>
    <x v="0"/>
    <x v="0"/>
    <x v="1"/>
    <x v="835"/>
    <x v="490"/>
    <x v="841"/>
  </r>
  <r>
    <n v="220521"/>
    <x v="0"/>
    <x v="4"/>
    <x v="3"/>
    <x v="1"/>
    <x v="0"/>
    <x v="1"/>
    <x v="836"/>
    <x v="170"/>
    <x v="842"/>
  </r>
  <r>
    <n v="253861"/>
    <x v="0"/>
    <x v="1"/>
    <x v="7"/>
    <x v="1"/>
    <x v="0"/>
    <x v="1"/>
    <x v="837"/>
    <x v="2"/>
    <x v="843"/>
  </r>
  <r>
    <n v="48508"/>
    <x v="0"/>
    <x v="7"/>
    <x v="7"/>
    <x v="1"/>
    <x v="0"/>
    <x v="0"/>
    <x v="838"/>
    <x v="2"/>
    <x v="844"/>
  </r>
  <r>
    <n v="135993"/>
    <x v="0"/>
    <x v="3"/>
    <x v="4"/>
    <x v="0"/>
    <x v="1"/>
    <x v="1"/>
    <x v="839"/>
    <x v="625"/>
    <x v="845"/>
  </r>
  <r>
    <n v="111316"/>
    <x v="1"/>
    <x v="1"/>
    <x v="1"/>
    <x v="1"/>
    <x v="0"/>
    <x v="1"/>
    <x v="840"/>
    <x v="2"/>
    <x v="846"/>
  </r>
  <r>
    <n v="78098"/>
    <x v="1"/>
    <x v="5"/>
    <x v="8"/>
    <x v="1"/>
    <x v="1"/>
    <x v="1"/>
    <x v="841"/>
    <x v="2"/>
    <x v="847"/>
  </r>
  <r>
    <n v="208478"/>
    <x v="0"/>
    <x v="11"/>
    <x v="7"/>
    <x v="1"/>
    <x v="0"/>
    <x v="1"/>
    <x v="842"/>
    <x v="2"/>
    <x v="848"/>
  </r>
  <r>
    <n v="105776"/>
    <x v="0"/>
    <x v="3"/>
    <x v="6"/>
    <x v="0"/>
    <x v="1"/>
    <x v="0"/>
    <x v="843"/>
    <x v="626"/>
    <x v="849"/>
  </r>
  <r>
    <n v="168970"/>
    <x v="1"/>
    <x v="3"/>
    <x v="6"/>
    <x v="1"/>
    <x v="0"/>
    <x v="0"/>
    <x v="844"/>
    <x v="627"/>
    <x v="850"/>
  </r>
  <r>
    <n v="46000"/>
    <x v="0"/>
    <x v="8"/>
    <x v="6"/>
    <x v="1"/>
    <x v="0"/>
    <x v="1"/>
    <x v="845"/>
    <x v="412"/>
    <x v="851"/>
  </r>
  <r>
    <n v="28428"/>
    <x v="1"/>
    <x v="0"/>
    <x v="7"/>
    <x v="0"/>
    <x v="0"/>
    <x v="0"/>
    <x v="846"/>
    <x v="628"/>
    <x v="852"/>
  </r>
  <r>
    <n v="97435"/>
    <x v="0"/>
    <x v="9"/>
    <x v="8"/>
    <x v="0"/>
    <x v="0"/>
    <x v="0"/>
    <x v="847"/>
    <x v="629"/>
    <x v="853"/>
  </r>
  <r>
    <n v="217957"/>
    <x v="1"/>
    <x v="11"/>
    <x v="7"/>
    <x v="1"/>
    <x v="0"/>
    <x v="0"/>
    <x v="848"/>
    <x v="630"/>
    <x v="854"/>
  </r>
  <r>
    <n v="69075"/>
    <x v="0"/>
    <x v="8"/>
    <x v="3"/>
    <x v="1"/>
    <x v="0"/>
    <x v="1"/>
    <x v="849"/>
    <x v="631"/>
    <x v="855"/>
  </r>
  <r>
    <n v="123717"/>
    <x v="0"/>
    <x v="5"/>
    <x v="8"/>
    <x v="0"/>
    <x v="0"/>
    <x v="0"/>
    <x v="850"/>
    <x v="632"/>
    <x v="856"/>
  </r>
  <r>
    <n v="176297"/>
    <x v="1"/>
    <x v="5"/>
    <x v="6"/>
    <x v="0"/>
    <x v="0"/>
    <x v="0"/>
    <x v="851"/>
    <x v="633"/>
    <x v="857"/>
  </r>
  <r>
    <n v="49233"/>
    <x v="0"/>
    <x v="8"/>
    <x v="7"/>
    <x v="0"/>
    <x v="0"/>
    <x v="0"/>
    <x v="133"/>
    <x v="2"/>
    <x v="133"/>
  </r>
  <r>
    <n v="49742"/>
    <x v="0"/>
    <x v="8"/>
    <x v="0"/>
    <x v="0"/>
    <x v="0"/>
    <x v="0"/>
    <x v="852"/>
    <x v="634"/>
    <x v="858"/>
  </r>
  <r>
    <n v="121786"/>
    <x v="1"/>
    <x v="3"/>
    <x v="6"/>
    <x v="0"/>
    <x v="1"/>
    <x v="0"/>
    <x v="853"/>
    <x v="463"/>
    <x v="859"/>
  </r>
  <r>
    <n v="38895"/>
    <x v="0"/>
    <x v="0"/>
    <x v="3"/>
    <x v="0"/>
    <x v="0"/>
    <x v="1"/>
    <x v="854"/>
    <x v="635"/>
    <x v="860"/>
  </r>
  <r>
    <n v="8660"/>
    <x v="1"/>
    <x v="9"/>
    <x v="2"/>
    <x v="1"/>
    <x v="1"/>
    <x v="0"/>
    <x v="855"/>
    <x v="636"/>
    <x v="861"/>
  </r>
  <r>
    <n v="39980"/>
    <x v="0"/>
    <x v="8"/>
    <x v="7"/>
    <x v="0"/>
    <x v="0"/>
    <x v="1"/>
    <x v="856"/>
    <x v="2"/>
    <x v="862"/>
  </r>
  <r>
    <n v="16978"/>
    <x v="1"/>
    <x v="0"/>
    <x v="0"/>
    <x v="0"/>
    <x v="0"/>
    <x v="0"/>
    <x v="857"/>
    <x v="637"/>
    <x v="863"/>
  </r>
  <r>
    <n v="180577"/>
    <x v="1"/>
    <x v="1"/>
    <x v="9"/>
    <x v="1"/>
    <x v="0"/>
    <x v="1"/>
    <x v="858"/>
    <x v="638"/>
    <x v="864"/>
  </r>
  <r>
    <n v="154567"/>
    <x v="1"/>
    <x v="4"/>
    <x v="2"/>
    <x v="0"/>
    <x v="0"/>
    <x v="0"/>
    <x v="859"/>
    <x v="639"/>
    <x v="865"/>
  </r>
  <r>
    <n v="226474"/>
    <x v="0"/>
    <x v="4"/>
    <x v="3"/>
    <x v="1"/>
    <x v="0"/>
    <x v="0"/>
    <x v="860"/>
    <x v="640"/>
    <x v="866"/>
  </r>
  <r>
    <n v="154411"/>
    <x v="1"/>
    <x v="8"/>
    <x v="6"/>
    <x v="0"/>
    <x v="1"/>
    <x v="0"/>
    <x v="861"/>
    <x v="2"/>
    <x v="867"/>
  </r>
  <r>
    <n v="7270"/>
    <x v="1"/>
    <x v="2"/>
    <x v="7"/>
    <x v="0"/>
    <x v="0"/>
    <x v="0"/>
    <x v="862"/>
    <x v="2"/>
    <x v="868"/>
  </r>
  <r>
    <n v="241235"/>
    <x v="0"/>
    <x v="8"/>
    <x v="1"/>
    <x v="0"/>
    <x v="1"/>
    <x v="0"/>
    <x v="863"/>
    <x v="641"/>
    <x v="869"/>
  </r>
  <r>
    <n v="173120"/>
    <x v="0"/>
    <x v="2"/>
    <x v="7"/>
    <x v="0"/>
    <x v="0"/>
    <x v="0"/>
    <x v="864"/>
    <x v="642"/>
    <x v="870"/>
  </r>
  <r>
    <n v="64798"/>
    <x v="1"/>
    <x v="5"/>
    <x v="7"/>
    <x v="0"/>
    <x v="0"/>
    <x v="1"/>
    <x v="865"/>
    <x v="2"/>
    <x v="871"/>
  </r>
  <r>
    <n v="137329"/>
    <x v="0"/>
    <x v="3"/>
    <x v="6"/>
    <x v="1"/>
    <x v="0"/>
    <x v="0"/>
    <x v="866"/>
    <x v="643"/>
    <x v="872"/>
  </r>
  <r>
    <n v="31546"/>
    <x v="0"/>
    <x v="10"/>
    <x v="8"/>
    <x v="0"/>
    <x v="0"/>
    <x v="0"/>
    <x v="867"/>
    <x v="644"/>
    <x v="873"/>
  </r>
  <r>
    <n v="142407"/>
    <x v="0"/>
    <x v="1"/>
    <x v="1"/>
    <x v="1"/>
    <x v="0"/>
    <x v="1"/>
    <x v="868"/>
    <x v="645"/>
    <x v="874"/>
  </r>
  <r>
    <n v="90731"/>
    <x v="0"/>
    <x v="10"/>
    <x v="8"/>
    <x v="0"/>
    <x v="0"/>
    <x v="0"/>
    <x v="869"/>
    <x v="646"/>
    <x v="875"/>
  </r>
  <r>
    <n v="248493"/>
    <x v="1"/>
    <x v="3"/>
    <x v="8"/>
    <x v="0"/>
    <x v="0"/>
    <x v="1"/>
    <x v="870"/>
    <x v="647"/>
    <x v="876"/>
  </r>
  <r>
    <n v="36906"/>
    <x v="1"/>
    <x v="8"/>
    <x v="8"/>
    <x v="0"/>
    <x v="1"/>
    <x v="0"/>
    <x v="871"/>
    <x v="2"/>
    <x v="877"/>
  </r>
  <r>
    <n v="25268"/>
    <x v="1"/>
    <x v="0"/>
    <x v="7"/>
    <x v="0"/>
    <x v="0"/>
    <x v="0"/>
    <x v="872"/>
    <x v="2"/>
    <x v="878"/>
  </r>
  <r>
    <n v="206128"/>
    <x v="1"/>
    <x v="0"/>
    <x v="7"/>
    <x v="0"/>
    <x v="0"/>
    <x v="1"/>
    <x v="873"/>
    <x v="648"/>
    <x v="879"/>
  </r>
  <r>
    <n v="9748"/>
    <x v="1"/>
    <x v="2"/>
    <x v="7"/>
    <x v="1"/>
    <x v="0"/>
    <x v="1"/>
    <x v="99"/>
    <x v="2"/>
    <x v="99"/>
  </r>
  <r>
    <n v="235673"/>
    <x v="0"/>
    <x v="1"/>
    <x v="6"/>
    <x v="1"/>
    <x v="1"/>
    <x v="0"/>
    <x v="874"/>
    <x v="649"/>
    <x v="880"/>
  </r>
  <r>
    <n v="63047"/>
    <x v="0"/>
    <x v="5"/>
    <x v="9"/>
    <x v="0"/>
    <x v="1"/>
    <x v="1"/>
    <x v="875"/>
    <x v="66"/>
    <x v="881"/>
  </r>
  <r>
    <n v="91336"/>
    <x v="1"/>
    <x v="11"/>
    <x v="7"/>
    <x v="0"/>
    <x v="0"/>
    <x v="0"/>
    <x v="876"/>
    <x v="650"/>
    <x v="882"/>
  </r>
  <r>
    <n v="161844"/>
    <x v="0"/>
    <x v="1"/>
    <x v="2"/>
    <x v="1"/>
    <x v="0"/>
    <x v="0"/>
    <x v="877"/>
    <x v="651"/>
    <x v="883"/>
  </r>
  <r>
    <n v="84075"/>
    <x v="0"/>
    <x v="7"/>
    <x v="5"/>
    <x v="1"/>
    <x v="0"/>
    <x v="1"/>
    <x v="878"/>
    <x v="652"/>
    <x v="253"/>
  </r>
  <r>
    <n v="247868"/>
    <x v="1"/>
    <x v="1"/>
    <x v="9"/>
    <x v="1"/>
    <x v="0"/>
    <x v="1"/>
    <x v="879"/>
    <x v="59"/>
    <x v="884"/>
  </r>
  <r>
    <n v="228719"/>
    <x v="0"/>
    <x v="4"/>
    <x v="5"/>
    <x v="0"/>
    <x v="1"/>
    <x v="1"/>
    <x v="880"/>
    <x v="653"/>
    <x v="885"/>
  </r>
  <r>
    <n v="222143"/>
    <x v="0"/>
    <x v="3"/>
    <x v="7"/>
    <x v="0"/>
    <x v="0"/>
    <x v="1"/>
    <x v="881"/>
    <x v="2"/>
    <x v="886"/>
  </r>
  <r>
    <n v="88435"/>
    <x v="1"/>
    <x v="9"/>
    <x v="8"/>
    <x v="1"/>
    <x v="0"/>
    <x v="1"/>
    <x v="882"/>
    <x v="228"/>
    <x v="887"/>
  </r>
  <r>
    <n v="183461"/>
    <x v="0"/>
    <x v="2"/>
    <x v="7"/>
    <x v="1"/>
    <x v="0"/>
    <x v="0"/>
    <x v="883"/>
    <x v="242"/>
    <x v="888"/>
  </r>
  <r>
    <n v="145545"/>
    <x v="0"/>
    <x v="3"/>
    <x v="7"/>
    <x v="1"/>
    <x v="1"/>
    <x v="1"/>
    <x v="884"/>
    <x v="2"/>
    <x v="889"/>
  </r>
  <r>
    <n v="91304"/>
    <x v="0"/>
    <x v="9"/>
    <x v="9"/>
    <x v="0"/>
    <x v="0"/>
    <x v="0"/>
    <x v="885"/>
    <x v="654"/>
    <x v="890"/>
  </r>
  <r>
    <n v="97312"/>
    <x v="1"/>
    <x v="11"/>
    <x v="7"/>
    <x v="0"/>
    <x v="0"/>
    <x v="0"/>
    <x v="886"/>
    <x v="2"/>
    <x v="891"/>
  </r>
  <r>
    <n v="166553"/>
    <x v="0"/>
    <x v="3"/>
    <x v="6"/>
    <x v="0"/>
    <x v="0"/>
    <x v="0"/>
    <x v="887"/>
    <x v="655"/>
    <x v="892"/>
  </r>
  <r>
    <n v="90600"/>
    <x v="1"/>
    <x v="9"/>
    <x v="4"/>
    <x v="0"/>
    <x v="1"/>
    <x v="0"/>
    <x v="888"/>
    <x v="656"/>
    <x v="893"/>
  </r>
  <r>
    <n v="51995"/>
    <x v="1"/>
    <x v="8"/>
    <x v="3"/>
    <x v="0"/>
    <x v="1"/>
    <x v="0"/>
    <x v="889"/>
    <x v="657"/>
    <x v="894"/>
  </r>
  <r>
    <n v="37722"/>
    <x v="0"/>
    <x v="11"/>
    <x v="7"/>
    <x v="0"/>
    <x v="1"/>
    <x v="0"/>
    <x v="890"/>
    <x v="658"/>
    <x v="895"/>
  </r>
  <r>
    <n v="237221"/>
    <x v="1"/>
    <x v="1"/>
    <x v="2"/>
    <x v="1"/>
    <x v="0"/>
    <x v="1"/>
    <x v="891"/>
    <x v="31"/>
    <x v="896"/>
  </r>
  <r>
    <n v="95049"/>
    <x v="0"/>
    <x v="10"/>
    <x v="0"/>
    <x v="0"/>
    <x v="0"/>
    <x v="0"/>
    <x v="892"/>
    <x v="2"/>
    <x v="897"/>
  </r>
  <r>
    <n v="84823"/>
    <x v="1"/>
    <x v="0"/>
    <x v="1"/>
    <x v="1"/>
    <x v="0"/>
    <x v="0"/>
    <x v="893"/>
    <x v="659"/>
    <x v="898"/>
  </r>
  <r>
    <n v="92893"/>
    <x v="1"/>
    <x v="9"/>
    <x v="6"/>
    <x v="0"/>
    <x v="0"/>
    <x v="0"/>
    <x v="894"/>
    <x v="37"/>
    <x v="899"/>
  </r>
  <r>
    <n v="91058"/>
    <x v="1"/>
    <x v="10"/>
    <x v="1"/>
    <x v="0"/>
    <x v="0"/>
    <x v="0"/>
    <x v="895"/>
    <x v="660"/>
    <x v="900"/>
  </r>
  <r>
    <n v="45215"/>
    <x v="1"/>
    <x v="8"/>
    <x v="9"/>
    <x v="0"/>
    <x v="0"/>
    <x v="1"/>
    <x v="896"/>
    <x v="661"/>
    <x v="901"/>
  </r>
  <r>
    <n v="133960"/>
    <x v="0"/>
    <x v="6"/>
    <x v="4"/>
    <x v="1"/>
    <x v="0"/>
    <x v="1"/>
    <x v="897"/>
    <x v="92"/>
    <x v="902"/>
  </r>
  <r>
    <n v="17674"/>
    <x v="1"/>
    <x v="7"/>
    <x v="7"/>
    <x v="1"/>
    <x v="1"/>
    <x v="0"/>
    <x v="898"/>
    <x v="2"/>
    <x v="903"/>
  </r>
  <r>
    <n v="121669"/>
    <x v="1"/>
    <x v="3"/>
    <x v="2"/>
    <x v="0"/>
    <x v="1"/>
    <x v="0"/>
    <x v="899"/>
    <x v="2"/>
    <x v="904"/>
  </r>
  <r>
    <n v="214730"/>
    <x v="1"/>
    <x v="7"/>
    <x v="6"/>
    <x v="0"/>
    <x v="0"/>
    <x v="0"/>
    <x v="900"/>
    <x v="2"/>
    <x v="905"/>
  </r>
  <r>
    <n v="138562"/>
    <x v="1"/>
    <x v="3"/>
    <x v="6"/>
    <x v="0"/>
    <x v="0"/>
    <x v="0"/>
    <x v="901"/>
    <x v="662"/>
    <x v="906"/>
  </r>
  <r>
    <n v="38177"/>
    <x v="1"/>
    <x v="9"/>
    <x v="4"/>
    <x v="0"/>
    <x v="0"/>
    <x v="0"/>
    <x v="902"/>
    <x v="663"/>
    <x v="907"/>
  </r>
  <r>
    <n v="155738"/>
    <x v="1"/>
    <x v="10"/>
    <x v="6"/>
    <x v="0"/>
    <x v="0"/>
    <x v="0"/>
    <x v="903"/>
    <x v="2"/>
    <x v="908"/>
  </r>
  <r>
    <n v="119844"/>
    <x v="0"/>
    <x v="0"/>
    <x v="6"/>
    <x v="0"/>
    <x v="0"/>
    <x v="1"/>
    <x v="904"/>
    <x v="664"/>
    <x v="909"/>
  </r>
  <r>
    <n v="173864"/>
    <x v="0"/>
    <x v="3"/>
    <x v="4"/>
    <x v="1"/>
    <x v="0"/>
    <x v="1"/>
    <x v="905"/>
    <x v="665"/>
    <x v="910"/>
  </r>
  <r>
    <n v="216383"/>
    <x v="0"/>
    <x v="7"/>
    <x v="5"/>
    <x v="0"/>
    <x v="0"/>
    <x v="0"/>
    <x v="906"/>
    <x v="666"/>
    <x v="911"/>
  </r>
  <r>
    <n v="9205"/>
    <x v="0"/>
    <x v="7"/>
    <x v="9"/>
    <x v="0"/>
    <x v="0"/>
    <x v="0"/>
    <x v="907"/>
    <x v="667"/>
    <x v="912"/>
  </r>
  <r>
    <n v="50965"/>
    <x v="1"/>
    <x v="8"/>
    <x v="8"/>
    <x v="0"/>
    <x v="0"/>
    <x v="0"/>
    <x v="908"/>
    <x v="668"/>
    <x v="913"/>
  </r>
  <r>
    <n v="15545"/>
    <x v="1"/>
    <x v="0"/>
    <x v="6"/>
    <x v="0"/>
    <x v="0"/>
    <x v="0"/>
    <x v="909"/>
    <x v="669"/>
    <x v="914"/>
  </r>
  <r>
    <n v="47458"/>
    <x v="0"/>
    <x v="0"/>
    <x v="7"/>
    <x v="1"/>
    <x v="0"/>
    <x v="1"/>
    <x v="910"/>
    <x v="2"/>
    <x v="915"/>
  </r>
  <r>
    <n v="43154"/>
    <x v="1"/>
    <x v="0"/>
    <x v="6"/>
    <x v="1"/>
    <x v="0"/>
    <x v="0"/>
    <x v="911"/>
    <x v="670"/>
    <x v="916"/>
  </r>
  <r>
    <n v="141693"/>
    <x v="0"/>
    <x v="6"/>
    <x v="4"/>
    <x v="1"/>
    <x v="0"/>
    <x v="1"/>
    <x v="912"/>
    <x v="671"/>
    <x v="917"/>
  </r>
  <r>
    <n v="248962"/>
    <x v="1"/>
    <x v="4"/>
    <x v="1"/>
    <x v="0"/>
    <x v="0"/>
    <x v="0"/>
    <x v="913"/>
    <x v="394"/>
    <x v="918"/>
  </r>
  <r>
    <n v="35604"/>
    <x v="1"/>
    <x v="8"/>
    <x v="1"/>
    <x v="1"/>
    <x v="0"/>
    <x v="1"/>
    <x v="914"/>
    <x v="672"/>
    <x v="919"/>
  </r>
  <r>
    <n v="234753"/>
    <x v="1"/>
    <x v="5"/>
    <x v="0"/>
    <x v="1"/>
    <x v="0"/>
    <x v="1"/>
    <x v="915"/>
    <x v="673"/>
    <x v="920"/>
  </r>
  <r>
    <n v="221400"/>
    <x v="1"/>
    <x v="4"/>
    <x v="8"/>
    <x v="1"/>
    <x v="0"/>
    <x v="1"/>
    <x v="916"/>
    <x v="674"/>
    <x v="921"/>
  </r>
  <r>
    <n v="94204"/>
    <x v="1"/>
    <x v="9"/>
    <x v="6"/>
    <x v="0"/>
    <x v="0"/>
    <x v="0"/>
    <x v="917"/>
    <x v="675"/>
    <x v="922"/>
  </r>
  <r>
    <n v="233508"/>
    <x v="0"/>
    <x v="1"/>
    <x v="6"/>
    <x v="1"/>
    <x v="0"/>
    <x v="1"/>
    <x v="918"/>
    <x v="676"/>
    <x v="923"/>
  </r>
  <r>
    <n v="60482"/>
    <x v="1"/>
    <x v="8"/>
    <x v="0"/>
    <x v="1"/>
    <x v="0"/>
    <x v="0"/>
    <x v="919"/>
    <x v="677"/>
    <x v="924"/>
  </r>
  <r>
    <n v="78884"/>
    <x v="0"/>
    <x v="11"/>
    <x v="7"/>
    <x v="0"/>
    <x v="0"/>
    <x v="0"/>
    <x v="920"/>
    <x v="2"/>
    <x v="925"/>
  </r>
  <r>
    <n v="30831"/>
    <x v="0"/>
    <x v="0"/>
    <x v="6"/>
    <x v="0"/>
    <x v="0"/>
    <x v="0"/>
    <x v="921"/>
    <x v="678"/>
    <x v="926"/>
  </r>
  <r>
    <n v="234758"/>
    <x v="1"/>
    <x v="1"/>
    <x v="6"/>
    <x v="1"/>
    <x v="1"/>
    <x v="0"/>
    <x v="922"/>
    <x v="2"/>
    <x v="927"/>
  </r>
  <r>
    <n v="170323"/>
    <x v="0"/>
    <x v="1"/>
    <x v="5"/>
    <x v="1"/>
    <x v="0"/>
    <x v="1"/>
    <x v="923"/>
    <x v="48"/>
    <x v="928"/>
  </r>
  <r>
    <n v="169245"/>
    <x v="0"/>
    <x v="7"/>
    <x v="6"/>
    <x v="0"/>
    <x v="0"/>
    <x v="0"/>
    <x v="924"/>
    <x v="679"/>
    <x v="929"/>
  </r>
  <r>
    <n v="251462"/>
    <x v="1"/>
    <x v="1"/>
    <x v="2"/>
    <x v="1"/>
    <x v="0"/>
    <x v="1"/>
    <x v="925"/>
    <x v="680"/>
    <x v="930"/>
  </r>
  <r>
    <n v="164027"/>
    <x v="0"/>
    <x v="6"/>
    <x v="9"/>
    <x v="1"/>
    <x v="0"/>
    <x v="0"/>
    <x v="926"/>
    <x v="2"/>
    <x v="931"/>
  </r>
  <r>
    <n v="101893"/>
    <x v="1"/>
    <x v="0"/>
    <x v="8"/>
    <x v="0"/>
    <x v="1"/>
    <x v="0"/>
    <x v="927"/>
    <x v="681"/>
    <x v="932"/>
  </r>
  <r>
    <n v="4402"/>
    <x v="0"/>
    <x v="9"/>
    <x v="0"/>
    <x v="0"/>
    <x v="0"/>
    <x v="0"/>
    <x v="928"/>
    <x v="682"/>
    <x v="933"/>
  </r>
  <r>
    <n v="193301"/>
    <x v="0"/>
    <x v="7"/>
    <x v="0"/>
    <x v="1"/>
    <x v="0"/>
    <x v="0"/>
    <x v="929"/>
    <x v="92"/>
    <x v="934"/>
  </r>
  <r>
    <n v="253979"/>
    <x v="0"/>
    <x v="1"/>
    <x v="4"/>
    <x v="1"/>
    <x v="0"/>
    <x v="1"/>
    <x v="930"/>
    <x v="683"/>
    <x v="935"/>
  </r>
  <r>
    <n v="122342"/>
    <x v="0"/>
    <x v="3"/>
    <x v="3"/>
    <x v="1"/>
    <x v="1"/>
    <x v="0"/>
    <x v="931"/>
    <x v="684"/>
    <x v="936"/>
  </r>
  <r>
    <n v="72789"/>
    <x v="1"/>
    <x v="8"/>
    <x v="7"/>
    <x v="1"/>
    <x v="0"/>
    <x v="1"/>
    <x v="932"/>
    <x v="2"/>
    <x v="937"/>
  </r>
  <r>
    <n v="243444"/>
    <x v="1"/>
    <x v="1"/>
    <x v="8"/>
    <x v="1"/>
    <x v="1"/>
    <x v="1"/>
    <x v="933"/>
    <x v="2"/>
    <x v="938"/>
  </r>
  <r>
    <n v="39919"/>
    <x v="1"/>
    <x v="8"/>
    <x v="3"/>
    <x v="0"/>
    <x v="0"/>
    <x v="0"/>
    <x v="934"/>
    <x v="2"/>
    <x v="939"/>
  </r>
  <r>
    <n v="185076"/>
    <x v="1"/>
    <x v="0"/>
    <x v="4"/>
    <x v="0"/>
    <x v="0"/>
    <x v="1"/>
    <x v="935"/>
    <x v="133"/>
    <x v="940"/>
  </r>
  <r>
    <n v="115494"/>
    <x v="0"/>
    <x v="4"/>
    <x v="6"/>
    <x v="1"/>
    <x v="0"/>
    <x v="0"/>
    <x v="936"/>
    <x v="685"/>
    <x v="941"/>
  </r>
  <r>
    <n v="233072"/>
    <x v="0"/>
    <x v="4"/>
    <x v="7"/>
    <x v="1"/>
    <x v="0"/>
    <x v="1"/>
    <x v="937"/>
    <x v="2"/>
    <x v="942"/>
  </r>
  <r>
    <n v="110529"/>
    <x v="1"/>
    <x v="5"/>
    <x v="9"/>
    <x v="1"/>
    <x v="0"/>
    <x v="1"/>
    <x v="938"/>
    <x v="2"/>
    <x v="943"/>
  </r>
  <r>
    <n v="13459"/>
    <x v="1"/>
    <x v="9"/>
    <x v="7"/>
    <x v="0"/>
    <x v="0"/>
    <x v="0"/>
    <x v="939"/>
    <x v="686"/>
    <x v="944"/>
  </r>
  <r>
    <n v="201966"/>
    <x v="0"/>
    <x v="10"/>
    <x v="2"/>
    <x v="0"/>
    <x v="0"/>
    <x v="0"/>
    <x v="940"/>
    <x v="687"/>
    <x v="945"/>
  </r>
  <r>
    <n v="27980"/>
    <x v="0"/>
    <x v="0"/>
    <x v="0"/>
    <x v="0"/>
    <x v="0"/>
    <x v="0"/>
    <x v="941"/>
    <x v="331"/>
    <x v="946"/>
  </r>
  <r>
    <n v="215770"/>
    <x v="0"/>
    <x v="10"/>
    <x v="3"/>
    <x v="0"/>
    <x v="0"/>
    <x v="0"/>
    <x v="942"/>
    <x v="688"/>
    <x v="947"/>
  </r>
  <r>
    <n v="185739"/>
    <x v="0"/>
    <x v="11"/>
    <x v="9"/>
    <x v="0"/>
    <x v="0"/>
    <x v="0"/>
    <x v="943"/>
    <x v="689"/>
    <x v="948"/>
  </r>
  <r>
    <n v="210154"/>
    <x v="1"/>
    <x v="10"/>
    <x v="7"/>
    <x v="0"/>
    <x v="0"/>
    <x v="0"/>
    <x v="944"/>
    <x v="2"/>
    <x v="949"/>
  </r>
  <r>
    <n v="76736"/>
    <x v="1"/>
    <x v="5"/>
    <x v="8"/>
    <x v="0"/>
    <x v="1"/>
    <x v="0"/>
    <x v="945"/>
    <x v="391"/>
    <x v="950"/>
  </r>
  <r>
    <n v="161231"/>
    <x v="0"/>
    <x v="4"/>
    <x v="4"/>
    <x v="1"/>
    <x v="0"/>
    <x v="0"/>
    <x v="946"/>
    <x v="690"/>
    <x v="951"/>
  </r>
  <r>
    <n v="140624"/>
    <x v="1"/>
    <x v="1"/>
    <x v="9"/>
    <x v="1"/>
    <x v="0"/>
    <x v="0"/>
    <x v="947"/>
    <x v="691"/>
    <x v="952"/>
  </r>
  <r>
    <n v="196033"/>
    <x v="0"/>
    <x v="0"/>
    <x v="3"/>
    <x v="1"/>
    <x v="0"/>
    <x v="1"/>
    <x v="948"/>
    <x v="2"/>
    <x v="953"/>
  </r>
  <r>
    <n v="242470"/>
    <x v="1"/>
    <x v="4"/>
    <x v="6"/>
    <x v="0"/>
    <x v="1"/>
    <x v="1"/>
    <x v="949"/>
    <x v="692"/>
    <x v="954"/>
  </r>
  <r>
    <n v="175565"/>
    <x v="0"/>
    <x v="3"/>
    <x v="0"/>
    <x v="1"/>
    <x v="1"/>
    <x v="0"/>
    <x v="950"/>
    <x v="693"/>
    <x v="955"/>
  </r>
  <r>
    <n v="183468"/>
    <x v="0"/>
    <x v="10"/>
    <x v="0"/>
    <x v="0"/>
    <x v="0"/>
    <x v="0"/>
    <x v="951"/>
    <x v="694"/>
    <x v="956"/>
  </r>
  <r>
    <n v="47868"/>
    <x v="1"/>
    <x v="8"/>
    <x v="6"/>
    <x v="1"/>
    <x v="0"/>
    <x v="0"/>
    <x v="952"/>
    <x v="695"/>
    <x v="957"/>
  </r>
  <r>
    <n v="76988"/>
    <x v="0"/>
    <x v="8"/>
    <x v="7"/>
    <x v="0"/>
    <x v="0"/>
    <x v="0"/>
    <x v="953"/>
    <x v="2"/>
    <x v="958"/>
  </r>
  <r>
    <n v="200631"/>
    <x v="1"/>
    <x v="9"/>
    <x v="8"/>
    <x v="0"/>
    <x v="0"/>
    <x v="0"/>
    <x v="954"/>
    <x v="214"/>
    <x v="959"/>
  </r>
  <r>
    <n v="73388"/>
    <x v="0"/>
    <x v="5"/>
    <x v="3"/>
    <x v="0"/>
    <x v="0"/>
    <x v="0"/>
    <x v="955"/>
    <x v="696"/>
    <x v="960"/>
  </r>
  <r>
    <n v="216692"/>
    <x v="0"/>
    <x v="7"/>
    <x v="9"/>
    <x v="0"/>
    <x v="0"/>
    <x v="0"/>
    <x v="956"/>
    <x v="697"/>
    <x v="961"/>
  </r>
  <r>
    <n v="119195"/>
    <x v="0"/>
    <x v="6"/>
    <x v="0"/>
    <x v="1"/>
    <x v="0"/>
    <x v="1"/>
    <x v="957"/>
    <x v="7"/>
    <x v="962"/>
  </r>
  <r>
    <n v="92716"/>
    <x v="0"/>
    <x v="2"/>
    <x v="7"/>
    <x v="0"/>
    <x v="0"/>
    <x v="0"/>
    <x v="958"/>
    <x v="2"/>
    <x v="963"/>
  </r>
  <r>
    <n v="54541"/>
    <x v="1"/>
    <x v="8"/>
    <x v="7"/>
    <x v="0"/>
    <x v="0"/>
    <x v="0"/>
    <x v="959"/>
    <x v="250"/>
    <x v="964"/>
  </r>
  <r>
    <n v="31739"/>
    <x v="0"/>
    <x v="8"/>
    <x v="7"/>
    <x v="1"/>
    <x v="0"/>
    <x v="1"/>
    <x v="960"/>
    <x v="698"/>
    <x v="965"/>
  </r>
  <r>
    <n v="225950"/>
    <x v="0"/>
    <x v="3"/>
    <x v="0"/>
    <x v="1"/>
    <x v="0"/>
    <x v="0"/>
    <x v="961"/>
    <x v="699"/>
    <x v="966"/>
  </r>
  <r>
    <n v="83242"/>
    <x v="0"/>
    <x v="7"/>
    <x v="8"/>
    <x v="0"/>
    <x v="0"/>
    <x v="0"/>
    <x v="962"/>
    <x v="700"/>
    <x v="967"/>
  </r>
  <r>
    <n v="214200"/>
    <x v="0"/>
    <x v="0"/>
    <x v="7"/>
    <x v="0"/>
    <x v="0"/>
    <x v="0"/>
    <x v="963"/>
    <x v="701"/>
    <x v="968"/>
  </r>
  <r>
    <n v="122898"/>
    <x v="0"/>
    <x v="4"/>
    <x v="1"/>
    <x v="0"/>
    <x v="0"/>
    <x v="1"/>
    <x v="964"/>
    <x v="702"/>
    <x v="969"/>
  </r>
  <r>
    <n v="54483"/>
    <x v="1"/>
    <x v="5"/>
    <x v="0"/>
    <x v="1"/>
    <x v="0"/>
    <x v="0"/>
    <x v="965"/>
    <x v="703"/>
    <x v="970"/>
  </r>
  <r>
    <n v="242401"/>
    <x v="1"/>
    <x v="1"/>
    <x v="2"/>
    <x v="0"/>
    <x v="1"/>
    <x v="0"/>
    <x v="966"/>
    <x v="704"/>
    <x v="971"/>
  </r>
  <r>
    <n v="41384"/>
    <x v="1"/>
    <x v="7"/>
    <x v="0"/>
    <x v="0"/>
    <x v="0"/>
    <x v="0"/>
    <x v="967"/>
    <x v="705"/>
    <x v="972"/>
  </r>
  <r>
    <n v="182979"/>
    <x v="0"/>
    <x v="2"/>
    <x v="7"/>
    <x v="0"/>
    <x v="0"/>
    <x v="0"/>
    <x v="968"/>
    <x v="460"/>
    <x v="973"/>
  </r>
  <r>
    <n v="127799"/>
    <x v="1"/>
    <x v="3"/>
    <x v="8"/>
    <x v="1"/>
    <x v="0"/>
    <x v="0"/>
    <x v="969"/>
    <x v="706"/>
    <x v="974"/>
  </r>
  <r>
    <n v="50703"/>
    <x v="1"/>
    <x v="8"/>
    <x v="7"/>
    <x v="0"/>
    <x v="1"/>
    <x v="0"/>
    <x v="970"/>
    <x v="2"/>
    <x v="975"/>
  </r>
  <r>
    <n v="68215"/>
    <x v="1"/>
    <x v="9"/>
    <x v="8"/>
    <x v="0"/>
    <x v="0"/>
    <x v="1"/>
    <x v="971"/>
    <x v="707"/>
    <x v="976"/>
  </r>
  <r>
    <n v="13552"/>
    <x v="1"/>
    <x v="7"/>
    <x v="6"/>
    <x v="0"/>
    <x v="0"/>
    <x v="0"/>
    <x v="972"/>
    <x v="2"/>
    <x v="977"/>
  </r>
  <r>
    <n v="8636"/>
    <x v="0"/>
    <x v="9"/>
    <x v="6"/>
    <x v="0"/>
    <x v="1"/>
    <x v="0"/>
    <x v="973"/>
    <x v="708"/>
    <x v="978"/>
  </r>
  <r>
    <n v="131274"/>
    <x v="1"/>
    <x v="4"/>
    <x v="6"/>
    <x v="1"/>
    <x v="1"/>
    <x v="1"/>
    <x v="974"/>
    <x v="2"/>
    <x v="979"/>
  </r>
  <r>
    <n v="65269"/>
    <x v="0"/>
    <x v="5"/>
    <x v="5"/>
    <x v="0"/>
    <x v="1"/>
    <x v="1"/>
    <x v="975"/>
    <x v="709"/>
    <x v="980"/>
  </r>
  <r>
    <n v="120004"/>
    <x v="1"/>
    <x v="3"/>
    <x v="0"/>
    <x v="0"/>
    <x v="0"/>
    <x v="0"/>
    <x v="976"/>
    <x v="710"/>
    <x v="981"/>
  </r>
  <r>
    <n v="147138"/>
    <x v="1"/>
    <x v="3"/>
    <x v="8"/>
    <x v="1"/>
    <x v="0"/>
    <x v="1"/>
    <x v="977"/>
    <x v="2"/>
    <x v="982"/>
  </r>
  <r>
    <n v="139546"/>
    <x v="1"/>
    <x v="4"/>
    <x v="6"/>
    <x v="1"/>
    <x v="1"/>
    <x v="0"/>
    <x v="978"/>
    <x v="476"/>
    <x v="983"/>
  </r>
  <r>
    <n v="122451"/>
    <x v="1"/>
    <x v="4"/>
    <x v="2"/>
    <x v="0"/>
    <x v="1"/>
    <x v="1"/>
    <x v="979"/>
    <x v="711"/>
    <x v="984"/>
  </r>
  <r>
    <n v="237604"/>
    <x v="0"/>
    <x v="4"/>
    <x v="1"/>
    <x v="1"/>
    <x v="0"/>
    <x v="1"/>
    <x v="980"/>
    <x v="712"/>
    <x v="985"/>
  </r>
  <r>
    <n v="181935"/>
    <x v="0"/>
    <x v="10"/>
    <x v="5"/>
    <x v="0"/>
    <x v="0"/>
    <x v="1"/>
    <x v="981"/>
    <x v="713"/>
    <x v="986"/>
  </r>
  <r>
    <n v="198332"/>
    <x v="0"/>
    <x v="9"/>
    <x v="6"/>
    <x v="0"/>
    <x v="1"/>
    <x v="0"/>
    <x v="982"/>
    <x v="714"/>
    <x v="987"/>
  </r>
  <r>
    <n v="99748"/>
    <x v="1"/>
    <x v="5"/>
    <x v="7"/>
    <x v="0"/>
    <x v="0"/>
    <x v="0"/>
    <x v="983"/>
    <x v="2"/>
    <x v="988"/>
  </r>
  <r>
    <n v="99754"/>
    <x v="0"/>
    <x v="7"/>
    <x v="4"/>
    <x v="0"/>
    <x v="0"/>
    <x v="1"/>
    <x v="984"/>
    <x v="715"/>
    <x v="989"/>
  </r>
  <r>
    <n v="109876"/>
    <x v="0"/>
    <x v="0"/>
    <x v="7"/>
    <x v="0"/>
    <x v="0"/>
    <x v="0"/>
    <x v="985"/>
    <x v="500"/>
    <x v="990"/>
  </r>
  <r>
    <n v="90820"/>
    <x v="1"/>
    <x v="10"/>
    <x v="8"/>
    <x v="0"/>
    <x v="0"/>
    <x v="0"/>
    <x v="986"/>
    <x v="716"/>
    <x v="991"/>
  </r>
  <r>
    <n v="108536"/>
    <x v="0"/>
    <x v="4"/>
    <x v="3"/>
    <x v="1"/>
    <x v="0"/>
    <x v="1"/>
    <x v="987"/>
    <x v="717"/>
    <x v="992"/>
  </r>
  <r>
    <n v="37585"/>
    <x v="1"/>
    <x v="8"/>
    <x v="1"/>
    <x v="1"/>
    <x v="0"/>
    <x v="1"/>
    <x v="988"/>
    <x v="718"/>
    <x v="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F0E64E-9721-6547-8DDD-4A1C25F579B1}" name="PivotTable3" cacheId="17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LODGMENT METHOD">
  <location ref="L64:M67" firstHeaderRow="1" firstDataRow="1" firstDataCol="1"/>
  <pivotFields count="10">
    <pivotField showAll="0"/>
    <pivotField showAll="0"/>
    <pivotField showAll="0"/>
    <pivotField showAll="0"/>
    <pivotField showAll="0"/>
    <pivotField axis="axisRow" dataField="1" showAll="0">
      <items count="3">
        <item x="1"/>
        <item x="0"/>
        <item t="default"/>
      </items>
    </pivotField>
    <pivotField showAll="0"/>
    <pivotField showAll="0">
      <items count="10">
        <item x="0"/>
        <item x="1"/>
        <item x="2"/>
        <item x="3"/>
        <item x="4"/>
        <item x="5"/>
        <item x="6"/>
        <item x="7"/>
        <item x="8"/>
        <item t="default"/>
      </items>
    </pivotField>
    <pivotField showAll="0">
      <items count="10">
        <item x="0"/>
        <item x="1"/>
        <item x="2"/>
        <item x="3"/>
        <item x="4"/>
        <item x="5"/>
        <item x="6"/>
        <item x="7"/>
        <item x="8"/>
        <item t="default"/>
      </items>
    </pivotField>
    <pivotField showAll="0">
      <items count="10">
        <item x="0"/>
        <item x="1"/>
        <item x="2"/>
        <item x="3"/>
        <item x="4"/>
        <item x="5"/>
        <item x="6"/>
        <item x="7"/>
        <item x="8"/>
        <item t="default"/>
      </items>
    </pivotField>
  </pivotFields>
  <rowFields count="1">
    <field x="5"/>
  </rowFields>
  <rowItems count="3">
    <i>
      <x/>
    </i>
    <i>
      <x v="1"/>
    </i>
    <i t="grand">
      <x/>
    </i>
  </rowItems>
  <colItems count="1">
    <i/>
  </colItems>
  <dataFields count="1">
    <dataField name="FREQUENCY" fld="5"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0F001C-DA6C-DC46-932A-833A22E8149E}" name="PivotTable4" cacheId="17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HI STATUS">
  <location ref="L82:M85" firstHeaderRow="1" firstDataRow="1" firstDataCol="1"/>
  <pivotFields count="10">
    <pivotField showAll="0"/>
    <pivotField showAll="0"/>
    <pivotField showAll="0"/>
    <pivotField showAll="0"/>
    <pivotField showAll="0"/>
    <pivotField showAll="0"/>
    <pivotField axis="axisRow" dataField="1" showAll="0">
      <items count="3">
        <item x="1"/>
        <item x="0"/>
        <item t="default"/>
      </items>
    </pivotField>
    <pivotField showAll="0">
      <items count="10">
        <item x="0"/>
        <item x="1"/>
        <item x="2"/>
        <item x="3"/>
        <item x="4"/>
        <item x="5"/>
        <item x="6"/>
        <item x="7"/>
        <item x="8"/>
        <item t="default"/>
      </items>
    </pivotField>
    <pivotField showAll="0">
      <items count="10">
        <item x="0"/>
        <item x="1"/>
        <item x="2"/>
        <item x="3"/>
        <item x="4"/>
        <item x="5"/>
        <item x="6"/>
        <item x="7"/>
        <item x="8"/>
        <item t="default"/>
      </items>
    </pivotField>
    <pivotField showAll="0">
      <items count="10">
        <item x="0"/>
        <item x="1"/>
        <item x="2"/>
        <item x="3"/>
        <item x="4"/>
        <item x="5"/>
        <item x="6"/>
        <item x="7"/>
        <item x="8"/>
        <item t="default"/>
      </items>
    </pivotField>
  </pivotFields>
  <rowFields count="1">
    <field x="6"/>
  </rowFields>
  <rowItems count="3">
    <i>
      <x/>
    </i>
    <i>
      <x v="1"/>
    </i>
    <i t="grand">
      <x/>
    </i>
  </rowItems>
  <colItems count="1">
    <i/>
  </colItems>
  <dataFields count="1">
    <dataField name="RELATIVE FREQUENCY" fld="6" subtotal="count" showDataAs="percentOfTotal" baseField="0" baseItem="0" numFmtId="164"/>
  </dataFields>
  <formats count="1">
    <format dxfId="13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35817D-768A-7044-AE0D-4FCBAFF8F6D3}" name="PivotTable7" cacheId="17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INCOME RANGE">
  <location ref="L97:M107" firstHeaderRow="1" firstDataRow="1" firstDataCol="1"/>
  <pivotFields count="10">
    <pivotField showAll="0"/>
    <pivotField showAll="0"/>
    <pivotField showAll="0"/>
    <pivotField showAll="0"/>
    <pivotField showAll="0"/>
    <pivotField showAll="0"/>
    <pivotField showAll="0"/>
    <pivotField axis="axisRow" dataField="1" showAll="0">
      <items count="10">
        <item x="0"/>
        <item x="1"/>
        <item x="2"/>
        <item x="3"/>
        <item x="4"/>
        <item x="5"/>
        <item x="6"/>
        <item x="7"/>
        <item x="8"/>
        <item t="default"/>
      </items>
    </pivotField>
    <pivotField showAll="0">
      <items count="10">
        <item x="0"/>
        <item x="1"/>
        <item x="2"/>
        <item x="3"/>
        <item x="4"/>
        <item x="5"/>
        <item x="6"/>
        <item x="7"/>
        <item x="8"/>
        <item t="default"/>
      </items>
    </pivotField>
    <pivotField showAll="0">
      <items count="10">
        <item x="0"/>
        <item x="1"/>
        <item x="2"/>
        <item x="3"/>
        <item x="4"/>
        <item x="5"/>
        <item x="6"/>
        <item x="7"/>
        <item x="8"/>
        <item t="default"/>
      </items>
    </pivotField>
  </pivotFields>
  <rowFields count="1">
    <field x="7"/>
  </rowFields>
  <rowItems count="10">
    <i>
      <x/>
    </i>
    <i>
      <x v="1"/>
    </i>
    <i>
      <x v="2"/>
    </i>
    <i>
      <x v="3"/>
    </i>
    <i>
      <x v="4"/>
    </i>
    <i>
      <x v="5"/>
    </i>
    <i>
      <x v="6"/>
    </i>
    <i>
      <x v="7"/>
    </i>
    <i>
      <x v="8"/>
    </i>
    <i t="grand">
      <x/>
    </i>
  </rowItems>
  <colItems count="1">
    <i/>
  </colItems>
  <dataFields count="1">
    <dataField name="FREQUENCY" fld="7" subtotal="count" baseField="0" baseItem="0"/>
  </dataFields>
  <formats count="1">
    <format dxfId="138">
      <pivotArea dataOnly="0" labelOnly="1" fieldPosition="0">
        <references count="1">
          <reference field="7"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5B1469-0519-AD4D-B07F-47D6233A2D60}" name="PivotTable10" cacheId="17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AXABLE INCOME">
  <location ref="L140:M150" firstHeaderRow="1" firstDataRow="1" firstDataCol="1"/>
  <pivotFields count="10">
    <pivotField showAll="0"/>
    <pivotField showAll="0"/>
    <pivotField showAll="0"/>
    <pivotField showAll="0"/>
    <pivotField showAll="0"/>
    <pivotField showAll="0"/>
    <pivotField showAll="0"/>
    <pivotField showAll="0">
      <items count="10">
        <item x="0"/>
        <item x="1"/>
        <item x="2"/>
        <item x="3"/>
        <item x="4"/>
        <item x="5"/>
        <item x="6"/>
        <item x="7"/>
        <item x="8"/>
        <item t="default"/>
      </items>
    </pivotField>
    <pivotField showAll="0">
      <items count="10">
        <item x="0"/>
        <item x="1"/>
        <item x="2"/>
        <item x="3"/>
        <item x="4"/>
        <item x="5"/>
        <item x="6"/>
        <item x="7"/>
        <item x="8"/>
        <item t="default"/>
      </items>
    </pivotField>
    <pivotField axis="axisRow" dataField="1" showAll="0">
      <items count="10">
        <item x="0"/>
        <item x="1"/>
        <item x="2"/>
        <item x="3"/>
        <item x="4"/>
        <item x="5"/>
        <item x="6"/>
        <item x="7"/>
        <item x="8"/>
        <item t="default"/>
      </items>
    </pivotField>
  </pivotFields>
  <rowFields count="1">
    <field x="9"/>
  </rowFields>
  <rowItems count="10">
    <i>
      <x/>
    </i>
    <i>
      <x v="1"/>
    </i>
    <i>
      <x v="2"/>
    </i>
    <i>
      <x v="3"/>
    </i>
    <i>
      <x v="4"/>
    </i>
    <i>
      <x v="5"/>
    </i>
    <i>
      <x v="6"/>
    </i>
    <i>
      <x v="7"/>
    </i>
    <i>
      <x v="8"/>
    </i>
    <i t="grand">
      <x/>
    </i>
  </rowItems>
  <colItems count="1">
    <i/>
  </colItems>
  <dataFields count="1">
    <dataField name="FREQUENCY" fld="9"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554428-3A3E-C646-8C9F-68A11EAC6D2F}" name="PivotTable1" cacheId="17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OCCUPATION CODE">
  <location ref="L34:M45" firstHeaderRow="1" firstDataRow="1" firstDataCol="1"/>
  <pivotFields count="10">
    <pivotField showAll="0"/>
    <pivotField showAll="0"/>
    <pivotField showAll="0"/>
    <pivotField axis="axisRow" dataField="1" showAll="0">
      <items count="11">
        <item x="8"/>
        <item x="9"/>
        <item x="2"/>
        <item x="4"/>
        <item x="5"/>
        <item x="0"/>
        <item x="7"/>
        <item x="6"/>
        <item x="1"/>
        <item x="3"/>
        <item t="default"/>
      </items>
    </pivotField>
    <pivotField showAll="0"/>
    <pivotField showAll="0"/>
    <pivotField showAll="0"/>
    <pivotField showAll="0">
      <items count="10">
        <item x="0"/>
        <item x="1"/>
        <item x="2"/>
        <item x="3"/>
        <item x="4"/>
        <item x="5"/>
        <item x="6"/>
        <item x="7"/>
        <item x="8"/>
        <item t="default"/>
      </items>
    </pivotField>
    <pivotField showAll="0">
      <items count="10">
        <item x="0"/>
        <item x="1"/>
        <item x="2"/>
        <item x="3"/>
        <item x="4"/>
        <item x="5"/>
        <item x="6"/>
        <item x="7"/>
        <item x="8"/>
        <item t="default"/>
      </items>
    </pivotField>
    <pivotField showAll="0">
      <items count="10">
        <item x="0"/>
        <item x="1"/>
        <item x="2"/>
        <item x="3"/>
        <item x="4"/>
        <item x="5"/>
        <item x="6"/>
        <item x="7"/>
        <item x="8"/>
        <item t="default"/>
      </items>
    </pivotField>
  </pivotFields>
  <rowFields count="1">
    <field x="3"/>
  </rowFields>
  <rowItems count="11">
    <i>
      <x/>
    </i>
    <i>
      <x v="1"/>
    </i>
    <i>
      <x v="2"/>
    </i>
    <i>
      <x v="3"/>
    </i>
    <i>
      <x v="4"/>
    </i>
    <i>
      <x v="5"/>
    </i>
    <i>
      <x v="6"/>
    </i>
    <i>
      <x v="7"/>
    </i>
    <i>
      <x v="8"/>
    </i>
    <i>
      <x v="9"/>
    </i>
    <i t="grand">
      <x/>
    </i>
  </rowItems>
  <colItems count="1">
    <i/>
  </colItems>
  <dataFields count="1">
    <dataField name="FREQUENCY"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017B39-8E32-0748-80D0-27FD31D89B9E}" name="PivotTable2" cacheId="17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ARTNER STATUS">
  <location ref="L49:M52" firstHeaderRow="1" firstDataRow="1" firstDataCol="1"/>
  <pivotFields count="10">
    <pivotField showAll="0"/>
    <pivotField showAll="0"/>
    <pivotField showAll="0"/>
    <pivotField showAll="0"/>
    <pivotField axis="axisRow" dataField="1" showAll="0">
      <items count="3">
        <item x="0"/>
        <item x="1"/>
        <item t="default"/>
      </items>
    </pivotField>
    <pivotField showAll="0"/>
    <pivotField showAll="0"/>
    <pivotField showAll="0">
      <items count="10">
        <item x="0"/>
        <item x="1"/>
        <item x="2"/>
        <item x="3"/>
        <item x="4"/>
        <item x="5"/>
        <item x="6"/>
        <item x="7"/>
        <item x="8"/>
        <item t="default"/>
      </items>
    </pivotField>
    <pivotField showAll="0">
      <items count="10">
        <item x="0"/>
        <item x="1"/>
        <item x="2"/>
        <item x="3"/>
        <item x="4"/>
        <item x="5"/>
        <item x="6"/>
        <item x="7"/>
        <item x="8"/>
        <item t="default"/>
      </items>
    </pivotField>
    <pivotField showAll="0">
      <items count="10">
        <item x="0"/>
        <item x="1"/>
        <item x="2"/>
        <item x="3"/>
        <item x="4"/>
        <item x="5"/>
        <item x="6"/>
        <item x="7"/>
        <item x="8"/>
        <item t="default"/>
      </items>
    </pivotField>
  </pivotFields>
  <rowFields count="1">
    <field x="4"/>
  </rowFields>
  <rowItems count="3">
    <i>
      <x/>
    </i>
    <i>
      <x v="1"/>
    </i>
    <i t="grand">
      <x/>
    </i>
  </rowItems>
  <colItems count="1">
    <i/>
  </colItems>
  <dataFields count="1">
    <dataField name="FREQUENCY" fld="4"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66F787-471C-0A4B-B9DD-346CF585102C}" name="PivotTable6" cacheId="17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AGE RANGE">
  <location ref="L17:M30" firstHeaderRow="1" firstDataRow="1" firstDataCol="1"/>
  <pivotFields count="10">
    <pivotField showAll="0"/>
    <pivotField showAll="0"/>
    <pivotField axis="axisRow" dataField="1" showAll="0">
      <items count="13">
        <item x="6"/>
        <item x="1"/>
        <item x="4"/>
        <item x="3"/>
        <item x="5"/>
        <item x="8"/>
        <item x="0"/>
        <item x="7"/>
        <item x="9"/>
        <item x="10"/>
        <item x="11"/>
        <item x="2"/>
        <item t="default"/>
      </items>
    </pivotField>
    <pivotField showAll="0"/>
    <pivotField showAll="0"/>
    <pivotField showAll="0"/>
    <pivotField showAll="0"/>
    <pivotField showAll="0">
      <items count="10">
        <item x="0"/>
        <item x="1"/>
        <item x="2"/>
        <item x="3"/>
        <item x="4"/>
        <item x="5"/>
        <item x="6"/>
        <item x="7"/>
        <item x="8"/>
        <item t="default"/>
      </items>
    </pivotField>
    <pivotField showAll="0">
      <items count="10">
        <item x="0"/>
        <item x="1"/>
        <item x="2"/>
        <item x="3"/>
        <item x="4"/>
        <item x="5"/>
        <item x="6"/>
        <item x="7"/>
        <item x="8"/>
        <item t="default"/>
      </items>
    </pivotField>
    <pivotField showAll="0">
      <items count="10">
        <item x="0"/>
        <item x="1"/>
        <item x="2"/>
        <item x="3"/>
        <item x="4"/>
        <item x="5"/>
        <item x="6"/>
        <item x="7"/>
        <item x="8"/>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FREQUENCY"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86D7A6-78E6-9C4E-97E3-5D158C8A333B}" name="PivotTable5" cacheId="17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GENDER">
  <location ref="L4:M7" firstHeaderRow="1" firstDataRow="1" firstDataCol="1"/>
  <pivotFields count="10">
    <pivotField showAll="0"/>
    <pivotField axis="axisRow" dataField="1" showAll="0">
      <items count="3">
        <item x="1"/>
        <item x="0"/>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items count="10">
        <item x="0"/>
        <item x="1"/>
        <item x="2"/>
        <item x="3"/>
        <item x="4"/>
        <item x="5"/>
        <item x="6"/>
        <item x="7"/>
        <item x="8"/>
        <item t="default"/>
      </items>
    </pivotField>
    <pivotField showAll="0">
      <items count="10">
        <item x="0"/>
        <item x="1"/>
        <item x="2"/>
        <item x="3"/>
        <item x="4"/>
        <item x="5"/>
        <item x="6"/>
        <item x="7"/>
        <item x="8"/>
        <item t="default"/>
      </items>
    </pivotField>
  </pivotFields>
  <rowFields count="1">
    <field x="1"/>
  </rowFields>
  <rowItems count="3">
    <i>
      <x/>
    </i>
    <i>
      <x v="1"/>
    </i>
    <i t="grand">
      <x/>
    </i>
  </rowItems>
  <colItems count="1">
    <i/>
  </colItems>
  <dataFields count="1">
    <dataField name="FREQUENCY" fld="1" subtotal="count" baseField="0" baseItem="0"/>
  </dataFields>
  <chartFormats count="3">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1" count="1" selected="0">
            <x v="0"/>
          </reference>
        </references>
      </pivotArea>
    </chartFormat>
    <chartFormat chart="0"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C31158-C53B-2D4F-B530-0AAD95044048}" name="PivotTable9" cacheId="17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DUCTION">
  <location ref="L119:M127" firstHeaderRow="1" firstDataRow="1" firstDataCol="1"/>
  <pivotFields count="10">
    <pivotField showAll="0"/>
    <pivotField showAll="0"/>
    <pivotField showAll="0"/>
    <pivotField showAll="0"/>
    <pivotField showAll="0"/>
    <pivotField showAll="0"/>
    <pivotField showAll="0"/>
    <pivotField showAll="0">
      <items count="10">
        <item x="0"/>
        <item x="1"/>
        <item x="2"/>
        <item x="3"/>
        <item x="4"/>
        <item x="5"/>
        <item x="6"/>
        <item x="7"/>
        <item x="8"/>
        <item t="default"/>
      </items>
    </pivotField>
    <pivotField axis="axisRow" dataField="1" showAll="0">
      <items count="10">
        <item x="0"/>
        <item x="1"/>
        <item x="2"/>
        <item x="3"/>
        <item x="4"/>
        <item x="5"/>
        <item x="6"/>
        <item x="7"/>
        <item x="8"/>
        <item t="default"/>
      </items>
    </pivotField>
    <pivotField showAll="0">
      <items count="10">
        <item x="0"/>
        <item x="1"/>
        <item x="2"/>
        <item x="3"/>
        <item x="4"/>
        <item x="5"/>
        <item x="6"/>
        <item x="7"/>
        <item x="8"/>
        <item t="default"/>
      </items>
    </pivotField>
  </pivotFields>
  <rowFields count="1">
    <field x="8"/>
  </rowFields>
  <rowItems count="8">
    <i>
      <x v="1"/>
    </i>
    <i>
      <x v="2"/>
    </i>
    <i>
      <x v="3"/>
    </i>
    <i>
      <x v="4"/>
    </i>
    <i>
      <x v="5"/>
    </i>
    <i>
      <x v="6"/>
    </i>
    <i>
      <x v="8"/>
    </i>
    <i t="grand">
      <x/>
    </i>
  </rowItems>
  <colItems count="1">
    <i/>
  </colItems>
  <dataFields count="1">
    <dataField name="FREQUENCY"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538676B-5ADA-154F-ABCF-AA41DF84BD9B}" name="P1" cacheId="17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0">
    <pivotField showAll="0"/>
    <pivotField showAll="0">
      <items count="3">
        <item x="1"/>
        <item x="0"/>
        <item t="default"/>
      </items>
    </pivotField>
    <pivotField axis="axisRow" showAll="0">
      <items count="13">
        <item x="6"/>
        <item x="1"/>
        <item x="4"/>
        <item x="3"/>
        <item x="5"/>
        <item x="8"/>
        <item x="0"/>
        <item x="7"/>
        <item x="9"/>
        <item x="10"/>
        <item x="11"/>
        <item x="2"/>
        <item t="default"/>
      </items>
    </pivotField>
    <pivotField showAll="0">
      <items count="11">
        <item x="8"/>
        <item x="9"/>
        <item x="2"/>
        <item x="4"/>
        <item x="5"/>
        <item x="0"/>
        <item x="7"/>
        <item x="6"/>
        <item x="1"/>
        <item x="3"/>
        <item t="default"/>
      </items>
    </pivotField>
    <pivotField showAll="0">
      <items count="3">
        <item x="0"/>
        <item x="1"/>
        <item t="default"/>
      </items>
    </pivotField>
    <pivotField showAll="0">
      <items count="3">
        <item x="1"/>
        <item x="0"/>
        <item t="default"/>
      </items>
    </pivotField>
    <pivotField showAll="0">
      <items count="3">
        <item x="1"/>
        <item x="0"/>
        <item t="default"/>
      </items>
    </pivotField>
    <pivotField dataField="1"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Average of Tot_inc_amt" fld="7" subtotal="average" baseField="0" baseItem="0" numFmtId="1"/>
  </dataFields>
  <formats count="1">
    <format dxfId="13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69A262C-4767-3845-B306-8196407EEE2C}" name="P2" cacheId="17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0">
    <pivotField showAll="0"/>
    <pivotField axis="axisRow" dataField="1" showAll="0">
      <items count="3">
        <item x="1"/>
        <item x="0"/>
        <item t="default"/>
      </items>
    </pivotField>
    <pivotField showAll="0">
      <items count="13">
        <item x="1"/>
        <item x="4"/>
        <item x="3"/>
        <item x="5"/>
        <item x="8"/>
        <item x="0"/>
        <item x="7"/>
        <item x="9"/>
        <item x="10"/>
        <item x="11"/>
        <item x="2"/>
        <item x="6"/>
        <item t="default"/>
      </items>
    </pivotField>
    <pivotField showAll="0">
      <items count="11">
        <item x="8"/>
        <item x="9"/>
        <item x="2"/>
        <item x="4"/>
        <item x="5"/>
        <item x="0"/>
        <item x="7"/>
        <item x="6"/>
        <item x="1"/>
        <item x="3"/>
        <item t="default"/>
      </items>
    </pivotField>
    <pivotField showAll="0">
      <items count="3">
        <item x="0"/>
        <item x="1"/>
        <item t="default"/>
      </items>
    </pivotField>
    <pivotField showAll="0">
      <items count="3">
        <item x="1"/>
        <item x="0"/>
        <item t="default"/>
      </items>
    </pivotField>
    <pivotField showAll="0">
      <items count="3">
        <item x="1"/>
        <item x="0"/>
        <item t="default"/>
      </items>
    </pivotField>
    <pivotField showAll="0"/>
    <pivotField showAll="0"/>
    <pivotField showAll="0"/>
  </pivotFields>
  <rowFields count="1">
    <field x="1"/>
  </rowFields>
  <rowItems count="3">
    <i>
      <x/>
    </i>
    <i>
      <x v="1"/>
    </i>
    <i t="grand">
      <x/>
    </i>
  </rowItems>
  <colItems count="1">
    <i/>
  </colItems>
  <dataFields count="1">
    <dataField name="Count of Gender" fld="1" subtotal="count" showDataAs="percentOfTotal" baseField="0" baseItem="0" numFmtId="10"/>
  </dataFields>
  <formats count="1">
    <format dxfId="136">
      <pivotArea collapsedLevelsAreSubtotals="1" fieldPosition="0">
        <references count="1">
          <reference field="1"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96271A-8891-CB4C-A1A4-F7B04F47E148}" name="P3" cacheId="17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7" firstHeaderRow="1" firstDataRow="2" firstDataCol="1"/>
  <pivotFields count="10">
    <pivotField showAll="0"/>
    <pivotField axis="axisCol" showAll="0">
      <items count="3">
        <item x="1"/>
        <item x="0"/>
        <item t="default"/>
      </items>
    </pivotField>
    <pivotField axis="axisRow" showAll="0">
      <items count="13">
        <item x="6"/>
        <item x="1"/>
        <item x="4"/>
        <item x="3"/>
        <item x="5"/>
        <item x="8"/>
        <item x="0"/>
        <item x="7"/>
        <item x="9"/>
        <item x="10"/>
        <item x="11"/>
        <item x="2"/>
        <item t="default"/>
      </items>
    </pivotField>
    <pivotField showAll="0">
      <items count="11">
        <item x="8"/>
        <item x="9"/>
        <item x="2"/>
        <item x="4"/>
        <item x="5"/>
        <item x="0"/>
        <item x="7"/>
        <item x="6"/>
        <item x="1"/>
        <item x="3"/>
        <item t="default"/>
      </items>
    </pivotField>
    <pivotField showAll="0">
      <items count="3">
        <item x="0"/>
        <item x="1"/>
        <item t="default"/>
      </items>
    </pivotField>
    <pivotField showAll="0">
      <items count="3">
        <item x="1"/>
        <item x="0"/>
        <item t="default"/>
      </items>
    </pivotField>
    <pivotField showAll="0">
      <items count="3">
        <item x="1"/>
        <item x="0"/>
        <item t="default"/>
      </items>
    </pivotField>
    <pivotField showAll="0"/>
    <pivotField dataField="1" showAll="0"/>
    <pivotField showAll="0"/>
  </pivotFields>
  <rowFields count="1">
    <field x="2"/>
  </rowFields>
  <rowItems count="13">
    <i>
      <x/>
    </i>
    <i>
      <x v="1"/>
    </i>
    <i>
      <x v="2"/>
    </i>
    <i>
      <x v="3"/>
    </i>
    <i>
      <x v="4"/>
    </i>
    <i>
      <x v="5"/>
    </i>
    <i>
      <x v="6"/>
    </i>
    <i>
      <x v="7"/>
    </i>
    <i>
      <x v="8"/>
    </i>
    <i>
      <x v="9"/>
    </i>
    <i>
      <x v="10"/>
    </i>
    <i>
      <x v="11"/>
    </i>
    <i t="grand">
      <x/>
    </i>
  </rowItems>
  <colFields count="1">
    <field x="1"/>
  </colFields>
  <colItems count="3">
    <i>
      <x/>
    </i>
    <i>
      <x v="1"/>
    </i>
    <i t="grand">
      <x/>
    </i>
  </colItems>
  <dataFields count="1">
    <dataField name="Average of Tot_ded_amt" fld="8" subtotal="average" baseField="0" baseItem="0" numFmtId="1"/>
  </dataFields>
  <formats count="1">
    <format dxfId="135">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0"/>
          </reference>
        </references>
      </pivotArea>
    </chartFormat>
    <chartFormat chart="5" format="6"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43FBE8E-C790-B047-BE07-16889D025DD5}" name="P4" cacheId="17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5" firstHeaderRow="1" firstDataRow="2" firstDataCol="1"/>
  <pivotFields count="10">
    <pivotField showAll="0"/>
    <pivotField showAll="0">
      <items count="3">
        <item x="1"/>
        <item x="0"/>
        <item t="default"/>
      </items>
    </pivotField>
    <pivotField showAll="0">
      <items count="13">
        <item x="1"/>
        <item x="4"/>
        <item x="3"/>
        <item x="5"/>
        <item x="8"/>
        <item x="0"/>
        <item x="7"/>
        <item x="9"/>
        <item x="10"/>
        <item x="11"/>
        <item x="2"/>
        <item x="6"/>
        <item t="default"/>
      </items>
    </pivotField>
    <pivotField axis="axisRow" showAll="0">
      <items count="11">
        <item x="8"/>
        <item x="9"/>
        <item x="2"/>
        <item x="4"/>
        <item x="5"/>
        <item x="0"/>
        <item x="7"/>
        <item x="6"/>
        <item x="1"/>
        <item x="3"/>
        <item t="default"/>
      </items>
    </pivotField>
    <pivotField axis="axisCol" showAll="0">
      <items count="3">
        <item x="0"/>
        <item x="1"/>
        <item t="default"/>
      </items>
    </pivotField>
    <pivotField showAll="0">
      <items count="3">
        <item x="1"/>
        <item x="0"/>
        <item t="default"/>
      </items>
    </pivotField>
    <pivotField showAll="0">
      <items count="3">
        <item x="1"/>
        <item x="0"/>
        <item t="default"/>
      </items>
    </pivotField>
    <pivotField showAll="0"/>
    <pivotField showAll="0"/>
    <pivotField dataField="1" showAll="0"/>
  </pivotFields>
  <rowFields count="1">
    <field x="3"/>
  </rowFields>
  <rowItems count="11">
    <i>
      <x/>
    </i>
    <i>
      <x v="1"/>
    </i>
    <i>
      <x v="2"/>
    </i>
    <i>
      <x v="3"/>
    </i>
    <i>
      <x v="4"/>
    </i>
    <i>
      <x v="5"/>
    </i>
    <i>
      <x v="6"/>
    </i>
    <i>
      <x v="7"/>
    </i>
    <i>
      <x v="8"/>
    </i>
    <i>
      <x v="9"/>
    </i>
    <i t="grand">
      <x/>
    </i>
  </rowItems>
  <colFields count="1">
    <field x="4"/>
  </colFields>
  <colItems count="3">
    <i>
      <x/>
    </i>
    <i>
      <x v="1"/>
    </i>
    <i t="grand">
      <x/>
    </i>
  </colItems>
  <dataFields count="1">
    <dataField name="Average of Taxable_Income" fld="9" subtotal="average" baseField="0" baseItem="0" numFmtId="1"/>
  </dataFields>
  <formats count="1">
    <format dxfId="134">
      <pivotArea outline="0" collapsedLevelsAreSubtotals="1" fieldPosition="0"/>
    </format>
  </format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5" format="4" series="1">
      <pivotArea type="data" outline="0" fieldPosition="0">
        <references count="2">
          <reference field="4294967294" count="1" selected="0">
            <x v="0"/>
          </reference>
          <reference field="4" count="1" selected="0">
            <x v="0"/>
          </reference>
        </references>
      </pivotArea>
    </chartFormat>
    <chartFormat chart="5"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8CC0267-117C-BD40-A22F-FD686B5C330A}" name="P5" cacheId="1786"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5">
  <location ref="A3:B34" firstHeaderRow="1" firstDataRow="1" firstDataCol="1"/>
  <pivotFields count="10">
    <pivotField showAll="0"/>
    <pivotField showAll="0">
      <items count="3">
        <item x="1"/>
        <item x="0"/>
        <item t="default"/>
      </items>
    </pivotField>
    <pivotField showAll="0">
      <items count="13">
        <item x="1"/>
        <item x="4"/>
        <item x="3"/>
        <item x="5"/>
        <item x="8"/>
        <item x="0"/>
        <item x="7"/>
        <item x="9"/>
        <item x="10"/>
        <item x="11"/>
        <item x="2"/>
        <item x="6"/>
        <item t="default"/>
      </items>
    </pivotField>
    <pivotField axis="axisRow" showAll="0">
      <items count="11">
        <item x="8"/>
        <item x="9"/>
        <item x="2"/>
        <item x="4"/>
        <item x="5"/>
        <item x="0"/>
        <item x="7"/>
        <item x="6"/>
        <item x="1"/>
        <item x="3"/>
        <item t="default"/>
      </items>
    </pivotField>
    <pivotField showAll="0">
      <items count="3">
        <item x="0"/>
        <item x="1"/>
        <item t="default"/>
      </items>
    </pivotField>
    <pivotField showAll="0">
      <items count="3">
        <item x="1"/>
        <item x="0"/>
        <item t="default"/>
      </items>
    </pivotField>
    <pivotField axis="axisRow" showAll="0">
      <items count="3">
        <item x="1"/>
        <item x="0"/>
        <item t="default"/>
      </items>
    </pivotField>
    <pivotField showAll="0"/>
    <pivotField showAll="0"/>
    <pivotField dataField="1" showAll="0"/>
  </pivotFields>
  <rowFields count="2">
    <field x="3"/>
    <field x="6"/>
  </rowFields>
  <rowItems count="31">
    <i>
      <x/>
    </i>
    <i r="1">
      <x/>
    </i>
    <i r="1">
      <x v="1"/>
    </i>
    <i>
      <x v="1"/>
    </i>
    <i r="1">
      <x/>
    </i>
    <i r="1">
      <x v="1"/>
    </i>
    <i>
      <x v="2"/>
    </i>
    <i r="1">
      <x/>
    </i>
    <i r="1">
      <x v="1"/>
    </i>
    <i>
      <x v="3"/>
    </i>
    <i r="1">
      <x/>
    </i>
    <i r="1">
      <x v="1"/>
    </i>
    <i>
      <x v="4"/>
    </i>
    <i r="1">
      <x/>
    </i>
    <i r="1">
      <x v="1"/>
    </i>
    <i>
      <x v="5"/>
    </i>
    <i r="1">
      <x/>
    </i>
    <i r="1">
      <x v="1"/>
    </i>
    <i>
      <x v="6"/>
    </i>
    <i r="1">
      <x/>
    </i>
    <i r="1">
      <x v="1"/>
    </i>
    <i>
      <x v="7"/>
    </i>
    <i r="1">
      <x/>
    </i>
    <i r="1">
      <x v="1"/>
    </i>
    <i>
      <x v="8"/>
    </i>
    <i r="1">
      <x/>
    </i>
    <i r="1">
      <x v="1"/>
    </i>
    <i>
      <x v="9"/>
    </i>
    <i r="1">
      <x/>
    </i>
    <i r="1">
      <x v="1"/>
    </i>
    <i t="grand">
      <x/>
    </i>
  </rowItems>
  <colItems count="1">
    <i/>
  </colItems>
  <dataFields count="1">
    <dataField name="Average of Taxable_Income" fld="9" subtotal="average" baseField="0" baseItem="0" numFmtId="165"/>
  </dataFields>
  <formats count="1">
    <format dxfId="133">
      <pivotArea outline="0" collapsedLevelsAreSubtotals="1" fieldPosition="0"/>
    </format>
  </formats>
  <chartFormats count="4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3" count="1" selected="0">
            <x v="0"/>
          </reference>
          <reference field="6" count="1" selected="0">
            <x v="0"/>
          </reference>
        </references>
      </pivotArea>
    </chartFormat>
    <chartFormat chart="0" format="2">
      <pivotArea type="data" outline="0" fieldPosition="0">
        <references count="3">
          <reference field="4294967294" count="1" selected="0">
            <x v="0"/>
          </reference>
          <reference field="3" count="1" selected="0">
            <x v="0"/>
          </reference>
          <reference field="6" count="1" selected="0">
            <x v="1"/>
          </reference>
        </references>
      </pivotArea>
    </chartFormat>
    <chartFormat chart="0" format="3">
      <pivotArea type="data" outline="0" fieldPosition="0">
        <references count="3">
          <reference field="4294967294" count="1" selected="0">
            <x v="0"/>
          </reference>
          <reference field="3" count="1" selected="0">
            <x v="1"/>
          </reference>
          <reference field="6" count="1" selected="0">
            <x v="0"/>
          </reference>
        </references>
      </pivotArea>
    </chartFormat>
    <chartFormat chart="0" format="4">
      <pivotArea type="data" outline="0" fieldPosition="0">
        <references count="3">
          <reference field="4294967294" count="1" selected="0">
            <x v="0"/>
          </reference>
          <reference field="3" count="1" selected="0">
            <x v="2"/>
          </reference>
          <reference field="6" count="1" selected="0">
            <x v="0"/>
          </reference>
        </references>
      </pivotArea>
    </chartFormat>
    <chartFormat chart="0" format="5">
      <pivotArea type="data" outline="0" fieldPosition="0">
        <references count="3">
          <reference field="4294967294" count="1" selected="0">
            <x v="0"/>
          </reference>
          <reference field="3" count="1" selected="0">
            <x v="3"/>
          </reference>
          <reference field="6" count="1" selected="0">
            <x v="0"/>
          </reference>
        </references>
      </pivotArea>
    </chartFormat>
    <chartFormat chart="0" format="6">
      <pivotArea type="data" outline="0" fieldPosition="0">
        <references count="3">
          <reference field="4294967294" count="1" selected="0">
            <x v="0"/>
          </reference>
          <reference field="3" count="1" selected="0">
            <x v="4"/>
          </reference>
          <reference field="6" count="1" selected="0">
            <x v="0"/>
          </reference>
        </references>
      </pivotArea>
    </chartFormat>
    <chartFormat chart="0" format="7">
      <pivotArea type="data" outline="0" fieldPosition="0">
        <references count="3">
          <reference field="4294967294" count="1" selected="0">
            <x v="0"/>
          </reference>
          <reference field="3" count="1" selected="0">
            <x v="5"/>
          </reference>
          <reference field="6" count="1" selected="0">
            <x v="0"/>
          </reference>
        </references>
      </pivotArea>
    </chartFormat>
    <chartFormat chart="0" format="8">
      <pivotArea type="data" outline="0" fieldPosition="0">
        <references count="3">
          <reference field="4294967294" count="1" selected="0">
            <x v="0"/>
          </reference>
          <reference field="3" count="1" selected="0">
            <x v="6"/>
          </reference>
          <reference field="6" count="1" selected="0">
            <x v="0"/>
          </reference>
        </references>
      </pivotArea>
    </chartFormat>
    <chartFormat chart="0" format="9">
      <pivotArea type="data" outline="0" fieldPosition="0">
        <references count="3">
          <reference field="4294967294" count="1" selected="0">
            <x v="0"/>
          </reference>
          <reference field="3" count="1" selected="0">
            <x v="7"/>
          </reference>
          <reference field="6" count="1" selected="0">
            <x v="0"/>
          </reference>
        </references>
      </pivotArea>
    </chartFormat>
    <chartFormat chart="0" format="10">
      <pivotArea type="data" outline="0" fieldPosition="0">
        <references count="3">
          <reference field="4294967294" count="1" selected="0">
            <x v="0"/>
          </reference>
          <reference field="3" count="1" selected="0">
            <x v="8"/>
          </reference>
          <reference field="6" count="1" selected="0">
            <x v="0"/>
          </reference>
        </references>
      </pivotArea>
    </chartFormat>
    <chartFormat chart="0" format="11">
      <pivotArea type="data" outline="0" fieldPosition="0">
        <references count="3">
          <reference field="4294967294" count="1" selected="0">
            <x v="0"/>
          </reference>
          <reference field="3" count="1" selected="0">
            <x v="9"/>
          </reference>
          <reference field="6" count="1" selected="0">
            <x v="0"/>
          </reference>
        </references>
      </pivotArea>
    </chartFormat>
    <chartFormat chart="0" format="12">
      <pivotArea type="data" outline="0" fieldPosition="0">
        <references count="3">
          <reference field="4294967294" count="1" selected="0">
            <x v="0"/>
          </reference>
          <reference field="3" count="1" selected="0">
            <x v="1"/>
          </reference>
          <reference field="6" count="1" selected="0">
            <x v="1"/>
          </reference>
        </references>
      </pivotArea>
    </chartFormat>
    <chartFormat chart="0" format="13">
      <pivotArea type="data" outline="0" fieldPosition="0">
        <references count="3">
          <reference field="4294967294" count="1" selected="0">
            <x v="0"/>
          </reference>
          <reference field="3" count="1" selected="0">
            <x v="2"/>
          </reference>
          <reference field="6" count="1" selected="0">
            <x v="1"/>
          </reference>
        </references>
      </pivotArea>
    </chartFormat>
    <chartFormat chart="0" format="14">
      <pivotArea type="data" outline="0" fieldPosition="0">
        <references count="3">
          <reference field="4294967294" count="1" selected="0">
            <x v="0"/>
          </reference>
          <reference field="3" count="1" selected="0">
            <x v="3"/>
          </reference>
          <reference field="6" count="1" selected="0">
            <x v="1"/>
          </reference>
        </references>
      </pivotArea>
    </chartFormat>
    <chartFormat chart="0" format="15">
      <pivotArea type="data" outline="0" fieldPosition="0">
        <references count="3">
          <reference field="4294967294" count="1" selected="0">
            <x v="0"/>
          </reference>
          <reference field="3" count="1" selected="0">
            <x v="4"/>
          </reference>
          <reference field="6" count="1" selected="0">
            <x v="1"/>
          </reference>
        </references>
      </pivotArea>
    </chartFormat>
    <chartFormat chart="0" format="16">
      <pivotArea type="data" outline="0" fieldPosition="0">
        <references count="3">
          <reference field="4294967294" count="1" selected="0">
            <x v="0"/>
          </reference>
          <reference field="3" count="1" selected="0">
            <x v="5"/>
          </reference>
          <reference field="6" count="1" selected="0">
            <x v="1"/>
          </reference>
        </references>
      </pivotArea>
    </chartFormat>
    <chartFormat chart="0" format="17">
      <pivotArea type="data" outline="0" fieldPosition="0">
        <references count="3">
          <reference field="4294967294" count="1" selected="0">
            <x v="0"/>
          </reference>
          <reference field="3" count="1" selected="0">
            <x v="7"/>
          </reference>
          <reference field="6" count="1" selected="0">
            <x v="1"/>
          </reference>
        </references>
      </pivotArea>
    </chartFormat>
    <chartFormat chart="0" format="18">
      <pivotArea type="data" outline="0" fieldPosition="0">
        <references count="3">
          <reference field="4294967294" count="1" selected="0">
            <x v="0"/>
          </reference>
          <reference field="3" count="1" selected="0">
            <x v="9"/>
          </reference>
          <reference field="6" count="1" selected="0">
            <x v="1"/>
          </reference>
        </references>
      </pivotArea>
    </chartFormat>
    <chartFormat chart="0" format="19">
      <pivotArea type="data" outline="0" fieldPosition="0">
        <references count="3">
          <reference field="4294967294" count="1" selected="0">
            <x v="0"/>
          </reference>
          <reference field="3" count="1" selected="0">
            <x v="6"/>
          </reference>
          <reference field="6" count="1" selected="0">
            <x v="1"/>
          </reference>
        </references>
      </pivotArea>
    </chartFormat>
    <chartFormat chart="0" format="20">
      <pivotArea type="data" outline="0" fieldPosition="0">
        <references count="3">
          <reference field="4294967294" count="1" selected="0">
            <x v="0"/>
          </reference>
          <reference field="3" count="1" selected="0">
            <x v="8"/>
          </reference>
          <reference field="6" count="1" selected="0">
            <x v="1"/>
          </reference>
        </references>
      </pivotArea>
    </chartFormat>
    <chartFormat chart="4" format="42" series="1">
      <pivotArea type="data" outline="0" fieldPosition="0">
        <references count="1">
          <reference field="4294967294" count="1" selected="0">
            <x v="0"/>
          </reference>
        </references>
      </pivotArea>
    </chartFormat>
    <chartFormat chart="4" format="43">
      <pivotArea type="data" outline="0" fieldPosition="0">
        <references count="3">
          <reference field="4294967294" count="1" selected="0">
            <x v="0"/>
          </reference>
          <reference field="3" count="1" selected="0">
            <x v="0"/>
          </reference>
          <reference field="6" count="1" selected="0">
            <x v="0"/>
          </reference>
        </references>
      </pivotArea>
    </chartFormat>
    <chartFormat chart="4" format="44">
      <pivotArea type="data" outline="0" fieldPosition="0">
        <references count="3">
          <reference field="4294967294" count="1" selected="0">
            <x v="0"/>
          </reference>
          <reference field="3" count="1" selected="0">
            <x v="0"/>
          </reference>
          <reference field="6" count="1" selected="0">
            <x v="1"/>
          </reference>
        </references>
      </pivotArea>
    </chartFormat>
    <chartFormat chart="4" format="45">
      <pivotArea type="data" outline="0" fieldPosition="0">
        <references count="3">
          <reference field="4294967294" count="1" selected="0">
            <x v="0"/>
          </reference>
          <reference field="3" count="1" selected="0">
            <x v="1"/>
          </reference>
          <reference field="6" count="1" selected="0">
            <x v="0"/>
          </reference>
        </references>
      </pivotArea>
    </chartFormat>
    <chartFormat chart="4" format="46">
      <pivotArea type="data" outline="0" fieldPosition="0">
        <references count="3">
          <reference field="4294967294" count="1" selected="0">
            <x v="0"/>
          </reference>
          <reference field="3" count="1" selected="0">
            <x v="1"/>
          </reference>
          <reference field="6" count="1" selected="0">
            <x v="1"/>
          </reference>
        </references>
      </pivotArea>
    </chartFormat>
    <chartFormat chart="4" format="47">
      <pivotArea type="data" outline="0" fieldPosition="0">
        <references count="3">
          <reference field="4294967294" count="1" selected="0">
            <x v="0"/>
          </reference>
          <reference field="3" count="1" selected="0">
            <x v="2"/>
          </reference>
          <reference field="6" count="1" selected="0">
            <x v="0"/>
          </reference>
        </references>
      </pivotArea>
    </chartFormat>
    <chartFormat chart="4" format="48">
      <pivotArea type="data" outline="0" fieldPosition="0">
        <references count="3">
          <reference field="4294967294" count="1" selected="0">
            <x v="0"/>
          </reference>
          <reference field="3" count="1" selected="0">
            <x v="2"/>
          </reference>
          <reference field="6" count="1" selected="0">
            <x v="1"/>
          </reference>
        </references>
      </pivotArea>
    </chartFormat>
    <chartFormat chart="4" format="49">
      <pivotArea type="data" outline="0" fieldPosition="0">
        <references count="3">
          <reference field="4294967294" count="1" selected="0">
            <x v="0"/>
          </reference>
          <reference field="3" count="1" selected="0">
            <x v="3"/>
          </reference>
          <reference field="6" count="1" selected="0">
            <x v="0"/>
          </reference>
        </references>
      </pivotArea>
    </chartFormat>
    <chartFormat chart="4" format="50">
      <pivotArea type="data" outline="0" fieldPosition="0">
        <references count="3">
          <reference field="4294967294" count="1" selected="0">
            <x v="0"/>
          </reference>
          <reference field="3" count="1" selected="0">
            <x v="3"/>
          </reference>
          <reference field="6" count="1" selected="0">
            <x v="1"/>
          </reference>
        </references>
      </pivotArea>
    </chartFormat>
    <chartFormat chart="4" format="51">
      <pivotArea type="data" outline="0" fieldPosition="0">
        <references count="3">
          <reference field="4294967294" count="1" selected="0">
            <x v="0"/>
          </reference>
          <reference field="3" count="1" selected="0">
            <x v="4"/>
          </reference>
          <reference field="6" count="1" selected="0">
            <x v="0"/>
          </reference>
        </references>
      </pivotArea>
    </chartFormat>
    <chartFormat chart="4" format="52">
      <pivotArea type="data" outline="0" fieldPosition="0">
        <references count="3">
          <reference field="4294967294" count="1" selected="0">
            <x v="0"/>
          </reference>
          <reference field="3" count="1" selected="0">
            <x v="4"/>
          </reference>
          <reference field="6" count="1" selected="0">
            <x v="1"/>
          </reference>
        </references>
      </pivotArea>
    </chartFormat>
    <chartFormat chart="4" format="53">
      <pivotArea type="data" outline="0" fieldPosition="0">
        <references count="3">
          <reference field="4294967294" count="1" selected="0">
            <x v="0"/>
          </reference>
          <reference field="3" count="1" selected="0">
            <x v="5"/>
          </reference>
          <reference field="6" count="1" selected="0">
            <x v="0"/>
          </reference>
        </references>
      </pivotArea>
    </chartFormat>
    <chartFormat chart="4" format="54">
      <pivotArea type="data" outline="0" fieldPosition="0">
        <references count="3">
          <reference field="4294967294" count="1" selected="0">
            <x v="0"/>
          </reference>
          <reference field="3" count="1" selected="0">
            <x v="5"/>
          </reference>
          <reference field="6" count="1" selected="0">
            <x v="1"/>
          </reference>
        </references>
      </pivotArea>
    </chartFormat>
    <chartFormat chart="4" format="55">
      <pivotArea type="data" outline="0" fieldPosition="0">
        <references count="3">
          <reference field="4294967294" count="1" selected="0">
            <x v="0"/>
          </reference>
          <reference field="3" count="1" selected="0">
            <x v="6"/>
          </reference>
          <reference field="6" count="1" selected="0">
            <x v="0"/>
          </reference>
        </references>
      </pivotArea>
    </chartFormat>
    <chartFormat chart="4" format="56">
      <pivotArea type="data" outline="0" fieldPosition="0">
        <references count="3">
          <reference field="4294967294" count="1" selected="0">
            <x v="0"/>
          </reference>
          <reference field="3" count="1" selected="0">
            <x v="6"/>
          </reference>
          <reference field="6" count="1" selected="0">
            <x v="1"/>
          </reference>
        </references>
      </pivotArea>
    </chartFormat>
    <chartFormat chart="4" format="57">
      <pivotArea type="data" outline="0" fieldPosition="0">
        <references count="3">
          <reference field="4294967294" count="1" selected="0">
            <x v="0"/>
          </reference>
          <reference field="3" count="1" selected="0">
            <x v="7"/>
          </reference>
          <reference field="6" count="1" selected="0">
            <x v="0"/>
          </reference>
        </references>
      </pivotArea>
    </chartFormat>
    <chartFormat chart="4" format="58">
      <pivotArea type="data" outline="0" fieldPosition="0">
        <references count="3">
          <reference field="4294967294" count="1" selected="0">
            <x v="0"/>
          </reference>
          <reference field="3" count="1" selected="0">
            <x v="7"/>
          </reference>
          <reference field="6" count="1" selected="0">
            <x v="1"/>
          </reference>
        </references>
      </pivotArea>
    </chartFormat>
    <chartFormat chart="4" format="59">
      <pivotArea type="data" outline="0" fieldPosition="0">
        <references count="3">
          <reference field="4294967294" count="1" selected="0">
            <x v="0"/>
          </reference>
          <reference field="3" count="1" selected="0">
            <x v="8"/>
          </reference>
          <reference field="6" count="1" selected="0">
            <x v="0"/>
          </reference>
        </references>
      </pivotArea>
    </chartFormat>
    <chartFormat chart="4" format="60">
      <pivotArea type="data" outline="0" fieldPosition="0">
        <references count="3">
          <reference field="4294967294" count="1" selected="0">
            <x v="0"/>
          </reference>
          <reference field="3" count="1" selected="0">
            <x v="8"/>
          </reference>
          <reference field="6" count="1" selected="0">
            <x v="1"/>
          </reference>
        </references>
      </pivotArea>
    </chartFormat>
    <chartFormat chart="4" format="61">
      <pivotArea type="data" outline="0" fieldPosition="0">
        <references count="3">
          <reference field="4294967294" count="1" selected="0">
            <x v="0"/>
          </reference>
          <reference field="3" count="1" selected="0">
            <x v="9"/>
          </reference>
          <reference field="6" count="1" selected="0">
            <x v="0"/>
          </reference>
        </references>
      </pivotArea>
    </chartFormat>
    <chartFormat chart="4" format="62">
      <pivotArea type="data" outline="0" fieldPosition="0">
        <references count="3">
          <reference field="4294967294" count="1" selected="0">
            <x v="0"/>
          </reference>
          <reference field="3" count="1" selected="0">
            <x v="9"/>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BDD11CA-915A-8F40-9466-9D615EBF8A0C}" sourceName="Gender">
  <pivotTables>
    <pivotTable tabId="20" name="P5"/>
    <pivotTable tabId="16" name="P1"/>
    <pivotTable tabId="19" name="P4"/>
    <pivotTable tabId="18" name="P3"/>
    <pivotTable tabId="17" name="P2"/>
  </pivotTables>
  <data>
    <tabular pivotCacheId="636824895">
      <items count="2">
        <i x="1"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C6E45A1A-9D32-6544-AC21-7F4C8FB79FFB}" sourceName="age_range">
  <pivotTables>
    <pivotTable tabId="20" name="P5"/>
    <pivotTable tabId="16" name="P1"/>
    <pivotTable tabId="19" name="P4"/>
    <pivotTable tabId="18" name="P3"/>
    <pivotTable tabId="17" name="P2"/>
  </pivotTables>
  <data>
    <tabular pivotCacheId="636824895">
      <items count="12">
        <i x="1" s="1"/>
        <i x="4" s="1"/>
        <i x="3" s="1"/>
        <i x="5" s="1"/>
        <i x="8" s="1"/>
        <i x="0" s="1"/>
        <i x="7" s="1"/>
        <i x="9" s="1"/>
        <i x="10" s="1"/>
        <i x="11" s="1"/>
        <i x="2" s="1"/>
        <i x="6"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_code" xr10:uid="{B5A48709-639C-844C-A140-B89EE1B25A3E}" sourceName="Occ_code">
  <pivotTables>
    <pivotTable tabId="20" name="P5"/>
    <pivotTable tabId="16" name="P1"/>
    <pivotTable tabId="19" name="P4"/>
    <pivotTable tabId="18" name="P3"/>
    <pivotTable tabId="17" name="P2"/>
  </pivotTables>
  <data>
    <tabular pivotCacheId="636824895">
      <items count="10">
        <i x="8" s="1"/>
        <i x="9" s="1"/>
        <i x="2" s="1"/>
        <i x="4" s="1"/>
        <i x="5" s="1"/>
        <i x="0" s="1"/>
        <i x="7" s="1"/>
        <i x="6" s="1"/>
        <i x="1" s="1"/>
        <i x="3"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ner_status" xr10:uid="{6626C680-D2B1-D748-94E5-046EE914D7CC}" sourceName="Partner_status">
  <pivotTables>
    <pivotTable tabId="20" name="P5"/>
    <pivotTable tabId="16" name="P1"/>
    <pivotTable tabId="19" name="P4"/>
    <pivotTable tabId="18" name="P3"/>
    <pivotTable tabId="17" name="P2"/>
  </pivotTables>
  <data>
    <tabular pivotCacheId="636824895">
      <items count="2">
        <i x="0" s="1"/>
        <i x="1"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dgment_method" xr10:uid="{28317A06-D0AE-3B47-80EB-33CD5E66803C}" sourceName="Lodgment_method">
  <pivotTables>
    <pivotTable tabId="20" name="P5"/>
    <pivotTable tabId="16" name="P1"/>
    <pivotTable tabId="19" name="P4"/>
    <pivotTable tabId="18" name="P3"/>
    <pivotTable tabId="17" name="P2"/>
  </pivotTables>
  <data>
    <tabular pivotCacheId="636824895">
      <items count="2">
        <i x="1" s="1"/>
        <i x="0"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I_Ind" xr10:uid="{63A53884-D3F8-5243-981A-E3D27252FB53}" sourceName="PHI_Ind">
  <pivotTables>
    <pivotTable tabId="20" name="P5"/>
    <pivotTable tabId="16" name="P1"/>
    <pivotTable tabId="19" name="P4"/>
    <pivotTable tabId="18" name="P3"/>
    <pivotTable tabId="17" name="P2"/>
  </pivotTables>
  <data>
    <tabular pivotCacheId="636824895">
      <items count="2">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1D008B9-7814-A843-B653-E0A2CEBD71EE}" cache="Slicer_Gender" caption="Gender" lockedPosition="1" rowHeight="251882"/>
  <slicer name="age_range" xr10:uid="{E695DCD5-B229-0347-96C8-7556362A0E2F}" cache="Slicer_age_range" caption="age_range" lockedPosition="1" rowHeight="251883"/>
  <slicer name="Occ_code" xr10:uid="{36EE619D-CEE1-094D-B032-D2510A3B3315}" cache="Slicer_Occ_code" caption="Occ_code" lockedPosition="1" rowHeight="251883"/>
  <slicer name="Partner_status" xr10:uid="{5F2C8FD6-7574-A342-918C-8E9586341584}" cache="Slicer_Partner_status" caption="Partner_status" lockedPosition="1" rowHeight="251883"/>
  <slicer name="Lodgment_method" xr10:uid="{4D2915C0-B90E-E748-A5DC-01ABBA309187}" cache="Slicer_Lodgment_method" caption="Lodgment_method" lockedPosition="1" rowHeight="251883"/>
  <slicer name="PHI_Ind" xr10:uid="{2B8ABFD1-189E-5040-87D1-4BEA90D6DEDE}" cache="Slicer_PHI_Ind" caption="PHI_Ind" lockedPosition="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961A84-0E6C-CB4E-8A7A-B0CB48015EA7}" name="SAMPLE" displayName="SAMPLE" ref="A1:J1001" totalsRowShown="0" headerRowDxfId="132" dataDxfId="131" totalsRowDxfId="130" tableBorderDxfId="129">
  <autoFilter ref="A1:J1001" xr:uid="{54A8F5B4-F38A-AA47-A133-83C80ADA9FEC}"/>
  <tableColumns count="10">
    <tableColumn id="1" xr3:uid="{895D68DC-CD83-4B41-B912-F14C1E5B8EB2}" name="Ind" dataDxfId="127" totalsRowDxfId="128"/>
    <tableColumn id="2" xr3:uid="{62CA23C7-32A9-4B43-BD7C-DC9B8960E18D}" name="Gender" dataDxfId="125" totalsRowDxfId="126"/>
    <tableColumn id="3" xr3:uid="{F57200BF-EBE0-1848-9496-46B9639F6083}" name="age_range" dataDxfId="123" totalsRowDxfId="124"/>
    <tableColumn id="4" xr3:uid="{1C921DFE-341B-714E-9AFE-EB9F0E51930C}" name="Occ_code" dataDxfId="121" totalsRowDxfId="122"/>
    <tableColumn id="5" xr3:uid="{A1A9871F-E233-384D-97FF-2110AA7EBB4A}" name="Partner_status" dataDxfId="119" totalsRowDxfId="120"/>
    <tableColumn id="6" xr3:uid="{B799E9DE-6C9E-F54E-9021-D70B24A6363C}" name="Lodgment_method" dataDxfId="117" totalsRowDxfId="118"/>
    <tableColumn id="7" xr3:uid="{974EED39-2A0D-8644-9B79-909C5A647A4A}" name="PHI_Ind" dataDxfId="115" totalsRowDxfId="116"/>
    <tableColumn id="8" xr3:uid="{1F01136B-7031-C74C-BCD7-151F4A93F20A}" name="Tot_inc_amt" dataDxfId="113" totalsRowDxfId="114"/>
    <tableColumn id="9" xr3:uid="{01DDD3F8-F3F9-4B48-B1EF-BF95FD89A2A4}" name="Tot_ded_amt" dataDxfId="111" totalsRowDxfId="112"/>
    <tableColumn id="10" xr3:uid="{7886594C-7C2F-B84A-9789-FFFB73803CFF}" name="Taxable_Income" dataDxfId="109" totalsRowDxfId="110">
      <calculatedColumnFormula>H2-I2</calculatedColumnFormula>
    </tableColumn>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33E630-329E-D945-8BF7-93DC08AD81FE}" name="SAMPLE10" displayName="SAMPLE10" ref="A1:J1001" totalsRowShown="0" headerRowDxfId="108" dataDxfId="107" totalsRowDxfId="106" tableBorderDxfId="105">
  <autoFilter ref="A1:J1001" xr:uid="{54A8F5B4-F38A-AA47-A133-83C80ADA9FEC}"/>
  <tableColumns count="10">
    <tableColumn id="1" xr3:uid="{C56637DE-9240-5C48-B06A-592B6C5EA568}" name="Ind" dataDxfId="103" totalsRowDxfId="104"/>
    <tableColumn id="2" xr3:uid="{8EE3B632-936F-BA4F-B56C-A219E5F4B4F1}" name="Gender" dataDxfId="101" totalsRowDxfId="102"/>
    <tableColumn id="3" xr3:uid="{BA58B5AC-0114-4F45-8DF7-C73B0049C4BB}" name="age_range" dataDxfId="99" totalsRowDxfId="100"/>
    <tableColumn id="4" xr3:uid="{A580D678-624F-164B-8354-B34AF45EEFA0}" name="Occ_code" dataDxfId="97" totalsRowDxfId="98"/>
    <tableColumn id="5" xr3:uid="{B6E11B02-FD31-824D-B4F4-B50F62CBC711}" name="Partner_status" dataDxfId="95" totalsRowDxfId="96"/>
    <tableColumn id="6" xr3:uid="{FA543FC3-BD54-F54F-9A56-D5CEE99203D7}" name="Lodgment_method" dataDxfId="93" totalsRowDxfId="94"/>
    <tableColumn id="7" xr3:uid="{3693DE3E-10B0-824B-A306-008F10CFA134}" name="PHI_Ind" dataDxfId="91" totalsRowDxfId="92"/>
    <tableColumn id="8" xr3:uid="{8A0E6D58-C95F-7A4C-9D81-7002440A6E17}" name="Tot_inc_amt" dataDxfId="89" totalsRowDxfId="90"/>
    <tableColumn id="9" xr3:uid="{0E5ED805-235E-4245-A727-8F3CC96CD220}" name="Tot_ded_amt" dataDxfId="87" totalsRowDxfId="88"/>
    <tableColumn id="10" xr3:uid="{5414555F-87DE-FA46-ACA2-BBD69D5FF131}" name="Taxable_Income" dataDxfId="85" totalsRowDxfId="86">
      <calculatedColumnFormula>H2-I2</calculatedColumnFormula>
    </tableColumn>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284E5B-880B-7F40-BCDC-33A68DD3D79C}" name="SAMPLE4" displayName="SAMPLE4" ref="A1:J1001" totalsRowShown="0" headerRowDxfId="84" dataDxfId="83" totalsRowDxfId="82" tableBorderDxfId="81">
  <autoFilter ref="A1:J1001" xr:uid="{54A8F5B4-F38A-AA47-A133-83C80ADA9FEC}"/>
  <tableColumns count="10">
    <tableColumn id="1" xr3:uid="{BE9A78E1-E604-0F4F-B19C-53608EE06808}" name="Ind" dataDxfId="79" totalsRowDxfId="80"/>
    <tableColumn id="2" xr3:uid="{E3466714-7856-9F41-9F9D-9D692371F649}" name="Gender" dataDxfId="77" totalsRowDxfId="78"/>
    <tableColumn id="3" xr3:uid="{1B9DD724-3EB3-BC4B-A3B0-44E153488898}" name="age_range" dataDxfId="75" totalsRowDxfId="76"/>
    <tableColumn id="4" xr3:uid="{213D5811-1CCE-4C48-8E05-22E46DF88E01}" name="Occ_code" dataDxfId="73" totalsRowDxfId="74"/>
    <tableColumn id="5" xr3:uid="{C52F5AF3-EC77-1D43-9FA8-5CF447AC9F19}" name="Partner_status" dataDxfId="71" totalsRowDxfId="72"/>
    <tableColumn id="6" xr3:uid="{F42E1AF0-7128-5348-8588-47CFD7B9BA9E}" name="Lodgment_method" dataDxfId="69" totalsRowDxfId="70"/>
    <tableColumn id="7" xr3:uid="{312EBCA0-DC7D-2F4F-AFB1-AD0F25C5FAF8}" name="PHI_Ind" dataDxfId="67" totalsRowDxfId="68"/>
    <tableColumn id="8" xr3:uid="{DEB1CEFE-FFB9-FD40-B82D-8CE0FBC9459B}" name="Tot_inc_amt" dataDxfId="65" totalsRowDxfId="66"/>
    <tableColumn id="9" xr3:uid="{75222D3E-12F4-044E-ACC0-8AF50C5D17F3}" name="Tot_ded_amt" dataDxfId="63" totalsRowDxfId="64"/>
    <tableColumn id="10" xr3:uid="{A88EC90D-8121-4147-BE6F-2DE5776CF25F}" name="Taxable_Income" dataDxfId="61" totalsRowDxfId="62">
      <calculatedColumnFormula>H2-I2</calculatedColumnFormula>
    </tableColumn>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8897B0-C3F4-D242-BECB-C872907578D7}" name="Table6" displayName="Table6" ref="L2:U96" totalsRowShown="0" headerRowDxfId="60" dataDxfId="59" headerRowBorderDxfId="57" tableBorderDxfId="58" totalsRowBorderDxfId="56">
  <autoFilter ref="L2:U96" xr:uid="{E08897B0-C3F4-D242-BECB-C872907578D7}"/>
  <tableColumns count="10">
    <tableColumn id="1" xr3:uid="{5C22AA22-7E47-AB49-B0E1-B67CA15E0085}" name="Ind" dataDxfId="55"/>
    <tableColumn id="2" xr3:uid="{E6CE61CF-AC05-B548-9D58-976C5ACBA048}" name="Gender" dataDxfId="54"/>
    <tableColumn id="3" xr3:uid="{A18CB30F-584C-2740-9BE7-BC7F0C237AC0}" name="age_range" dataDxfId="53"/>
    <tableColumn id="4" xr3:uid="{47A1D5DE-B65D-EC41-AEC9-A8DC55CF00DF}" name="Occ_code" dataDxfId="52"/>
    <tableColumn id="5" xr3:uid="{A03B2738-CFA7-AE4D-A9E6-9C1608D88152}" name="Partner_status" dataDxfId="51"/>
    <tableColumn id="6" xr3:uid="{48132BA3-963D-6E4E-828C-9192EA11B22B}" name="Lodgment_method" dataDxfId="50"/>
    <tableColumn id="7" xr3:uid="{95F3FA6E-6353-2543-BC7A-4B21D6038CE7}" name="PHI_Ind" dataDxfId="49"/>
    <tableColumn id="8" xr3:uid="{DA2AACEA-F9D9-E14E-8DE4-F9431CEC42E8}" name="Tot_inc_amt" dataDxfId="48"/>
    <tableColumn id="9" xr3:uid="{87C326AD-C7B8-DD49-B7C3-1DA3A84DFC27}" name="Tot_ded_amt" dataDxfId="47"/>
    <tableColumn id="10" xr3:uid="{630986CF-D05E-294B-B666-950521C6DA6B}" name="Taxable_Income" dataDxfId="4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89F430-08B1-1840-8339-292D8FC52F23}" name="SAMPLE5" displayName="SAMPLE5" ref="A1:J1001" totalsRowShown="0" headerRowDxfId="45" dataDxfId="44" totalsRowDxfId="43" tableBorderDxfId="42">
  <autoFilter ref="A1:J1001" xr:uid="{54A8F5B4-F38A-AA47-A133-83C80ADA9FEC}"/>
  <tableColumns count="10">
    <tableColumn id="1" xr3:uid="{566F1A95-A0E1-CA4B-A446-847DB1F5D5EF}" name="Ind" dataDxfId="40" totalsRowDxfId="41"/>
    <tableColumn id="2" xr3:uid="{1E06BDA0-0B10-524D-B9F2-F9D6C4CDD661}" name="Gender" dataDxfId="38" totalsRowDxfId="39"/>
    <tableColumn id="3" xr3:uid="{B8FD9A74-58B2-CF45-89B5-9F18BB152267}" name="age_range" dataDxfId="36" totalsRowDxfId="37"/>
    <tableColumn id="4" xr3:uid="{8F5D6188-1B3E-F447-BD48-69D48F016EEE}" name="Occ_code" dataDxfId="34" totalsRowDxfId="35"/>
    <tableColumn id="5" xr3:uid="{557E817C-3181-CC4B-BBB0-C51069F7A610}" name="Partner_status" dataDxfId="32" totalsRowDxfId="33"/>
    <tableColumn id="6" xr3:uid="{BD02678C-A518-0C40-AC46-18A5AC44E8A7}" name="Lodgment_method" dataDxfId="30" totalsRowDxfId="31"/>
    <tableColumn id="7" xr3:uid="{5B54C5A1-E2B7-214A-9391-14348574C7D5}" name="PHI_Ind" dataDxfId="28" totalsRowDxfId="29"/>
    <tableColumn id="8" xr3:uid="{4313CCD1-4572-5B40-8CAB-EAD55B9F9676}" name="Tot_inc_amt" dataDxfId="26" totalsRowDxfId="27"/>
    <tableColumn id="9" xr3:uid="{6DCADC4F-9A61-5143-A319-7CD8512E11E2}" name="Tot_ded_amt" dataDxfId="24" totalsRowDxfId="25"/>
    <tableColumn id="10" xr3:uid="{F79982A2-D322-D643-B476-34F8436D76CF}" name="Taxable_Income" dataDxfId="22" totalsRowDxfId="23">
      <calculatedColumnFormula>H2-I2</calculatedColumnFormula>
    </tableColumn>
  </tableColumns>
  <tableStyleInfo name="TableStyleMedium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A81154-D562-9549-84C4-35E981E2BB1E}" name="Table7" displayName="Table7" ref="L1531:U2022" totalsRowShown="0" headerRowDxfId="21" dataDxfId="20" headerRowBorderDxfId="18" tableBorderDxfId="19" totalsRowBorderDxfId="17">
  <autoFilter ref="L1531:U2022" xr:uid="{2BA81154-D562-9549-84C4-35E981E2BB1E}"/>
  <tableColumns count="10">
    <tableColumn id="1" xr3:uid="{AD5000C1-1F7F-A74A-B400-73E64DBFD0B4}" name="Ind" dataDxfId="16"/>
    <tableColumn id="2" xr3:uid="{15CD1073-B448-244D-A93A-81C899660F8C}" name="Gender" dataDxfId="15"/>
    <tableColumn id="3" xr3:uid="{EB4BE830-2F9F-FE4F-A353-051AF9019310}" name="age_range" dataDxfId="14"/>
    <tableColumn id="4" xr3:uid="{4ADAA24F-29D6-DE49-9CD2-ABB6ECB33830}" name="Occ_code" dataDxfId="13"/>
    <tableColumn id="5" xr3:uid="{80022C21-DC6F-8A48-A263-5047382E81FC}" name="Partner_status" dataDxfId="12"/>
    <tableColumn id="6" xr3:uid="{35E0B0CA-AC4C-8043-BF64-B4053C07985C}" name="Lodgment_method" dataDxfId="11"/>
    <tableColumn id="7" xr3:uid="{6A0ABE80-073D-D149-BB68-228800EF649A}" name="PHI_Ind" dataDxfId="10"/>
    <tableColumn id="8" xr3:uid="{74FE728E-9C5B-D04C-AFB3-0D6933888136}" name="Tot_inc_amt" dataDxfId="9"/>
    <tableColumn id="9" xr3:uid="{B4C88B8E-2464-7C43-9205-2F0D86F14496}" name="Tot_ded_amt" dataDxfId="8"/>
    <tableColumn id="10" xr3:uid="{91D8EB3E-B833-1143-B33E-FEB9166EF18B}" name="Taxable_Income" dataDxfId="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739238E-66D0-8143-A806-9B1D2C7A31AA}" name="SAMPLE6" displayName="SAMPLE6" ref="A1:B1001" totalsRowShown="0" headerRowDxfId="6" dataDxfId="5" totalsRowDxfId="4" tableBorderDxfId="3">
  <autoFilter ref="A1:B1001" xr:uid="{54A8F5B4-F38A-AA47-A133-83C80ADA9FEC}"/>
  <tableColumns count="2">
    <tableColumn id="3" xr3:uid="{BC378418-5B75-534E-9CF4-CCB3D4CADB67}" name="AGE" dataDxfId="2"/>
    <tableColumn id="8" xr3:uid="{4F758660-F72F-2343-9F6C-ABEDFAB517A9}" name="Tot_inc_amt" dataDxfId="0" totalsRowDxfId="1"/>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2.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94556-C8F4-4F4E-BE81-2C1E49C7BB94}">
  <sheetPr codeName="Sheet1">
    <pageSetUpPr fitToPage="1"/>
  </sheetPr>
  <dimension ref="A1:J1001"/>
  <sheetViews>
    <sheetView zoomScale="67" workbookViewId="0">
      <selection activeCell="D18" sqref="D18"/>
    </sheetView>
  </sheetViews>
  <sheetFormatPr defaultColWidth="11.5546875" defaultRowHeight="15.95"/>
  <cols>
    <col min="3" max="3" width="11.6640625" customWidth="1"/>
    <col min="4" max="4" width="11.33203125" customWidth="1"/>
    <col min="5" max="5" width="15.33203125" customWidth="1"/>
    <col min="6" max="6" width="18.33203125" customWidth="1"/>
    <col min="8" max="8" width="13.109375" customWidth="1"/>
    <col min="9" max="9" width="13.6640625" customWidth="1"/>
    <col min="10" max="10" width="16.44140625" customWidth="1"/>
  </cols>
  <sheetData>
    <row r="1" spans="1:10">
      <c r="A1" s="3" t="s">
        <v>0</v>
      </c>
      <c r="B1" s="3" t="s">
        <v>1</v>
      </c>
      <c r="C1" s="3" t="s">
        <v>2</v>
      </c>
      <c r="D1" s="3" t="s">
        <v>3</v>
      </c>
      <c r="E1" s="3" t="s">
        <v>4</v>
      </c>
      <c r="F1" s="3" t="s">
        <v>5</v>
      </c>
      <c r="G1" s="3" t="s">
        <v>6</v>
      </c>
      <c r="H1" s="3" t="s">
        <v>7</v>
      </c>
      <c r="I1" s="3" t="s">
        <v>8</v>
      </c>
      <c r="J1" s="4" t="s">
        <v>9</v>
      </c>
    </row>
    <row r="2" spans="1:10">
      <c r="A2" s="5">
        <v>27057</v>
      </c>
      <c r="B2" s="5" t="s">
        <v>10</v>
      </c>
      <c r="C2" s="5" t="s">
        <v>11</v>
      </c>
      <c r="D2" s="5" t="s">
        <v>12</v>
      </c>
      <c r="E2" s="5" t="s">
        <v>13</v>
      </c>
      <c r="F2" s="5" t="s">
        <v>14</v>
      </c>
      <c r="G2" s="5" t="s">
        <v>15</v>
      </c>
      <c r="H2" s="5">
        <v>86368</v>
      </c>
      <c r="I2" s="5">
        <v>1060</v>
      </c>
      <c r="J2" s="6">
        <f t="shared" ref="J2:J65" si="0">H2-I2</f>
        <v>85308</v>
      </c>
    </row>
    <row r="3" spans="1:10">
      <c r="A3" s="5">
        <v>138235</v>
      </c>
      <c r="B3" s="5" t="s">
        <v>16</v>
      </c>
      <c r="C3" s="5" t="s">
        <v>17</v>
      </c>
      <c r="D3" s="5" t="s">
        <v>18</v>
      </c>
      <c r="E3" s="5" t="s">
        <v>19</v>
      </c>
      <c r="F3" s="5" t="s">
        <v>14</v>
      </c>
      <c r="G3" s="5" t="s">
        <v>15</v>
      </c>
      <c r="H3" s="5">
        <v>62342</v>
      </c>
      <c r="I3" s="5">
        <v>337</v>
      </c>
      <c r="J3" s="6">
        <f t="shared" si="0"/>
        <v>62005</v>
      </c>
    </row>
    <row r="4" spans="1:10">
      <c r="A4" s="5">
        <v>57573</v>
      </c>
      <c r="B4" s="5" t="s">
        <v>10</v>
      </c>
      <c r="C4" s="5" t="s">
        <v>20</v>
      </c>
      <c r="D4" s="5" t="s">
        <v>21</v>
      </c>
      <c r="E4" s="5" t="s">
        <v>13</v>
      </c>
      <c r="F4" s="5" t="s">
        <v>14</v>
      </c>
      <c r="G4" s="5" t="s">
        <v>15</v>
      </c>
      <c r="H4" s="5">
        <v>19046</v>
      </c>
      <c r="I4" s="5">
        <v>0</v>
      </c>
      <c r="J4" s="6">
        <f t="shared" si="0"/>
        <v>19046</v>
      </c>
    </row>
    <row r="5" spans="1:10">
      <c r="A5" s="5">
        <v>156707</v>
      </c>
      <c r="B5" s="5" t="s">
        <v>10</v>
      </c>
      <c r="C5" s="5" t="s">
        <v>22</v>
      </c>
      <c r="D5" s="5" t="s">
        <v>23</v>
      </c>
      <c r="E5" s="5" t="s">
        <v>19</v>
      </c>
      <c r="F5" s="5" t="s">
        <v>14</v>
      </c>
      <c r="G5" s="5" t="s">
        <v>24</v>
      </c>
      <c r="H5" s="5">
        <v>70672</v>
      </c>
      <c r="I5" s="5">
        <v>4732</v>
      </c>
      <c r="J5" s="6">
        <f t="shared" si="0"/>
        <v>65940</v>
      </c>
    </row>
    <row r="6" spans="1:10">
      <c r="A6" s="5">
        <v>177311</v>
      </c>
      <c r="B6" s="5" t="s">
        <v>10</v>
      </c>
      <c r="C6" s="5" t="s">
        <v>25</v>
      </c>
      <c r="D6" s="5" t="s">
        <v>26</v>
      </c>
      <c r="E6" s="5" t="s">
        <v>13</v>
      </c>
      <c r="F6" s="5" t="s">
        <v>14</v>
      </c>
      <c r="G6" s="5" t="s">
        <v>24</v>
      </c>
      <c r="H6" s="5">
        <v>49168</v>
      </c>
      <c r="I6" s="5">
        <v>7787</v>
      </c>
      <c r="J6" s="6">
        <f t="shared" si="0"/>
        <v>41381</v>
      </c>
    </row>
    <row r="7" spans="1:10">
      <c r="A7" s="5">
        <v>166315</v>
      </c>
      <c r="B7" s="5" t="s">
        <v>10</v>
      </c>
      <c r="C7" s="5" t="s">
        <v>22</v>
      </c>
      <c r="D7" s="5" t="s">
        <v>18</v>
      </c>
      <c r="E7" s="5" t="s">
        <v>13</v>
      </c>
      <c r="F7" s="5" t="s">
        <v>14</v>
      </c>
      <c r="G7" s="5" t="s">
        <v>15</v>
      </c>
      <c r="H7" s="5">
        <v>69092</v>
      </c>
      <c r="I7" s="5">
        <v>5472</v>
      </c>
      <c r="J7" s="6">
        <f t="shared" si="0"/>
        <v>63620</v>
      </c>
    </row>
    <row r="8" spans="1:10">
      <c r="A8" s="5">
        <v>60300</v>
      </c>
      <c r="B8" s="5" t="s">
        <v>10</v>
      </c>
      <c r="C8" s="5" t="s">
        <v>27</v>
      </c>
      <c r="D8" s="5" t="s">
        <v>12</v>
      </c>
      <c r="E8" s="5" t="s">
        <v>13</v>
      </c>
      <c r="F8" s="5" t="s">
        <v>28</v>
      </c>
      <c r="G8" s="5" t="s">
        <v>15</v>
      </c>
      <c r="H8" s="5">
        <v>94769</v>
      </c>
      <c r="I8" s="5">
        <v>838</v>
      </c>
      <c r="J8" s="6">
        <f t="shared" si="0"/>
        <v>93931</v>
      </c>
    </row>
    <row r="9" spans="1:10">
      <c r="A9" s="5">
        <v>251518</v>
      </c>
      <c r="B9" s="5" t="s">
        <v>10</v>
      </c>
      <c r="C9" s="5" t="s">
        <v>17</v>
      </c>
      <c r="D9" s="5" t="s">
        <v>23</v>
      </c>
      <c r="E9" s="5" t="s">
        <v>13</v>
      </c>
      <c r="F9" s="5" t="s">
        <v>14</v>
      </c>
      <c r="G9" s="5" t="s">
        <v>24</v>
      </c>
      <c r="H9" s="5">
        <v>43127</v>
      </c>
      <c r="I9" s="5">
        <v>136</v>
      </c>
      <c r="J9" s="6">
        <f t="shared" si="0"/>
        <v>42991</v>
      </c>
    </row>
    <row r="10" spans="1:10">
      <c r="A10" s="5">
        <v>109650</v>
      </c>
      <c r="B10" s="5" t="s">
        <v>10</v>
      </c>
      <c r="C10" s="5" t="s">
        <v>22</v>
      </c>
      <c r="D10" s="5" t="s">
        <v>23</v>
      </c>
      <c r="E10" s="5" t="s">
        <v>19</v>
      </c>
      <c r="F10" s="5" t="s">
        <v>28</v>
      </c>
      <c r="G10" s="5" t="s">
        <v>15</v>
      </c>
      <c r="H10" s="5">
        <v>120743</v>
      </c>
      <c r="I10" s="5">
        <v>4363</v>
      </c>
      <c r="J10" s="6">
        <f t="shared" si="0"/>
        <v>116380</v>
      </c>
    </row>
    <row r="11" spans="1:10">
      <c r="A11" s="5">
        <v>67127</v>
      </c>
      <c r="B11" s="5" t="s">
        <v>10</v>
      </c>
      <c r="C11" s="5" t="s">
        <v>27</v>
      </c>
      <c r="D11" s="5" t="s">
        <v>29</v>
      </c>
      <c r="E11" s="5" t="s">
        <v>13</v>
      </c>
      <c r="F11" s="5" t="s">
        <v>14</v>
      </c>
      <c r="G11" s="5" t="s">
        <v>15</v>
      </c>
      <c r="H11" s="5">
        <v>105006</v>
      </c>
      <c r="I11" s="5">
        <v>891</v>
      </c>
      <c r="J11" s="6">
        <f t="shared" si="0"/>
        <v>104115</v>
      </c>
    </row>
    <row r="12" spans="1:10">
      <c r="A12" s="5">
        <v>231743</v>
      </c>
      <c r="B12" s="5" t="s">
        <v>16</v>
      </c>
      <c r="C12" s="5" t="s">
        <v>17</v>
      </c>
      <c r="D12" s="5" t="s">
        <v>30</v>
      </c>
      <c r="E12" s="5" t="s">
        <v>13</v>
      </c>
      <c r="F12" s="5" t="s">
        <v>14</v>
      </c>
      <c r="G12" s="5" t="s">
        <v>24</v>
      </c>
      <c r="H12" s="5">
        <v>17427</v>
      </c>
      <c r="I12" s="5">
        <v>2405</v>
      </c>
      <c r="J12" s="6">
        <f t="shared" si="0"/>
        <v>15022</v>
      </c>
    </row>
    <row r="13" spans="1:10">
      <c r="A13" s="5">
        <v>179791</v>
      </c>
      <c r="B13" s="5" t="s">
        <v>10</v>
      </c>
      <c r="C13" s="5" t="s">
        <v>31</v>
      </c>
      <c r="D13" s="5" t="s">
        <v>32</v>
      </c>
      <c r="E13" s="5" t="s">
        <v>19</v>
      </c>
      <c r="F13" s="5" t="s">
        <v>14</v>
      </c>
      <c r="G13" s="5" t="s">
        <v>15</v>
      </c>
      <c r="H13" s="5">
        <v>329</v>
      </c>
      <c r="I13" s="5">
        <v>0</v>
      </c>
      <c r="J13" s="6">
        <f t="shared" si="0"/>
        <v>329</v>
      </c>
    </row>
    <row r="14" spans="1:10">
      <c r="A14" s="5">
        <v>167286</v>
      </c>
      <c r="B14" s="5" t="s">
        <v>10</v>
      </c>
      <c r="C14" s="5" t="s">
        <v>22</v>
      </c>
      <c r="D14" s="5" t="s">
        <v>26</v>
      </c>
      <c r="E14" s="5" t="s">
        <v>13</v>
      </c>
      <c r="F14" s="5" t="s">
        <v>14</v>
      </c>
      <c r="G14" s="5" t="s">
        <v>15</v>
      </c>
      <c r="H14" s="5">
        <v>90156</v>
      </c>
      <c r="I14" s="5">
        <v>159</v>
      </c>
      <c r="J14" s="6">
        <f t="shared" si="0"/>
        <v>89997</v>
      </c>
    </row>
    <row r="15" spans="1:10">
      <c r="A15" s="5">
        <v>242762</v>
      </c>
      <c r="B15" s="5" t="s">
        <v>10</v>
      </c>
      <c r="C15" s="5" t="s">
        <v>17</v>
      </c>
      <c r="D15" s="5" t="s">
        <v>23</v>
      </c>
      <c r="E15" s="5" t="s">
        <v>19</v>
      </c>
      <c r="F15" s="5" t="s">
        <v>14</v>
      </c>
      <c r="G15" s="5" t="s">
        <v>15</v>
      </c>
      <c r="H15" s="5">
        <v>144244</v>
      </c>
      <c r="I15" s="5">
        <v>17669</v>
      </c>
      <c r="J15" s="6">
        <f t="shared" si="0"/>
        <v>126575</v>
      </c>
    </row>
    <row r="16" spans="1:10">
      <c r="A16" s="5">
        <v>59709</v>
      </c>
      <c r="B16" s="5" t="s">
        <v>16</v>
      </c>
      <c r="C16" s="5" t="s">
        <v>27</v>
      </c>
      <c r="D16" s="5" t="s">
        <v>33</v>
      </c>
      <c r="E16" s="5" t="s">
        <v>13</v>
      </c>
      <c r="F16" s="5" t="s">
        <v>14</v>
      </c>
      <c r="G16" s="5" t="s">
        <v>15</v>
      </c>
      <c r="H16" s="5">
        <v>51006</v>
      </c>
      <c r="I16" s="5">
        <v>2868</v>
      </c>
      <c r="J16" s="6">
        <f t="shared" si="0"/>
        <v>48138</v>
      </c>
    </row>
    <row r="17" spans="1:10">
      <c r="A17" s="5">
        <v>100739</v>
      </c>
      <c r="B17" s="5" t="s">
        <v>16</v>
      </c>
      <c r="C17" s="5" t="s">
        <v>34</v>
      </c>
      <c r="D17" s="5" t="s">
        <v>26</v>
      </c>
      <c r="E17" s="5" t="s">
        <v>13</v>
      </c>
      <c r="F17" s="5" t="s">
        <v>14</v>
      </c>
      <c r="G17" s="5" t="s">
        <v>24</v>
      </c>
      <c r="H17" s="5">
        <v>28047</v>
      </c>
      <c r="I17" s="5">
        <v>2486</v>
      </c>
      <c r="J17" s="6">
        <f t="shared" si="0"/>
        <v>25561</v>
      </c>
    </row>
    <row r="18" spans="1:10">
      <c r="A18" s="5">
        <v>246052</v>
      </c>
      <c r="B18" s="5" t="s">
        <v>16</v>
      </c>
      <c r="C18" s="5" t="s">
        <v>25</v>
      </c>
      <c r="D18" s="5" t="s">
        <v>21</v>
      </c>
      <c r="E18" s="5" t="s">
        <v>19</v>
      </c>
      <c r="F18" s="5" t="s">
        <v>14</v>
      </c>
      <c r="G18" s="5" t="s">
        <v>15</v>
      </c>
      <c r="H18" s="5">
        <v>58304</v>
      </c>
      <c r="I18" s="5">
        <v>5581</v>
      </c>
      <c r="J18" s="6">
        <f t="shared" si="0"/>
        <v>52723</v>
      </c>
    </row>
    <row r="19" spans="1:10">
      <c r="A19" s="5">
        <v>177001</v>
      </c>
      <c r="B19" s="5" t="s">
        <v>16</v>
      </c>
      <c r="C19" s="5" t="s">
        <v>25</v>
      </c>
      <c r="D19" s="5" t="s">
        <v>30</v>
      </c>
      <c r="E19" s="5" t="s">
        <v>19</v>
      </c>
      <c r="F19" s="5" t="s">
        <v>28</v>
      </c>
      <c r="G19" s="5" t="s">
        <v>15</v>
      </c>
      <c r="H19" s="5">
        <v>25172</v>
      </c>
      <c r="I19" s="5">
        <v>7850</v>
      </c>
      <c r="J19" s="6">
        <f t="shared" si="0"/>
        <v>17322</v>
      </c>
    </row>
    <row r="20" spans="1:10">
      <c r="A20" s="5">
        <v>45835</v>
      </c>
      <c r="B20" s="5" t="s">
        <v>10</v>
      </c>
      <c r="C20" s="5" t="s">
        <v>35</v>
      </c>
      <c r="D20" s="5" t="s">
        <v>36</v>
      </c>
      <c r="E20" s="5" t="s">
        <v>13</v>
      </c>
      <c r="F20" s="5" t="s">
        <v>14</v>
      </c>
      <c r="G20" s="5" t="s">
        <v>15</v>
      </c>
      <c r="H20" s="5">
        <v>51530</v>
      </c>
      <c r="I20" s="5">
        <v>10087</v>
      </c>
      <c r="J20" s="6">
        <f t="shared" si="0"/>
        <v>41443</v>
      </c>
    </row>
    <row r="21" spans="1:10">
      <c r="A21" s="5">
        <v>189155</v>
      </c>
      <c r="B21" s="5" t="s">
        <v>10</v>
      </c>
      <c r="C21" s="5" t="s">
        <v>37</v>
      </c>
      <c r="D21" s="5" t="s">
        <v>32</v>
      </c>
      <c r="E21" s="5" t="s">
        <v>19</v>
      </c>
      <c r="F21" s="5" t="s">
        <v>14</v>
      </c>
      <c r="G21" s="5" t="s">
        <v>15</v>
      </c>
      <c r="H21" s="5">
        <v>201030</v>
      </c>
      <c r="I21" s="5">
        <v>7536</v>
      </c>
      <c r="J21" s="6">
        <f t="shared" si="0"/>
        <v>193494</v>
      </c>
    </row>
    <row r="22" spans="1:10">
      <c r="A22" s="5">
        <v>7156</v>
      </c>
      <c r="B22" s="5" t="s">
        <v>10</v>
      </c>
      <c r="C22" s="5" t="s">
        <v>38</v>
      </c>
      <c r="D22" s="5" t="s">
        <v>30</v>
      </c>
      <c r="E22" s="5" t="s">
        <v>13</v>
      </c>
      <c r="F22" s="5" t="s">
        <v>14</v>
      </c>
      <c r="G22" s="5" t="s">
        <v>15</v>
      </c>
      <c r="H22" s="5">
        <v>106667</v>
      </c>
      <c r="I22" s="5">
        <v>1418</v>
      </c>
      <c r="J22" s="6">
        <f t="shared" si="0"/>
        <v>105249</v>
      </c>
    </row>
    <row r="23" spans="1:10">
      <c r="A23" s="5">
        <v>238600</v>
      </c>
      <c r="B23" s="5" t="s">
        <v>10</v>
      </c>
      <c r="C23" s="5" t="s">
        <v>17</v>
      </c>
      <c r="D23" s="5" t="s">
        <v>23</v>
      </c>
      <c r="E23" s="5" t="s">
        <v>19</v>
      </c>
      <c r="F23" s="5" t="s">
        <v>14</v>
      </c>
      <c r="G23" s="5" t="s">
        <v>15</v>
      </c>
      <c r="H23" s="5">
        <v>106932</v>
      </c>
      <c r="I23" s="5">
        <v>5285</v>
      </c>
      <c r="J23" s="6">
        <f t="shared" si="0"/>
        <v>101647</v>
      </c>
    </row>
    <row r="24" spans="1:10">
      <c r="A24" s="5">
        <v>28041</v>
      </c>
      <c r="B24" s="5" t="s">
        <v>16</v>
      </c>
      <c r="C24" s="5" t="s">
        <v>11</v>
      </c>
      <c r="D24" s="5" t="s">
        <v>33</v>
      </c>
      <c r="E24" s="5" t="s">
        <v>13</v>
      </c>
      <c r="F24" s="5" t="s">
        <v>28</v>
      </c>
      <c r="G24" s="5" t="s">
        <v>15</v>
      </c>
      <c r="H24" s="5">
        <v>71962</v>
      </c>
      <c r="I24" s="5">
        <v>344</v>
      </c>
      <c r="J24" s="6">
        <f t="shared" si="0"/>
        <v>71618</v>
      </c>
    </row>
    <row r="25" spans="1:10">
      <c r="A25" s="5">
        <v>203234</v>
      </c>
      <c r="B25" s="5" t="s">
        <v>10</v>
      </c>
      <c r="C25" s="5" t="s">
        <v>39</v>
      </c>
      <c r="D25" s="5" t="s">
        <v>32</v>
      </c>
      <c r="E25" s="5" t="s">
        <v>13</v>
      </c>
      <c r="F25" s="5" t="s">
        <v>14</v>
      </c>
      <c r="G25" s="5" t="s">
        <v>15</v>
      </c>
      <c r="H25" s="5">
        <v>26386</v>
      </c>
      <c r="I25" s="5">
        <v>6624</v>
      </c>
      <c r="J25" s="6">
        <f t="shared" si="0"/>
        <v>19762</v>
      </c>
    </row>
    <row r="26" spans="1:10">
      <c r="A26" s="5">
        <v>122913</v>
      </c>
      <c r="B26" s="5" t="s">
        <v>16</v>
      </c>
      <c r="C26" s="5" t="s">
        <v>25</v>
      </c>
      <c r="D26" s="5" t="s">
        <v>21</v>
      </c>
      <c r="E26" s="5" t="s">
        <v>19</v>
      </c>
      <c r="F26" s="5" t="s">
        <v>28</v>
      </c>
      <c r="G26" s="5" t="s">
        <v>24</v>
      </c>
      <c r="H26" s="5">
        <v>7089</v>
      </c>
      <c r="I26" s="5">
        <v>0</v>
      </c>
      <c r="J26" s="6">
        <f t="shared" si="0"/>
        <v>7089</v>
      </c>
    </row>
    <row r="27" spans="1:10">
      <c r="A27" s="5">
        <v>163859</v>
      </c>
      <c r="B27" s="5" t="s">
        <v>10</v>
      </c>
      <c r="C27" s="5" t="s">
        <v>22</v>
      </c>
      <c r="D27" s="5" t="s">
        <v>26</v>
      </c>
      <c r="E27" s="5" t="s">
        <v>13</v>
      </c>
      <c r="F27" s="5" t="s">
        <v>14</v>
      </c>
      <c r="G27" s="5" t="s">
        <v>24</v>
      </c>
      <c r="H27" s="5">
        <v>53285</v>
      </c>
      <c r="I27" s="5">
        <v>5265</v>
      </c>
      <c r="J27" s="6">
        <f t="shared" si="0"/>
        <v>48020</v>
      </c>
    </row>
    <row r="28" spans="1:10">
      <c r="A28" s="5">
        <v>86621</v>
      </c>
      <c r="B28" s="5" t="s">
        <v>10</v>
      </c>
      <c r="C28" s="5" t="s">
        <v>39</v>
      </c>
      <c r="D28" s="5" t="s">
        <v>23</v>
      </c>
      <c r="E28" s="5" t="s">
        <v>19</v>
      </c>
      <c r="F28" s="5" t="s">
        <v>14</v>
      </c>
      <c r="G28" s="5" t="s">
        <v>24</v>
      </c>
      <c r="H28" s="5">
        <v>45319</v>
      </c>
      <c r="I28" s="5">
        <v>4715</v>
      </c>
      <c r="J28" s="6">
        <f t="shared" si="0"/>
        <v>40604</v>
      </c>
    </row>
    <row r="29" spans="1:10">
      <c r="A29" s="5">
        <v>176823</v>
      </c>
      <c r="B29" s="5" t="s">
        <v>16</v>
      </c>
      <c r="C29" s="5" t="s">
        <v>25</v>
      </c>
      <c r="D29" s="5" t="s">
        <v>30</v>
      </c>
      <c r="E29" s="5" t="s">
        <v>13</v>
      </c>
      <c r="F29" s="5" t="s">
        <v>14</v>
      </c>
      <c r="G29" s="5" t="s">
        <v>15</v>
      </c>
      <c r="H29" s="5">
        <v>34603</v>
      </c>
      <c r="I29" s="5">
        <v>3567</v>
      </c>
      <c r="J29" s="6">
        <f t="shared" si="0"/>
        <v>31036</v>
      </c>
    </row>
    <row r="30" spans="1:10">
      <c r="A30" s="5">
        <v>27050</v>
      </c>
      <c r="B30" s="5" t="s">
        <v>16</v>
      </c>
      <c r="C30" s="5" t="s">
        <v>35</v>
      </c>
      <c r="D30" s="5" t="s">
        <v>33</v>
      </c>
      <c r="E30" s="5" t="s">
        <v>13</v>
      </c>
      <c r="F30" s="5" t="s">
        <v>14</v>
      </c>
      <c r="G30" s="5" t="s">
        <v>15</v>
      </c>
      <c r="H30" s="5">
        <v>18824</v>
      </c>
      <c r="I30" s="5">
        <v>371</v>
      </c>
      <c r="J30" s="6">
        <f t="shared" si="0"/>
        <v>18453</v>
      </c>
    </row>
    <row r="31" spans="1:10">
      <c r="A31" s="5">
        <v>94969</v>
      </c>
      <c r="B31" s="5" t="s">
        <v>10</v>
      </c>
      <c r="C31" s="5" t="s">
        <v>39</v>
      </c>
      <c r="D31" s="5" t="s">
        <v>32</v>
      </c>
      <c r="E31" s="5" t="s">
        <v>19</v>
      </c>
      <c r="F31" s="5" t="s">
        <v>14</v>
      </c>
      <c r="G31" s="5" t="s">
        <v>24</v>
      </c>
      <c r="H31" s="5">
        <v>25568</v>
      </c>
      <c r="I31" s="5">
        <v>0</v>
      </c>
      <c r="J31" s="6">
        <f t="shared" si="0"/>
        <v>25568</v>
      </c>
    </row>
    <row r="32" spans="1:10">
      <c r="A32" s="5">
        <v>26499</v>
      </c>
      <c r="B32" s="5" t="s">
        <v>16</v>
      </c>
      <c r="C32" s="5" t="s">
        <v>34</v>
      </c>
      <c r="D32" s="5" t="s">
        <v>12</v>
      </c>
      <c r="E32" s="5" t="s">
        <v>19</v>
      </c>
      <c r="F32" s="5" t="s">
        <v>14</v>
      </c>
      <c r="G32" s="5" t="s">
        <v>15</v>
      </c>
      <c r="H32" s="5">
        <v>80751</v>
      </c>
      <c r="I32" s="5">
        <v>160</v>
      </c>
      <c r="J32" s="6">
        <f t="shared" si="0"/>
        <v>80591</v>
      </c>
    </row>
    <row r="33" spans="1:10">
      <c r="A33" s="5">
        <v>118096</v>
      </c>
      <c r="B33" s="5" t="s">
        <v>10</v>
      </c>
      <c r="C33" s="5" t="s">
        <v>31</v>
      </c>
      <c r="D33" s="5" t="s">
        <v>36</v>
      </c>
      <c r="E33" s="5" t="s">
        <v>19</v>
      </c>
      <c r="F33" s="5" t="s">
        <v>14</v>
      </c>
      <c r="G33" s="5" t="s">
        <v>24</v>
      </c>
      <c r="H33" s="5">
        <v>32117</v>
      </c>
      <c r="I33" s="5">
        <v>1063</v>
      </c>
      <c r="J33" s="6">
        <f t="shared" si="0"/>
        <v>31054</v>
      </c>
    </row>
    <row r="34" spans="1:10">
      <c r="A34" s="5">
        <v>179586</v>
      </c>
      <c r="B34" s="5" t="s">
        <v>16</v>
      </c>
      <c r="C34" s="5" t="s">
        <v>17</v>
      </c>
      <c r="D34" s="5" t="s">
        <v>36</v>
      </c>
      <c r="E34" s="5" t="s">
        <v>19</v>
      </c>
      <c r="F34" s="5" t="s">
        <v>14</v>
      </c>
      <c r="G34" s="5" t="s">
        <v>24</v>
      </c>
      <c r="H34" s="5">
        <v>42233</v>
      </c>
      <c r="I34" s="5">
        <v>1607</v>
      </c>
      <c r="J34" s="6">
        <f t="shared" si="0"/>
        <v>40626</v>
      </c>
    </row>
    <row r="35" spans="1:10">
      <c r="A35" s="5">
        <v>139323</v>
      </c>
      <c r="B35" s="5" t="s">
        <v>10</v>
      </c>
      <c r="C35" s="5" t="s">
        <v>25</v>
      </c>
      <c r="D35" s="5" t="s">
        <v>32</v>
      </c>
      <c r="E35" s="5" t="s">
        <v>19</v>
      </c>
      <c r="F35" s="5" t="s">
        <v>14</v>
      </c>
      <c r="G35" s="5" t="s">
        <v>24</v>
      </c>
      <c r="H35" s="5">
        <v>25564</v>
      </c>
      <c r="I35" s="5">
        <v>0</v>
      </c>
      <c r="J35" s="6">
        <f t="shared" si="0"/>
        <v>25564</v>
      </c>
    </row>
    <row r="36" spans="1:10">
      <c r="A36" s="5">
        <v>125391</v>
      </c>
      <c r="B36" s="5" t="s">
        <v>10</v>
      </c>
      <c r="C36" s="5" t="s">
        <v>31</v>
      </c>
      <c r="D36" s="5" t="s">
        <v>18</v>
      </c>
      <c r="E36" s="5" t="s">
        <v>19</v>
      </c>
      <c r="F36" s="5" t="s">
        <v>14</v>
      </c>
      <c r="G36" s="5" t="s">
        <v>15</v>
      </c>
      <c r="H36" s="5">
        <v>25716</v>
      </c>
      <c r="I36" s="5">
        <v>2608</v>
      </c>
      <c r="J36" s="6">
        <f t="shared" si="0"/>
        <v>23108</v>
      </c>
    </row>
    <row r="37" spans="1:10">
      <c r="A37" s="5">
        <v>196524</v>
      </c>
      <c r="B37" s="5" t="s">
        <v>10</v>
      </c>
      <c r="C37" s="5" t="s">
        <v>11</v>
      </c>
      <c r="D37" s="5" t="s">
        <v>12</v>
      </c>
      <c r="E37" s="5" t="s">
        <v>13</v>
      </c>
      <c r="F37" s="5" t="s">
        <v>14</v>
      </c>
      <c r="G37" s="5" t="s">
        <v>15</v>
      </c>
      <c r="H37" s="5">
        <v>50038</v>
      </c>
      <c r="I37" s="5">
        <v>282</v>
      </c>
      <c r="J37" s="6">
        <f t="shared" si="0"/>
        <v>49756</v>
      </c>
    </row>
    <row r="38" spans="1:10">
      <c r="A38" s="5">
        <v>240294</v>
      </c>
      <c r="B38" s="5" t="s">
        <v>10</v>
      </c>
      <c r="C38" s="5" t="s">
        <v>25</v>
      </c>
      <c r="D38" s="5" t="s">
        <v>36</v>
      </c>
      <c r="E38" s="5" t="s">
        <v>19</v>
      </c>
      <c r="F38" s="5" t="s">
        <v>28</v>
      </c>
      <c r="G38" s="5" t="s">
        <v>24</v>
      </c>
      <c r="H38" s="5">
        <v>19124</v>
      </c>
      <c r="I38" s="5">
        <v>0</v>
      </c>
      <c r="J38" s="6">
        <f t="shared" si="0"/>
        <v>19124</v>
      </c>
    </row>
    <row r="39" spans="1:10">
      <c r="A39" s="5">
        <v>189610</v>
      </c>
      <c r="B39" s="5" t="s">
        <v>10</v>
      </c>
      <c r="C39" s="5" t="s">
        <v>37</v>
      </c>
      <c r="D39" s="5" t="s">
        <v>30</v>
      </c>
      <c r="E39" s="5" t="s">
        <v>13</v>
      </c>
      <c r="F39" s="5" t="s">
        <v>14</v>
      </c>
      <c r="G39" s="5" t="s">
        <v>15</v>
      </c>
      <c r="H39" s="5">
        <v>665612</v>
      </c>
      <c r="I39" s="5">
        <v>1952</v>
      </c>
      <c r="J39" s="6">
        <f t="shared" si="0"/>
        <v>663660</v>
      </c>
    </row>
    <row r="40" spans="1:10">
      <c r="A40" s="5">
        <v>256331</v>
      </c>
      <c r="B40" s="5" t="s">
        <v>16</v>
      </c>
      <c r="C40" s="5" t="s">
        <v>17</v>
      </c>
      <c r="D40" s="5" t="s">
        <v>18</v>
      </c>
      <c r="E40" s="5" t="s">
        <v>19</v>
      </c>
      <c r="F40" s="5" t="s">
        <v>14</v>
      </c>
      <c r="G40" s="5" t="s">
        <v>24</v>
      </c>
      <c r="H40" s="5">
        <v>17386</v>
      </c>
      <c r="I40" s="5">
        <v>716</v>
      </c>
      <c r="J40" s="6">
        <f t="shared" si="0"/>
        <v>16670</v>
      </c>
    </row>
    <row r="41" spans="1:10">
      <c r="A41" s="5">
        <v>64176</v>
      </c>
      <c r="B41" s="5" t="s">
        <v>10</v>
      </c>
      <c r="C41" s="5" t="s">
        <v>27</v>
      </c>
      <c r="D41" s="5" t="s">
        <v>30</v>
      </c>
      <c r="E41" s="5" t="s">
        <v>13</v>
      </c>
      <c r="F41" s="5" t="s">
        <v>14</v>
      </c>
      <c r="G41" s="5" t="s">
        <v>15</v>
      </c>
      <c r="H41" s="5">
        <v>84178</v>
      </c>
      <c r="I41" s="5">
        <v>760</v>
      </c>
      <c r="J41" s="6">
        <f t="shared" si="0"/>
        <v>83418</v>
      </c>
    </row>
    <row r="42" spans="1:10">
      <c r="A42" s="5">
        <v>92976</v>
      </c>
      <c r="B42" s="5" t="s">
        <v>10</v>
      </c>
      <c r="C42" s="5" t="s">
        <v>37</v>
      </c>
      <c r="D42" s="5" t="s">
        <v>32</v>
      </c>
      <c r="E42" s="5" t="s">
        <v>19</v>
      </c>
      <c r="F42" s="5" t="s">
        <v>14</v>
      </c>
      <c r="G42" s="5" t="s">
        <v>24</v>
      </c>
      <c r="H42" s="5">
        <v>49236</v>
      </c>
      <c r="I42" s="5">
        <v>162</v>
      </c>
      <c r="J42" s="6">
        <f t="shared" si="0"/>
        <v>49074</v>
      </c>
    </row>
    <row r="43" spans="1:10">
      <c r="A43" s="5">
        <v>252207</v>
      </c>
      <c r="B43" s="5" t="s">
        <v>10</v>
      </c>
      <c r="C43" s="5" t="s">
        <v>35</v>
      </c>
      <c r="D43" s="5" t="s">
        <v>32</v>
      </c>
      <c r="E43" s="5" t="s">
        <v>13</v>
      </c>
      <c r="F43" s="5" t="s">
        <v>28</v>
      </c>
      <c r="G43" s="5" t="s">
        <v>24</v>
      </c>
      <c r="H43" s="5">
        <v>9527</v>
      </c>
      <c r="I43" s="5">
        <v>0</v>
      </c>
      <c r="J43" s="6">
        <f t="shared" si="0"/>
        <v>9527</v>
      </c>
    </row>
    <row r="44" spans="1:10">
      <c r="A44" s="5">
        <v>99780</v>
      </c>
      <c r="B44" s="5" t="s">
        <v>10</v>
      </c>
      <c r="C44" s="5" t="s">
        <v>34</v>
      </c>
      <c r="D44" s="5" t="s">
        <v>32</v>
      </c>
      <c r="E44" s="5" t="s">
        <v>19</v>
      </c>
      <c r="F44" s="5" t="s">
        <v>14</v>
      </c>
      <c r="G44" s="5" t="s">
        <v>24</v>
      </c>
      <c r="H44" s="5">
        <v>66500</v>
      </c>
      <c r="I44" s="5">
        <v>0</v>
      </c>
      <c r="J44" s="6">
        <f t="shared" si="0"/>
        <v>66500</v>
      </c>
    </row>
    <row r="45" spans="1:10">
      <c r="A45" s="5">
        <v>98602</v>
      </c>
      <c r="B45" s="5" t="s">
        <v>10</v>
      </c>
      <c r="C45" s="5" t="s">
        <v>34</v>
      </c>
      <c r="D45" s="5" t="s">
        <v>23</v>
      </c>
      <c r="E45" s="5" t="s">
        <v>13</v>
      </c>
      <c r="F45" s="5" t="s">
        <v>28</v>
      </c>
      <c r="G45" s="5" t="s">
        <v>24</v>
      </c>
      <c r="H45" s="5">
        <v>61386</v>
      </c>
      <c r="I45" s="5">
        <v>1007</v>
      </c>
      <c r="J45" s="6">
        <f t="shared" si="0"/>
        <v>60379</v>
      </c>
    </row>
    <row r="46" spans="1:10">
      <c r="A46" s="5">
        <v>219950</v>
      </c>
      <c r="B46" s="5" t="s">
        <v>10</v>
      </c>
      <c r="C46" s="5" t="s">
        <v>27</v>
      </c>
      <c r="D46" s="5" t="s">
        <v>12</v>
      </c>
      <c r="E46" s="5" t="s">
        <v>13</v>
      </c>
      <c r="F46" s="5" t="s">
        <v>14</v>
      </c>
      <c r="G46" s="5" t="s">
        <v>15</v>
      </c>
      <c r="H46" s="5">
        <v>83925</v>
      </c>
      <c r="I46" s="5">
        <v>1109</v>
      </c>
      <c r="J46" s="6">
        <f t="shared" si="0"/>
        <v>82816</v>
      </c>
    </row>
    <row r="47" spans="1:10">
      <c r="A47" s="5">
        <v>11162</v>
      </c>
      <c r="B47" s="5" t="s">
        <v>16</v>
      </c>
      <c r="C47" s="5" t="s">
        <v>37</v>
      </c>
      <c r="D47" s="5" t="s">
        <v>33</v>
      </c>
      <c r="E47" s="5" t="s">
        <v>13</v>
      </c>
      <c r="F47" s="5" t="s">
        <v>14</v>
      </c>
      <c r="G47" s="5" t="s">
        <v>15</v>
      </c>
      <c r="H47" s="5">
        <v>60311</v>
      </c>
      <c r="I47" s="5">
        <v>321</v>
      </c>
      <c r="J47" s="6">
        <f t="shared" si="0"/>
        <v>59990</v>
      </c>
    </row>
    <row r="48" spans="1:10">
      <c r="A48" s="5">
        <v>41926</v>
      </c>
      <c r="B48" s="5" t="s">
        <v>10</v>
      </c>
      <c r="C48" s="5" t="s">
        <v>35</v>
      </c>
      <c r="D48" s="5" t="s">
        <v>23</v>
      </c>
      <c r="E48" s="5" t="s">
        <v>13</v>
      </c>
      <c r="F48" s="5" t="s">
        <v>14</v>
      </c>
      <c r="G48" s="5" t="s">
        <v>15</v>
      </c>
      <c r="H48" s="5">
        <v>37523</v>
      </c>
      <c r="I48" s="5">
        <v>0</v>
      </c>
      <c r="J48" s="6">
        <f t="shared" si="0"/>
        <v>37523</v>
      </c>
    </row>
    <row r="49" spans="1:10">
      <c r="A49" s="5">
        <v>89197</v>
      </c>
      <c r="B49" s="5" t="s">
        <v>10</v>
      </c>
      <c r="C49" s="5" t="s">
        <v>20</v>
      </c>
      <c r="D49" s="5" t="s">
        <v>32</v>
      </c>
      <c r="E49" s="5" t="s">
        <v>13</v>
      </c>
      <c r="F49" s="5" t="s">
        <v>28</v>
      </c>
      <c r="G49" s="5" t="s">
        <v>15</v>
      </c>
      <c r="H49" s="5">
        <v>59910</v>
      </c>
      <c r="I49" s="5">
        <v>21</v>
      </c>
      <c r="J49" s="6">
        <f t="shared" si="0"/>
        <v>59889</v>
      </c>
    </row>
    <row r="50" spans="1:10">
      <c r="A50" s="5">
        <v>224846</v>
      </c>
      <c r="B50" s="5" t="s">
        <v>16</v>
      </c>
      <c r="C50" s="5" t="s">
        <v>17</v>
      </c>
      <c r="D50" s="5" t="s">
        <v>30</v>
      </c>
      <c r="E50" s="5" t="s">
        <v>13</v>
      </c>
      <c r="F50" s="5" t="s">
        <v>28</v>
      </c>
      <c r="G50" s="5" t="s">
        <v>24</v>
      </c>
      <c r="H50" s="5">
        <v>66457</v>
      </c>
      <c r="I50" s="5">
        <v>822</v>
      </c>
      <c r="J50" s="6">
        <f t="shared" si="0"/>
        <v>65635</v>
      </c>
    </row>
    <row r="51" spans="1:10">
      <c r="A51" s="5">
        <v>80813</v>
      </c>
      <c r="B51" s="5" t="s">
        <v>10</v>
      </c>
      <c r="C51" s="5" t="s">
        <v>38</v>
      </c>
      <c r="D51" s="5" t="s">
        <v>32</v>
      </c>
      <c r="E51" s="5" t="s">
        <v>13</v>
      </c>
      <c r="F51" s="5" t="s">
        <v>14</v>
      </c>
      <c r="G51" s="5" t="s">
        <v>15</v>
      </c>
      <c r="H51" s="5">
        <v>10439</v>
      </c>
      <c r="I51" s="5">
        <v>0</v>
      </c>
      <c r="J51" s="6">
        <f t="shared" si="0"/>
        <v>10439</v>
      </c>
    </row>
    <row r="52" spans="1:10">
      <c r="A52" s="5">
        <v>226711</v>
      </c>
      <c r="B52" s="5" t="s">
        <v>16</v>
      </c>
      <c r="C52" s="5" t="s">
        <v>25</v>
      </c>
      <c r="D52" s="5" t="s">
        <v>12</v>
      </c>
      <c r="E52" s="5" t="s">
        <v>13</v>
      </c>
      <c r="F52" s="5" t="s">
        <v>28</v>
      </c>
      <c r="G52" s="5" t="s">
        <v>15</v>
      </c>
      <c r="H52" s="5">
        <v>21969</v>
      </c>
      <c r="I52" s="5">
        <v>8136</v>
      </c>
      <c r="J52" s="6">
        <f t="shared" si="0"/>
        <v>13833</v>
      </c>
    </row>
    <row r="53" spans="1:10">
      <c r="A53" s="5">
        <v>249509</v>
      </c>
      <c r="B53" s="5" t="s">
        <v>10</v>
      </c>
      <c r="C53" s="5" t="s">
        <v>25</v>
      </c>
      <c r="D53" s="5" t="s">
        <v>30</v>
      </c>
      <c r="E53" s="5" t="s">
        <v>19</v>
      </c>
      <c r="F53" s="5" t="s">
        <v>14</v>
      </c>
      <c r="G53" s="5" t="s">
        <v>15</v>
      </c>
      <c r="H53" s="5">
        <v>54325</v>
      </c>
      <c r="I53" s="5">
        <v>1121</v>
      </c>
      <c r="J53" s="6">
        <f t="shared" si="0"/>
        <v>53204</v>
      </c>
    </row>
    <row r="54" spans="1:10">
      <c r="A54" s="5">
        <v>98339</v>
      </c>
      <c r="B54" s="5" t="s">
        <v>16</v>
      </c>
      <c r="C54" s="5" t="s">
        <v>11</v>
      </c>
      <c r="D54" s="5" t="s">
        <v>12</v>
      </c>
      <c r="E54" s="5" t="s">
        <v>13</v>
      </c>
      <c r="F54" s="5" t="s">
        <v>14</v>
      </c>
      <c r="G54" s="5" t="s">
        <v>15</v>
      </c>
      <c r="H54" s="5">
        <v>98107</v>
      </c>
      <c r="I54" s="5">
        <v>860</v>
      </c>
      <c r="J54" s="6">
        <f t="shared" si="0"/>
        <v>97247</v>
      </c>
    </row>
    <row r="55" spans="1:10">
      <c r="A55" s="5">
        <v>222425</v>
      </c>
      <c r="B55" s="5" t="s">
        <v>10</v>
      </c>
      <c r="C55" s="5" t="s">
        <v>27</v>
      </c>
      <c r="D55" s="5" t="s">
        <v>30</v>
      </c>
      <c r="E55" s="5" t="s">
        <v>13</v>
      </c>
      <c r="F55" s="5" t="s">
        <v>28</v>
      </c>
      <c r="G55" s="5" t="s">
        <v>15</v>
      </c>
      <c r="H55" s="5">
        <v>79237</v>
      </c>
      <c r="I55" s="5">
        <v>785</v>
      </c>
      <c r="J55" s="6">
        <f t="shared" si="0"/>
        <v>78452</v>
      </c>
    </row>
    <row r="56" spans="1:10">
      <c r="A56" s="5">
        <v>107732</v>
      </c>
      <c r="B56" s="5" t="s">
        <v>10</v>
      </c>
      <c r="C56" s="5" t="s">
        <v>22</v>
      </c>
      <c r="D56" s="5" t="s">
        <v>12</v>
      </c>
      <c r="E56" s="5" t="s">
        <v>13</v>
      </c>
      <c r="F56" s="5" t="s">
        <v>28</v>
      </c>
      <c r="G56" s="5" t="s">
        <v>15</v>
      </c>
      <c r="H56" s="5">
        <v>71800</v>
      </c>
      <c r="I56" s="5">
        <v>2664</v>
      </c>
      <c r="J56" s="6">
        <f t="shared" si="0"/>
        <v>69136</v>
      </c>
    </row>
    <row r="57" spans="1:10">
      <c r="A57" s="5">
        <v>69724</v>
      </c>
      <c r="B57" s="5" t="s">
        <v>16</v>
      </c>
      <c r="C57" s="5" t="s">
        <v>35</v>
      </c>
      <c r="D57" s="5" t="s">
        <v>32</v>
      </c>
      <c r="E57" s="5" t="s">
        <v>13</v>
      </c>
      <c r="F57" s="5" t="s">
        <v>14</v>
      </c>
      <c r="G57" s="5" t="s">
        <v>15</v>
      </c>
      <c r="H57" s="5">
        <v>744</v>
      </c>
      <c r="I57" s="5">
        <v>37</v>
      </c>
      <c r="J57" s="6">
        <f t="shared" si="0"/>
        <v>707</v>
      </c>
    </row>
    <row r="58" spans="1:10">
      <c r="A58" s="5">
        <v>135040</v>
      </c>
      <c r="B58" s="5" t="s">
        <v>10</v>
      </c>
      <c r="C58" s="5" t="s">
        <v>11</v>
      </c>
      <c r="D58" s="5" t="s">
        <v>12</v>
      </c>
      <c r="E58" s="5" t="s">
        <v>13</v>
      </c>
      <c r="F58" s="5" t="s">
        <v>14</v>
      </c>
      <c r="G58" s="5" t="s">
        <v>15</v>
      </c>
      <c r="H58" s="5">
        <v>132544</v>
      </c>
      <c r="I58" s="5">
        <v>21465</v>
      </c>
      <c r="J58" s="6">
        <f t="shared" si="0"/>
        <v>111079</v>
      </c>
    </row>
    <row r="59" spans="1:10">
      <c r="A59" s="5">
        <v>225556</v>
      </c>
      <c r="B59" s="5" t="s">
        <v>16</v>
      </c>
      <c r="C59" s="5" t="s">
        <v>25</v>
      </c>
      <c r="D59" s="5" t="s">
        <v>30</v>
      </c>
      <c r="E59" s="5" t="s">
        <v>19</v>
      </c>
      <c r="F59" s="5" t="s">
        <v>14</v>
      </c>
      <c r="G59" s="5" t="s">
        <v>15</v>
      </c>
      <c r="H59" s="5">
        <v>73774</v>
      </c>
      <c r="I59" s="5">
        <v>418</v>
      </c>
      <c r="J59" s="6">
        <f t="shared" si="0"/>
        <v>73356</v>
      </c>
    </row>
    <row r="60" spans="1:10">
      <c r="A60" s="5">
        <v>83231</v>
      </c>
      <c r="B60" s="5" t="s">
        <v>10</v>
      </c>
      <c r="C60" s="5" t="s">
        <v>34</v>
      </c>
      <c r="D60" s="5" t="s">
        <v>36</v>
      </c>
      <c r="E60" s="5" t="s">
        <v>13</v>
      </c>
      <c r="F60" s="5" t="s">
        <v>14</v>
      </c>
      <c r="G60" s="5" t="s">
        <v>15</v>
      </c>
      <c r="H60" s="5">
        <v>66671</v>
      </c>
      <c r="I60" s="5">
        <v>1262</v>
      </c>
      <c r="J60" s="6">
        <f t="shared" si="0"/>
        <v>65409</v>
      </c>
    </row>
    <row r="61" spans="1:10">
      <c r="A61" s="5">
        <v>233525</v>
      </c>
      <c r="B61" s="5" t="s">
        <v>10</v>
      </c>
      <c r="C61" s="5" t="s">
        <v>27</v>
      </c>
      <c r="D61" s="5" t="s">
        <v>32</v>
      </c>
      <c r="E61" s="5" t="s">
        <v>13</v>
      </c>
      <c r="F61" s="5" t="s">
        <v>14</v>
      </c>
      <c r="G61" s="5" t="s">
        <v>24</v>
      </c>
      <c r="H61" s="5">
        <v>207850</v>
      </c>
      <c r="I61" s="5">
        <v>0</v>
      </c>
      <c r="J61" s="6">
        <f t="shared" si="0"/>
        <v>207850</v>
      </c>
    </row>
    <row r="62" spans="1:10">
      <c r="A62" s="5">
        <v>240008</v>
      </c>
      <c r="B62" s="5" t="s">
        <v>16</v>
      </c>
      <c r="C62" s="5" t="s">
        <v>27</v>
      </c>
      <c r="D62" s="5" t="s">
        <v>12</v>
      </c>
      <c r="E62" s="5" t="s">
        <v>13</v>
      </c>
      <c r="F62" s="5" t="s">
        <v>28</v>
      </c>
      <c r="G62" s="5" t="s">
        <v>15</v>
      </c>
      <c r="H62" s="5">
        <v>35404</v>
      </c>
      <c r="I62" s="5">
        <v>366</v>
      </c>
      <c r="J62" s="6">
        <f t="shared" si="0"/>
        <v>35038</v>
      </c>
    </row>
    <row r="63" spans="1:10">
      <c r="A63" s="5">
        <v>96904</v>
      </c>
      <c r="B63" s="5" t="s">
        <v>16</v>
      </c>
      <c r="C63" s="5" t="s">
        <v>34</v>
      </c>
      <c r="D63" s="5" t="s">
        <v>33</v>
      </c>
      <c r="E63" s="5" t="s">
        <v>13</v>
      </c>
      <c r="F63" s="5" t="s">
        <v>14</v>
      </c>
      <c r="G63" s="5" t="s">
        <v>15</v>
      </c>
      <c r="H63" s="5">
        <v>77899</v>
      </c>
      <c r="I63" s="5">
        <v>2867</v>
      </c>
      <c r="J63" s="6">
        <f t="shared" si="0"/>
        <v>75032</v>
      </c>
    </row>
    <row r="64" spans="1:10">
      <c r="A64" s="5">
        <v>170416</v>
      </c>
      <c r="B64" s="5" t="s">
        <v>16</v>
      </c>
      <c r="C64" s="5" t="s">
        <v>35</v>
      </c>
      <c r="D64" s="5" t="s">
        <v>30</v>
      </c>
      <c r="E64" s="5" t="s">
        <v>13</v>
      </c>
      <c r="F64" s="5" t="s">
        <v>28</v>
      </c>
      <c r="G64" s="5" t="s">
        <v>15</v>
      </c>
      <c r="H64" s="5">
        <v>113671</v>
      </c>
      <c r="I64" s="5">
        <v>1610</v>
      </c>
      <c r="J64" s="6">
        <f t="shared" si="0"/>
        <v>112061</v>
      </c>
    </row>
    <row r="65" spans="1:10">
      <c r="A65" s="5">
        <v>176406</v>
      </c>
      <c r="B65" s="5" t="s">
        <v>10</v>
      </c>
      <c r="C65" s="5" t="s">
        <v>17</v>
      </c>
      <c r="D65" s="5" t="s">
        <v>26</v>
      </c>
      <c r="E65" s="5" t="s">
        <v>19</v>
      </c>
      <c r="F65" s="5" t="s">
        <v>28</v>
      </c>
      <c r="G65" s="5" t="s">
        <v>24</v>
      </c>
      <c r="H65" s="5">
        <v>34495</v>
      </c>
      <c r="I65" s="5">
        <v>141</v>
      </c>
      <c r="J65" s="6">
        <f t="shared" si="0"/>
        <v>34354</v>
      </c>
    </row>
    <row r="66" spans="1:10">
      <c r="A66" s="5">
        <v>228625</v>
      </c>
      <c r="B66" s="5" t="s">
        <v>10</v>
      </c>
      <c r="C66" s="5" t="s">
        <v>22</v>
      </c>
      <c r="D66" s="5" t="s">
        <v>23</v>
      </c>
      <c r="E66" s="5" t="s">
        <v>19</v>
      </c>
      <c r="F66" s="5" t="s">
        <v>14</v>
      </c>
      <c r="G66" s="5" t="s">
        <v>15</v>
      </c>
      <c r="H66" s="5">
        <v>13399</v>
      </c>
      <c r="I66" s="5">
        <v>903</v>
      </c>
      <c r="J66" s="6">
        <f t="shared" ref="J66:J129" si="1">H66-I66</f>
        <v>12496</v>
      </c>
    </row>
    <row r="67" spans="1:10">
      <c r="A67" s="5">
        <v>226060</v>
      </c>
      <c r="B67" s="5" t="s">
        <v>10</v>
      </c>
      <c r="C67" s="5" t="s">
        <v>17</v>
      </c>
      <c r="D67" s="5" t="s">
        <v>21</v>
      </c>
      <c r="E67" s="5" t="s">
        <v>13</v>
      </c>
      <c r="F67" s="5" t="s">
        <v>14</v>
      </c>
      <c r="G67" s="5" t="s">
        <v>15</v>
      </c>
      <c r="H67" s="5">
        <v>38149</v>
      </c>
      <c r="I67" s="5">
        <v>1366</v>
      </c>
      <c r="J67" s="6">
        <f t="shared" si="1"/>
        <v>36783</v>
      </c>
    </row>
    <row r="68" spans="1:10">
      <c r="A68" s="5">
        <v>165540</v>
      </c>
      <c r="B68" s="5" t="s">
        <v>16</v>
      </c>
      <c r="C68" s="5" t="s">
        <v>35</v>
      </c>
      <c r="D68" s="5" t="s">
        <v>36</v>
      </c>
      <c r="E68" s="5" t="s">
        <v>13</v>
      </c>
      <c r="F68" s="5" t="s">
        <v>14</v>
      </c>
      <c r="G68" s="5" t="s">
        <v>24</v>
      </c>
      <c r="H68" s="5">
        <v>45490</v>
      </c>
      <c r="I68" s="5">
        <v>0</v>
      </c>
      <c r="J68" s="6">
        <f t="shared" si="1"/>
        <v>45490</v>
      </c>
    </row>
    <row r="69" spans="1:10">
      <c r="A69" s="5">
        <v>25300</v>
      </c>
      <c r="B69" s="5" t="s">
        <v>16</v>
      </c>
      <c r="C69" s="5" t="s">
        <v>35</v>
      </c>
      <c r="D69" s="5" t="s">
        <v>36</v>
      </c>
      <c r="E69" s="5" t="s">
        <v>13</v>
      </c>
      <c r="F69" s="5" t="s">
        <v>14</v>
      </c>
      <c r="G69" s="5" t="s">
        <v>24</v>
      </c>
      <c r="H69" s="5">
        <v>39061</v>
      </c>
      <c r="I69" s="5">
        <v>6416</v>
      </c>
      <c r="J69" s="6">
        <f t="shared" si="1"/>
        <v>32645</v>
      </c>
    </row>
    <row r="70" spans="1:10">
      <c r="A70" s="5">
        <v>3282</v>
      </c>
      <c r="B70" s="5" t="s">
        <v>10</v>
      </c>
      <c r="C70" s="5" t="s">
        <v>37</v>
      </c>
      <c r="D70" s="5" t="s">
        <v>23</v>
      </c>
      <c r="E70" s="5" t="s">
        <v>13</v>
      </c>
      <c r="F70" s="5" t="s">
        <v>14</v>
      </c>
      <c r="G70" s="5" t="s">
        <v>15</v>
      </c>
      <c r="H70" s="5">
        <v>65209</v>
      </c>
      <c r="I70" s="5">
        <v>5368</v>
      </c>
      <c r="J70" s="6">
        <f t="shared" si="1"/>
        <v>59841</v>
      </c>
    </row>
    <row r="71" spans="1:10">
      <c r="A71" s="5">
        <v>103799</v>
      </c>
      <c r="B71" s="5" t="s">
        <v>16</v>
      </c>
      <c r="C71" s="5" t="s">
        <v>27</v>
      </c>
      <c r="D71" s="5" t="s">
        <v>33</v>
      </c>
      <c r="E71" s="5" t="s">
        <v>19</v>
      </c>
      <c r="F71" s="5" t="s">
        <v>14</v>
      </c>
      <c r="G71" s="5" t="s">
        <v>24</v>
      </c>
      <c r="H71" s="5">
        <v>115567</v>
      </c>
      <c r="I71" s="5">
        <v>1454</v>
      </c>
      <c r="J71" s="6">
        <f t="shared" si="1"/>
        <v>114113</v>
      </c>
    </row>
    <row r="72" spans="1:10">
      <c r="A72" s="5">
        <v>256186</v>
      </c>
      <c r="B72" s="5" t="s">
        <v>10</v>
      </c>
      <c r="C72" s="5" t="s">
        <v>17</v>
      </c>
      <c r="D72" s="5" t="s">
        <v>29</v>
      </c>
      <c r="E72" s="5" t="s">
        <v>19</v>
      </c>
      <c r="F72" s="5" t="s">
        <v>14</v>
      </c>
      <c r="G72" s="5" t="s">
        <v>24</v>
      </c>
      <c r="H72" s="5">
        <v>38984</v>
      </c>
      <c r="I72" s="5">
        <v>752</v>
      </c>
      <c r="J72" s="6">
        <f t="shared" si="1"/>
        <v>38232</v>
      </c>
    </row>
    <row r="73" spans="1:10">
      <c r="A73" s="5">
        <v>219670</v>
      </c>
      <c r="B73" s="5" t="s">
        <v>10</v>
      </c>
      <c r="C73" s="5" t="s">
        <v>37</v>
      </c>
      <c r="D73" s="5" t="s">
        <v>33</v>
      </c>
      <c r="E73" s="5" t="s">
        <v>19</v>
      </c>
      <c r="F73" s="5" t="s">
        <v>28</v>
      </c>
      <c r="G73" s="5" t="s">
        <v>15</v>
      </c>
      <c r="H73" s="5">
        <v>59711</v>
      </c>
      <c r="I73" s="5">
        <v>0</v>
      </c>
      <c r="J73" s="6">
        <f t="shared" si="1"/>
        <v>59711</v>
      </c>
    </row>
    <row r="74" spans="1:10">
      <c r="A74" s="5">
        <v>164959</v>
      </c>
      <c r="B74" s="5" t="s">
        <v>16</v>
      </c>
      <c r="C74" s="5" t="s">
        <v>25</v>
      </c>
      <c r="D74" s="5" t="s">
        <v>26</v>
      </c>
      <c r="E74" s="5" t="s">
        <v>19</v>
      </c>
      <c r="F74" s="5" t="s">
        <v>14</v>
      </c>
      <c r="G74" s="5" t="s">
        <v>24</v>
      </c>
      <c r="H74" s="5">
        <v>12417</v>
      </c>
      <c r="I74" s="5">
        <v>0</v>
      </c>
      <c r="J74" s="6">
        <f t="shared" si="1"/>
        <v>12417</v>
      </c>
    </row>
    <row r="75" spans="1:10">
      <c r="A75" s="5">
        <v>74035</v>
      </c>
      <c r="B75" s="5" t="s">
        <v>10</v>
      </c>
      <c r="C75" s="5" t="s">
        <v>34</v>
      </c>
      <c r="D75" s="5" t="s">
        <v>32</v>
      </c>
      <c r="E75" s="5" t="s">
        <v>19</v>
      </c>
      <c r="F75" s="5" t="s">
        <v>14</v>
      </c>
      <c r="G75" s="5" t="s">
        <v>15</v>
      </c>
      <c r="H75" s="5">
        <v>26987</v>
      </c>
      <c r="I75" s="5">
        <v>0</v>
      </c>
      <c r="J75" s="6">
        <f t="shared" si="1"/>
        <v>26987</v>
      </c>
    </row>
    <row r="76" spans="1:10">
      <c r="A76" s="5">
        <v>57323</v>
      </c>
      <c r="B76" s="5" t="s">
        <v>10</v>
      </c>
      <c r="C76" s="5" t="s">
        <v>35</v>
      </c>
      <c r="D76" s="5" t="s">
        <v>32</v>
      </c>
      <c r="E76" s="5" t="s">
        <v>19</v>
      </c>
      <c r="F76" s="5" t="s">
        <v>14</v>
      </c>
      <c r="G76" s="5" t="s">
        <v>15</v>
      </c>
      <c r="H76" s="5">
        <v>7401</v>
      </c>
      <c r="I76" s="5">
        <v>164</v>
      </c>
      <c r="J76" s="6">
        <f t="shared" si="1"/>
        <v>7237</v>
      </c>
    </row>
    <row r="77" spans="1:10">
      <c r="A77" s="5">
        <v>205631</v>
      </c>
      <c r="B77" s="5" t="s">
        <v>16</v>
      </c>
      <c r="C77" s="5" t="s">
        <v>20</v>
      </c>
      <c r="D77" s="5" t="s">
        <v>32</v>
      </c>
      <c r="E77" s="5" t="s">
        <v>19</v>
      </c>
      <c r="F77" s="5" t="s">
        <v>28</v>
      </c>
      <c r="G77" s="5" t="s">
        <v>24</v>
      </c>
      <c r="H77" s="5">
        <v>395</v>
      </c>
      <c r="I77" s="5">
        <v>0</v>
      </c>
      <c r="J77" s="6">
        <f t="shared" si="1"/>
        <v>395</v>
      </c>
    </row>
    <row r="78" spans="1:10">
      <c r="A78" s="5">
        <v>83104</v>
      </c>
      <c r="B78" s="5" t="s">
        <v>10</v>
      </c>
      <c r="C78" s="5" t="s">
        <v>37</v>
      </c>
      <c r="D78" s="5" t="s">
        <v>32</v>
      </c>
      <c r="E78" s="5" t="s">
        <v>13</v>
      </c>
      <c r="F78" s="5" t="s">
        <v>14</v>
      </c>
      <c r="G78" s="5" t="s">
        <v>15</v>
      </c>
      <c r="H78" s="5">
        <v>48152</v>
      </c>
      <c r="I78" s="5">
        <v>5730</v>
      </c>
      <c r="J78" s="6">
        <f t="shared" si="1"/>
        <v>42422</v>
      </c>
    </row>
    <row r="79" spans="1:10">
      <c r="A79" s="5">
        <v>70733</v>
      </c>
      <c r="B79" s="5" t="s">
        <v>16</v>
      </c>
      <c r="C79" s="5" t="s">
        <v>17</v>
      </c>
      <c r="D79" s="5" t="s">
        <v>33</v>
      </c>
      <c r="E79" s="5" t="s">
        <v>19</v>
      </c>
      <c r="F79" s="5" t="s">
        <v>14</v>
      </c>
      <c r="G79" s="5" t="s">
        <v>15</v>
      </c>
      <c r="H79" s="5">
        <v>116422</v>
      </c>
      <c r="I79" s="5">
        <v>78</v>
      </c>
      <c r="J79" s="6">
        <f t="shared" si="1"/>
        <v>116344</v>
      </c>
    </row>
    <row r="80" spans="1:10">
      <c r="A80" s="5">
        <v>97914</v>
      </c>
      <c r="B80" s="5" t="s">
        <v>16</v>
      </c>
      <c r="C80" s="5" t="s">
        <v>20</v>
      </c>
      <c r="D80" s="5" t="s">
        <v>21</v>
      </c>
      <c r="E80" s="5" t="s">
        <v>19</v>
      </c>
      <c r="F80" s="5" t="s">
        <v>14</v>
      </c>
      <c r="G80" s="5" t="s">
        <v>24</v>
      </c>
      <c r="H80" s="5">
        <v>40149</v>
      </c>
      <c r="I80" s="5">
        <v>927</v>
      </c>
      <c r="J80" s="6">
        <f t="shared" si="1"/>
        <v>39222</v>
      </c>
    </row>
    <row r="81" spans="1:10">
      <c r="A81" s="5">
        <v>139001</v>
      </c>
      <c r="B81" s="5" t="s">
        <v>16</v>
      </c>
      <c r="C81" s="5" t="s">
        <v>25</v>
      </c>
      <c r="D81" s="5" t="s">
        <v>12</v>
      </c>
      <c r="E81" s="5" t="s">
        <v>13</v>
      </c>
      <c r="F81" s="5" t="s">
        <v>14</v>
      </c>
      <c r="G81" s="5" t="s">
        <v>24</v>
      </c>
      <c r="H81" s="5">
        <v>10157</v>
      </c>
      <c r="I81" s="5">
        <v>1205</v>
      </c>
      <c r="J81" s="6">
        <f t="shared" si="1"/>
        <v>8952</v>
      </c>
    </row>
    <row r="82" spans="1:10">
      <c r="A82" s="5">
        <v>3096</v>
      </c>
      <c r="B82" s="5" t="s">
        <v>16</v>
      </c>
      <c r="C82" s="5" t="s">
        <v>37</v>
      </c>
      <c r="D82" s="5" t="s">
        <v>30</v>
      </c>
      <c r="E82" s="5" t="s">
        <v>13</v>
      </c>
      <c r="F82" s="5" t="s">
        <v>14</v>
      </c>
      <c r="G82" s="5" t="s">
        <v>15</v>
      </c>
      <c r="H82" s="5">
        <v>105262</v>
      </c>
      <c r="I82" s="5">
        <v>1808</v>
      </c>
      <c r="J82" s="6">
        <f t="shared" si="1"/>
        <v>103454</v>
      </c>
    </row>
    <row r="83" spans="1:10">
      <c r="A83" s="5">
        <v>228574</v>
      </c>
      <c r="B83" s="5" t="s">
        <v>16</v>
      </c>
      <c r="C83" s="5" t="s">
        <v>27</v>
      </c>
      <c r="D83" s="5" t="s">
        <v>29</v>
      </c>
      <c r="E83" s="5" t="s">
        <v>19</v>
      </c>
      <c r="F83" s="5" t="s">
        <v>14</v>
      </c>
      <c r="G83" s="5" t="s">
        <v>24</v>
      </c>
      <c r="H83" s="5">
        <v>47980</v>
      </c>
      <c r="I83" s="5">
        <v>829</v>
      </c>
      <c r="J83" s="6">
        <f t="shared" si="1"/>
        <v>47151</v>
      </c>
    </row>
    <row r="84" spans="1:10">
      <c r="A84" s="5">
        <v>212571</v>
      </c>
      <c r="B84" s="5" t="s">
        <v>16</v>
      </c>
      <c r="C84" s="5" t="s">
        <v>37</v>
      </c>
      <c r="D84" s="5" t="s">
        <v>30</v>
      </c>
      <c r="E84" s="5" t="s">
        <v>13</v>
      </c>
      <c r="F84" s="5" t="s">
        <v>14</v>
      </c>
      <c r="G84" s="5" t="s">
        <v>15</v>
      </c>
      <c r="H84" s="5">
        <v>98086</v>
      </c>
      <c r="I84" s="5">
        <v>7636</v>
      </c>
      <c r="J84" s="6">
        <f t="shared" si="1"/>
        <v>90450</v>
      </c>
    </row>
    <row r="85" spans="1:10">
      <c r="A85" s="5">
        <v>81717</v>
      </c>
      <c r="B85" s="5" t="s">
        <v>10</v>
      </c>
      <c r="C85" s="5" t="s">
        <v>20</v>
      </c>
      <c r="D85" s="5" t="s">
        <v>32</v>
      </c>
      <c r="E85" s="5" t="s">
        <v>13</v>
      </c>
      <c r="F85" s="5" t="s">
        <v>14</v>
      </c>
      <c r="G85" s="5" t="s">
        <v>15</v>
      </c>
      <c r="H85" s="5">
        <v>73677</v>
      </c>
      <c r="I85" s="5">
        <v>703</v>
      </c>
      <c r="J85" s="6">
        <f t="shared" si="1"/>
        <v>72974</v>
      </c>
    </row>
    <row r="86" spans="1:10">
      <c r="A86" s="5">
        <v>179326</v>
      </c>
      <c r="B86" s="5" t="s">
        <v>10</v>
      </c>
      <c r="C86" s="5" t="s">
        <v>17</v>
      </c>
      <c r="D86" s="5" t="s">
        <v>36</v>
      </c>
      <c r="E86" s="5" t="s">
        <v>19</v>
      </c>
      <c r="F86" s="5" t="s">
        <v>14</v>
      </c>
      <c r="G86" s="5" t="s">
        <v>15</v>
      </c>
      <c r="H86" s="5">
        <v>46978</v>
      </c>
      <c r="I86" s="5">
        <v>8353</v>
      </c>
      <c r="J86" s="6">
        <f t="shared" si="1"/>
        <v>38625</v>
      </c>
    </row>
    <row r="87" spans="1:10">
      <c r="A87" s="5">
        <v>145200</v>
      </c>
      <c r="B87" s="5" t="s">
        <v>16</v>
      </c>
      <c r="C87" s="5" t="s">
        <v>22</v>
      </c>
      <c r="D87" s="5" t="s">
        <v>26</v>
      </c>
      <c r="E87" s="5" t="s">
        <v>19</v>
      </c>
      <c r="F87" s="5" t="s">
        <v>14</v>
      </c>
      <c r="G87" s="5" t="s">
        <v>24</v>
      </c>
      <c r="H87" s="5">
        <v>14916</v>
      </c>
      <c r="I87" s="5">
        <v>1197</v>
      </c>
      <c r="J87" s="6">
        <f t="shared" si="1"/>
        <v>13719</v>
      </c>
    </row>
    <row r="88" spans="1:10">
      <c r="A88" s="5">
        <v>162247</v>
      </c>
      <c r="B88" s="5" t="s">
        <v>10</v>
      </c>
      <c r="C88" s="5" t="s">
        <v>34</v>
      </c>
      <c r="D88" s="5" t="s">
        <v>23</v>
      </c>
      <c r="E88" s="5" t="s">
        <v>13</v>
      </c>
      <c r="F88" s="5" t="s">
        <v>14</v>
      </c>
      <c r="G88" s="5" t="s">
        <v>15</v>
      </c>
      <c r="H88" s="5">
        <v>50419</v>
      </c>
      <c r="I88" s="5">
        <v>1508</v>
      </c>
      <c r="J88" s="6">
        <f t="shared" si="1"/>
        <v>48911</v>
      </c>
    </row>
    <row r="89" spans="1:10">
      <c r="A89" s="5">
        <v>147418</v>
      </c>
      <c r="B89" s="5" t="s">
        <v>10</v>
      </c>
      <c r="C89" s="5" t="s">
        <v>31</v>
      </c>
      <c r="D89" s="5" t="s">
        <v>33</v>
      </c>
      <c r="E89" s="5" t="s">
        <v>19</v>
      </c>
      <c r="F89" s="5" t="s">
        <v>14</v>
      </c>
      <c r="G89" s="5" t="s">
        <v>15</v>
      </c>
      <c r="H89" s="5">
        <v>92452</v>
      </c>
      <c r="I89" s="5">
        <v>141</v>
      </c>
      <c r="J89" s="6">
        <f t="shared" si="1"/>
        <v>92311</v>
      </c>
    </row>
    <row r="90" spans="1:10">
      <c r="A90" s="5">
        <v>2760</v>
      </c>
      <c r="B90" s="5" t="s">
        <v>10</v>
      </c>
      <c r="C90" s="5" t="s">
        <v>39</v>
      </c>
      <c r="D90" s="5" t="s">
        <v>32</v>
      </c>
      <c r="E90" s="5" t="s">
        <v>13</v>
      </c>
      <c r="F90" s="5" t="s">
        <v>14</v>
      </c>
      <c r="G90" s="5" t="s">
        <v>15</v>
      </c>
      <c r="H90" s="5">
        <v>74000</v>
      </c>
      <c r="I90" s="5">
        <v>0</v>
      </c>
      <c r="J90" s="6">
        <f t="shared" si="1"/>
        <v>74000</v>
      </c>
    </row>
    <row r="91" spans="1:10">
      <c r="A91" s="5">
        <v>20069</v>
      </c>
      <c r="B91" s="5" t="s">
        <v>16</v>
      </c>
      <c r="C91" s="5" t="s">
        <v>11</v>
      </c>
      <c r="D91" s="5" t="s">
        <v>30</v>
      </c>
      <c r="E91" s="5" t="s">
        <v>13</v>
      </c>
      <c r="F91" s="5" t="s">
        <v>28</v>
      </c>
      <c r="G91" s="5" t="s">
        <v>15</v>
      </c>
      <c r="H91" s="5">
        <v>127747</v>
      </c>
      <c r="I91" s="5">
        <v>4</v>
      </c>
      <c r="J91" s="6">
        <f t="shared" si="1"/>
        <v>127743</v>
      </c>
    </row>
    <row r="92" spans="1:10">
      <c r="A92" s="5">
        <v>210385</v>
      </c>
      <c r="B92" s="5" t="s">
        <v>10</v>
      </c>
      <c r="C92" s="5" t="s">
        <v>37</v>
      </c>
      <c r="D92" s="5" t="s">
        <v>32</v>
      </c>
      <c r="E92" s="5" t="s">
        <v>13</v>
      </c>
      <c r="F92" s="5" t="s">
        <v>14</v>
      </c>
      <c r="G92" s="5" t="s">
        <v>15</v>
      </c>
      <c r="H92" s="5">
        <v>17707</v>
      </c>
      <c r="I92" s="5">
        <v>0</v>
      </c>
      <c r="J92" s="6">
        <f t="shared" si="1"/>
        <v>17707</v>
      </c>
    </row>
    <row r="93" spans="1:10">
      <c r="A93" s="5">
        <v>24750</v>
      </c>
      <c r="B93" s="5" t="s">
        <v>16</v>
      </c>
      <c r="C93" s="5" t="s">
        <v>37</v>
      </c>
      <c r="D93" s="5" t="s">
        <v>30</v>
      </c>
      <c r="E93" s="5" t="s">
        <v>19</v>
      </c>
      <c r="F93" s="5" t="s">
        <v>14</v>
      </c>
      <c r="G93" s="5" t="s">
        <v>24</v>
      </c>
      <c r="H93" s="5">
        <v>64774</v>
      </c>
      <c r="I93" s="5">
        <v>1858</v>
      </c>
      <c r="J93" s="6">
        <f t="shared" si="1"/>
        <v>62916</v>
      </c>
    </row>
    <row r="94" spans="1:10">
      <c r="A94" s="5">
        <v>66360</v>
      </c>
      <c r="B94" s="5" t="s">
        <v>10</v>
      </c>
      <c r="C94" s="5" t="s">
        <v>27</v>
      </c>
      <c r="D94" s="5" t="s">
        <v>23</v>
      </c>
      <c r="E94" s="5" t="s">
        <v>13</v>
      </c>
      <c r="F94" s="5" t="s">
        <v>14</v>
      </c>
      <c r="G94" s="5" t="s">
        <v>24</v>
      </c>
      <c r="H94" s="5">
        <v>88783</v>
      </c>
      <c r="I94" s="5">
        <v>6099</v>
      </c>
      <c r="J94" s="6">
        <f t="shared" si="1"/>
        <v>82684</v>
      </c>
    </row>
    <row r="95" spans="1:10">
      <c r="A95" s="5">
        <v>29380</v>
      </c>
      <c r="B95" s="5" t="s">
        <v>10</v>
      </c>
      <c r="C95" s="5" t="s">
        <v>34</v>
      </c>
      <c r="D95" s="5" t="s">
        <v>30</v>
      </c>
      <c r="E95" s="5" t="s">
        <v>13</v>
      </c>
      <c r="F95" s="5" t="s">
        <v>28</v>
      </c>
      <c r="G95" s="5" t="s">
        <v>15</v>
      </c>
      <c r="H95" s="5">
        <v>114667</v>
      </c>
      <c r="I95" s="5">
        <v>514</v>
      </c>
      <c r="J95" s="6">
        <f t="shared" si="1"/>
        <v>114153</v>
      </c>
    </row>
    <row r="96" spans="1:10">
      <c r="A96" s="5">
        <v>39226</v>
      </c>
      <c r="B96" s="5" t="s">
        <v>16</v>
      </c>
      <c r="C96" s="5" t="s">
        <v>34</v>
      </c>
      <c r="D96" s="5" t="s">
        <v>30</v>
      </c>
      <c r="E96" s="5" t="s">
        <v>13</v>
      </c>
      <c r="F96" s="5" t="s">
        <v>14</v>
      </c>
      <c r="G96" s="5" t="s">
        <v>15</v>
      </c>
      <c r="H96" s="5">
        <v>37583</v>
      </c>
      <c r="I96" s="5">
        <v>9783</v>
      </c>
      <c r="J96" s="6">
        <f t="shared" si="1"/>
        <v>27800</v>
      </c>
    </row>
    <row r="97" spans="1:10">
      <c r="A97" s="5">
        <v>20067</v>
      </c>
      <c r="B97" s="5" t="s">
        <v>16</v>
      </c>
      <c r="C97" s="5" t="s">
        <v>11</v>
      </c>
      <c r="D97" s="5" t="s">
        <v>30</v>
      </c>
      <c r="E97" s="5" t="s">
        <v>13</v>
      </c>
      <c r="F97" s="5" t="s">
        <v>14</v>
      </c>
      <c r="G97" s="5" t="s">
        <v>24</v>
      </c>
      <c r="H97" s="5">
        <v>81937</v>
      </c>
      <c r="I97" s="5">
        <v>3496</v>
      </c>
      <c r="J97" s="6">
        <f t="shared" si="1"/>
        <v>78441</v>
      </c>
    </row>
    <row r="98" spans="1:10">
      <c r="A98" s="5">
        <v>235877</v>
      </c>
      <c r="B98" s="5" t="s">
        <v>10</v>
      </c>
      <c r="C98" s="5" t="s">
        <v>31</v>
      </c>
      <c r="D98" s="5" t="s">
        <v>32</v>
      </c>
      <c r="E98" s="5" t="s">
        <v>19</v>
      </c>
      <c r="F98" s="5" t="s">
        <v>14</v>
      </c>
      <c r="G98" s="5" t="s">
        <v>24</v>
      </c>
      <c r="H98" s="5">
        <v>31943</v>
      </c>
      <c r="I98" s="5">
        <v>174</v>
      </c>
      <c r="J98" s="6">
        <f t="shared" si="1"/>
        <v>31769</v>
      </c>
    </row>
    <row r="99" spans="1:10">
      <c r="A99" s="5">
        <v>25944</v>
      </c>
      <c r="B99" s="5" t="s">
        <v>10</v>
      </c>
      <c r="C99" s="5" t="s">
        <v>11</v>
      </c>
      <c r="D99" s="5" t="s">
        <v>32</v>
      </c>
      <c r="E99" s="5" t="s">
        <v>13</v>
      </c>
      <c r="F99" s="5" t="s">
        <v>14</v>
      </c>
      <c r="G99" s="5" t="s">
        <v>15</v>
      </c>
      <c r="H99" s="5">
        <v>47786</v>
      </c>
      <c r="I99" s="5">
        <v>40006</v>
      </c>
      <c r="J99" s="6">
        <f t="shared" si="1"/>
        <v>7780</v>
      </c>
    </row>
    <row r="100" spans="1:10">
      <c r="A100" s="5">
        <v>214504</v>
      </c>
      <c r="B100" s="5" t="s">
        <v>16</v>
      </c>
      <c r="C100" s="5" t="s">
        <v>11</v>
      </c>
      <c r="D100" s="5" t="s">
        <v>33</v>
      </c>
      <c r="E100" s="5" t="s">
        <v>13</v>
      </c>
      <c r="F100" s="5" t="s">
        <v>14</v>
      </c>
      <c r="G100" s="5" t="s">
        <v>15</v>
      </c>
      <c r="H100" s="5">
        <v>76936</v>
      </c>
      <c r="I100" s="5">
        <v>2577</v>
      </c>
      <c r="J100" s="6">
        <f t="shared" si="1"/>
        <v>74359</v>
      </c>
    </row>
    <row r="101" spans="1:10">
      <c r="A101" s="5">
        <v>1628</v>
      </c>
      <c r="B101" s="5" t="s">
        <v>10</v>
      </c>
      <c r="C101" s="5" t="s">
        <v>39</v>
      </c>
      <c r="D101" s="5" t="s">
        <v>32</v>
      </c>
      <c r="E101" s="5" t="s">
        <v>19</v>
      </c>
      <c r="F101" s="5" t="s">
        <v>28</v>
      </c>
      <c r="G101" s="5" t="s">
        <v>24</v>
      </c>
      <c r="H101" s="5">
        <v>4081</v>
      </c>
      <c r="I101" s="5">
        <v>0</v>
      </c>
      <c r="J101" s="6">
        <f t="shared" si="1"/>
        <v>4081</v>
      </c>
    </row>
    <row r="102" spans="1:10">
      <c r="A102" s="5">
        <v>199789</v>
      </c>
      <c r="B102" s="5" t="s">
        <v>10</v>
      </c>
      <c r="C102" s="5" t="s">
        <v>37</v>
      </c>
      <c r="D102" s="5" t="s">
        <v>12</v>
      </c>
      <c r="E102" s="5" t="s">
        <v>13</v>
      </c>
      <c r="F102" s="5" t="s">
        <v>14</v>
      </c>
      <c r="G102" s="5" t="s">
        <v>15</v>
      </c>
      <c r="H102" s="5">
        <v>329444</v>
      </c>
      <c r="I102" s="5">
        <v>56551</v>
      </c>
      <c r="J102" s="6">
        <f t="shared" si="1"/>
        <v>272893</v>
      </c>
    </row>
    <row r="103" spans="1:10">
      <c r="A103" s="5">
        <v>34434</v>
      </c>
      <c r="B103" s="5" t="s">
        <v>16</v>
      </c>
      <c r="C103" s="5" t="s">
        <v>34</v>
      </c>
      <c r="D103" s="5" t="s">
        <v>30</v>
      </c>
      <c r="E103" s="5" t="s">
        <v>19</v>
      </c>
      <c r="F103" s="5" t="s">
        <v>14</v>
      </c>
      <c r="G103" s="5" t="s">
        <v>15</v>
      </c>
      <c r="H103" s="5">
        <v>122207</v>
      </c>
      <c r="I103" s="5">
        <v>1583</v>
      </c>
      <c r="J103" s="6">
        <f t="shared" si="1"/>
        <v>120624</v>
      </c>
    </row>
    <row r="104" spans="1:10">
      <c r="A104" s="5">
        <v>167674</v>
      </c>
      <c r="B104" s="5" t="s">
        <v>10</v>
      </c>
      <c r="C104" s="5" t="s">
        <v>25</v>
      </c>
      <c r="D104" s="5" t="s">
        <v>33</v>
      </c>
      <c r="E104" s="5" t="s">
        <v>19</v>
      </c>
      <c r="F104" s="5" t="s">
        <v>14</v>
      </c>
      <c r="G104" s="5" t="s">
        <v>15</v>
      </c>
      <c r="H104" s="5">
        <v>99468</v>
      </c>
      <c r="I104" s="5">
        <v>5387</v>
      </c>
      <c r="J104" s="6">
        <f t="shared" si="1"/>
        <v>94081</v>
      </c>
    </row>
    <row r="105" spans="1:10">
      <c r="A105" s="5">
        <v>5323</v>
      </c>
      <c r="B105" s="5" t="s">
        <v>16</v>
      </c>
      <c r="C105" s="5" t="s">
        <v>37</v>
      </c>
      <c r="D105" s="5" t="s">
        <v>30</v>
      </c>
      <c r="E105" s="5" t="s">
        <v>13</v>
      </c>
      <c r="F105" s="5" t="s">
        <v>14</v>
      </c>
      <c r="G105" s="5" t="s">
        <v>15</v>
      </c>
      <c r="H105" s="5">
        <v>50782</v>
      </c>
      <c r="I105" s="5">
        <v>2692</v>
      </c>
      <c r="J105" s="6">
        <f t="shared" si="1"/>
        <v>48090</v>
      </c>
    </row>
    <row r="106" spans="1:10">
      <c r="A106" s="5">
        <v>126666</v>
      </c>
      <c r="B106" s="5" t="s">
        <v>16</v>
      </c>
      <c r="C106" s="5" t="s">
        <v>25</v>
      </c>
      <c r="D106" s="5" t="s">
        <v>33</v>
      </c>
      <c r="E106" s="5" t="s">
        <v>19</v>
      </c>
      <c r="F106" s="5" t="s">
        <v>14</v>
      </c>
      <c r="G106" s="5" t="s">
        <v>24</v>
      </c>
      <c r="H106" s="5">
        <v>53826</v>
      </c>
      <c r="I106" s="5">
        <v>0</v>
      </c>
      <c r="J106" s="6">
        <f t="shared" si="1"/>
        <v>53826</v>
      </c>
    </row>
    <row r="107" spans="1:10">
      <c r="A107" s="5">
        <v>174529</v>
      </c>
      <c r="B107" s="5" t="s">
        <v>10</v>
      </c>
      <c r="C107" s="5" t="s">
        <v>22</v>
      </c>
      <c r="D107" s="5" t="s">
        <v>26</v>
      </c>
      <c r="E107" s="5" t="s">
        <v>19</v>
      </c>
      <c r="F107" s="5" t="s">
        <v>14</v>
      </c>
      <c r="G107" s="5" t="s">
        <v>15</v>
      </c>
      <c r="H107" s="5">
        <v>49288</v>
      </c>
      <c r="I107" s="5">
        <v>1244</v>
      </c>
      <c r="J107" s="6">
        <f t="shared" si="1"/>
        <v>48044</v>
      </c>
    </row>
    <row r="108" spans="1:10">
      <c r="A108" s="5">
        <v>121124</v>
      </c>
      <c r="B108" s="5" t="s">
        <v>16</v>
      </c>
      <c r="C108" s="5" t="s">
        <v>22</v>
      </c>
      <c r="D108" s="5" t="s">
        <v>36</v>
      </c>
      <c r="E108" s="5" t="s">
        <v>19</v>
      </c>
      <c r="F108" s="5" t="s">
        <v>14</v>
      </c>
      <c r="G108" s="5" t="s">
        <v>15</v>
      </c>
      <c r="H108" s="5">
        <v>42556</v>
      </c>
      <c r="I108" s="5">
        <v>1199</v>
      </c>
      <c r="J108" s="6">
        <f t="shared" si="1"/>
        <v>41357</v>
      </c>
    </row>
    <row r="109" spans="1:10">
      <c r="A109" s="5">
        <v>34160</v>
      </c>
      <c r="B109" s="5" t="s">
        <v>16</v>
      </c>
      <c r="C109" s="5" t="s">
        <v>11</v>
      </c>
      <c r="D109" s="5" t="s">
        <v>18</v>
      </c>
      <c r="E109" s="5" t="s">
        <v>19</v>
      </c>
      <c r="F109" s="5" t="s">
        <v>14</v>
      </c>
      <c r="G109" s="5" t="s">
        <v>24</v>
      </c>
      <c r="H109" s="5">
        <v>42654</v>
      </c>
      <c r="I109" s="5">
        <v>1192</v>
      </c>
      <c r="J109" s="6">
        <f t="shared" si="1"/>
        <v>41462</v>
      </c>
    </row>
    <row r="110" spans="1:10">
      <c r="A110" s="5">
        <v>52120</v>
      </c>
      <c r="B110" s="5" t="s">
        <v>16</v>
      </c>
      <c r="C110" s="5" t="s">
        <v>34</v>
      </c>
      <c r="D110" s="5" t="s">
        <v>32</v>
      </c>
      <c r="E110" s="5" t="s">
        <v>13</v>
      </c>
      <c r="F110" s="5" t="s">
        <v>14</v>
      </c>
      <c r="G110" s="5" t="s">
        <v>15</v>
      </c>
      <c r="H110" s="5">
        <v>79984</v>
      </c>
      <c r="I110" s="5">
        <v>0</v>
      </c>
      <c r="J110" s="6">
        <f t="shared" si="1"/>
        <v>79984</v>
      </c>
    </row>
    <row r="111" spans="1:10">
      <c r="A111" s="5">
        <v>175058</v>
      </c>
      <c r="B111" s="5" t="s">
        <v>16</v>
      </c>
      <c r="C111" s="5" t="s">
        <v>22</v>
      </c>
      <c r="D111" s="5" t="s">
        <v>30</v>
      </c>
      <c r="E111" s="5" t="s">
        <v>13</v>
      </c>
      <c r="F111" s="5" t="s">
        <v>14</v>
      </c>
      <c r="G111" s="5" t="s">
        <v>15</v>
      </c>
      <c r="H111" s="5">
        <v>315</v>
      </c>
      <c r="I111" s="5">
        <v>1298</v>
      </c>
      <c r="J111" s="6">
        <f t="shared" si="1"/>
        <v>-983</v>
      </c>
    </row>
    <row r="112" spans="1:10">
      <c r="A112" s="5">
        <v>238912</v>
      </c>
      <c r="B112" s="5" t="s">
        <v>10</v>
      </c>
      <c r="C112" s="5" t="s">
        <v>17</v>
      </c>
      <c r="D112" s="5" t="s">
        <v>18</v>
      </c>
      <c r="E112" s="5" t="s">
        <v>19</v>
      </c>
      <c r="F112" s="5" t="s">
        <v>28</v>
      </c>
      <c r="G112" s="5" t="s">
        <v>15</v>
      </c>
      <c r="H112" s="5">
        <v>11568</v>
      </c>
      <c r="I112" s="5">
        <v>380</v>
      </c>
      <c r="J112" s="6">
        <f t="shared" si="1"/>
        <v>11188</v>
      </c>
    </row>
    <row r="113" spans="1:10">
      <c r="A113" s="5">
        <v>96356</v>
      </c>
      <c r="B113" s="5" t="s">
        <v>16</v>
      </c>
      <c r="C113" s="5" t="s">
        <v>20</v>
      </c>
      <c r="D113" s="5" t="s">
        <v>32</v>
      </c>
      <c r="E113" s="5" t="s">
        <v>19</v>
      </c>
      <c r="F113" s="5" t="s">
        <v>14</v>
      </c>
      <c r="G113" s="5" t="s">
        <v>24</v>
      </c>
      <c r="H113" s="5">
        <v>25773</v>
      </c>
      <c r="I113" s="5">
        <v>0</v>
      </c>
      <c r="J113" s="6">
        <f t="shared" si="1"/>
        <v>25773</v>
      </c>
    </row>
    <row r="114" spans="1:10">
      <c r="A114" s="5">
        <v>235723</v>
      </c>
      <c r="B114" s="5" t="s">
        <v>16</v>
      </c>
      <c r="C114" s="5" t="s">
        <v>17</v>
      </c>
      <c r="D114" s="5" t="s">
        <v>30</v>
      </c>
      <c r="E114" s="5" t="s">
        <v>19</v>
      </c>
      <c r="F114" s="5" t="s">
        <v>28</v>
      </c>
      <c r="G114" s="5" t="s">
        <v>15</v>
      </c>
      <c r="H114" s="5">
        <v>45033</v>
      </c>
      <c r="I114" s="5">
        <v>2422</v>
      </c>
      <c r="J114" s="6">
        <f t="shared" si="1"/>
        <v>42611</v>
      </c>
    </row>
    <row r="115" spans="1:10">
      <c r="A115" s="5">
        <v>195482</v>
      </c>
      <c r="B115" s="5" t="s">
        <v>10</v>
      </c>
      <c r="C115" s="5" t="s">
        <v>11</v>
      </c>
      <c r="D115" s="5" t="s">
        <v>30</v>
      </c>
      <c r="E115" s="5" t="s">
        <v>13</v>
      </c>
      <c r="F115" s="5" t="s">
        <v>14</v>
      </c>
      <c r="G115" s="5" t="s">
        <v>15</v>
      </c>
      <c r="H115" s="5">
        <v>106693</v>
      </c>
      <c r="I115" s="5">
        <v>474</v>
      </c>
      <c r="J115" s="6">
        <f t="shared" si="1"/>
        <v>106219</v>
      </c>
    </row>
    <row r="116" spans="1:10">
      <c r="A116" s="5">
        <v>246762</v>
      </c>
      <c r="B116" s="5" t="s">
        <v>16</v>
      </c>
      <c r="C116" s="5" t="s">
        <v>17</v>
      </c>
      <c r="D116" s="5" t="s">
        <v>18</v>
      </c>
      <c r="E116" s="5" t="s">
        <v>19</v>
      </c>
      <c r="F116" s="5" t="s">
        <v>14</v>
      </c>
      <c r="G116" s="5" t="s">
        <v>15</v>
      </c>
      <c r="H116" s="5">
        <v>23903</v>
      </c>
      <c r="I116" s="5">
        <v>270</v>
      </c>
      <c r="J116" s="6">
        <f t="shared" si="1"/>
        <v>23633</v>
      </c>
    </row>
    <row r="117" spans="1:10">
      <c r="A117" s="5">
        <v>222188</v>
      </c>
      <c r="B117" s="5" t="s">
        <v>16</v>
      </c>
      <c r="C117" s="5" t="s">
        <v>20</v>
      </c>
      <c r="D117" s="5" t="s">
        <v>32</v>
      </c>
      <c r="E117" s="5" t="s">
        <v>19</v>
      </c>
      <c r="F117" s="5" t="s">
        <v>28</v>
      </c>
      <c r="G117" s="5" t="s">
        <v>15</v>
      </c>
      <c r="H117" s="5">
        <v>107373</v>
      </c>
      <c r="I117" s="5">
        <v>0</v>
      </c>
      <c r="J117" s="6">
        <f t="shared" si="1"/>
        <v>107373</v>
      </c>
    </row>
    <row r="118" spans="1:10">
      <c r="A118" s="5">
        <v>148276</v>
      </c>
      <c r="B118" s="5" t="s">
        <v>16</v>
      </c>
      <c r="C118" s="5" t="s">
        <v>25</v>
      </c>
      <c r="D118" s="5" t="s">
        <v>36</v>
      </c>
      <c r="E118" s="5" t="s">
        <v>19</v>
      </c>
      <c r="F118" s="5" t="s">
        <v>28</v>
      </c>
      <c r="G118" s="5" t="s">
        <v>24</v>
      </c>
      <c r="H118" s="5">
        <v>65323</v>
      </c>
      <c r="I118" s="5">
        <v>355</v>
      </c>
      <c r="J118" s="6">
        <f t="shared" si="1"/>
        <v>64968</v>
      </c>
    </row>
    <row r="119" spans="1:10">
      <c r="A119" s="5">
        <v>113004</v>
      </c>
      <c r="B119" s="5" t="s">
        <v>10</v>
      </c>
      <c r="C119" s="5" t="s">
        <v>22</v>
      </c>
      <c r="D119" s="5" t="s">
        <v>30</v>
      </c>
      <c r="E119" s="5" t="s">
        <v>13</v>
      </c>
      <c r="F119" s="5" t="s">
        <v>14</v>
      </c>
      <c r="G119" s="5" t="s">
        <v>15</v>
      </c>
      <c r="H119" s="5">
        <v>127211</v>
      </c>
      <c r="I119" s="5">
        <v>4884</v>
      </c>
      <c r="J119" s="6">
        <f t="shared" si="1"/>
        <v>122327</v>
      </c>
    </row>
    <row r="120" spans="1:10">
      <c r="A120" s="5">
        <v>199354</v>
      </c>
      <c r="B120" s="5" t="s">
        <v>10</v>
      </c>
      <c r="C120" s="5" t="s">
        <v>38</v>
      </c>
      <c r="D120" s="5" t="s">
        <v>32</v>
      </c>
      <c r="E120" s="5" t="s">
        <v>13</v>
      </c>
      <c r="F120" s="5" t="s">
        <v>14</v>
      </c>
      <c r="G120" s="5" t="s">
        <v>15</v>
      </c>
      <c r="H120" s="5">
        <v>14509</v>
      </c>
      <c r="I120" s="5">
        <v>1345</v>
      </c>
      <c r="J120" s="6">
        <f t="shared" si="1"/>
        <v>13164</v>
      </c>
    </row>
    <row r="121" spans="1:10">
      <c r="A121" s="5">
        <v>71850</v>
      </c>
      <c r="B121" s="5" t="s">
        <v>16</v>
      </c>
      <c r="C121" s="5" t="s">
        <v>27</v>
      </c>
      <c r="D121" s="5" t="s">
        <v>30</v>
      </c>
      <c r="E121" s="5" t="s">
        <v>13</v>
      </c>
      <c r="F121" s="5" t="s">
        <v>14</v>
      </c>
      <c r="G121" s="5" t="s">
        <v>15</v>
      </c>
      <c r="H121" s="5">
        <v>43748</v>
      </c>
      <c r="I121" s="5">
        <v>2569</v>
      </c>
      <c r="J121" s="6">
        <f t="shared" si="1"/>
        <v>41179</v>
      </c>
    </row>
    <row r="122" spans="1:10">
      <c r="A122" s="5">
        <v>254383</v>
      </c>
      <c r="B122" s="5" t="s">
        <v>10</v>
      </c>
      <c r="C122" s="5" t="s">
        <v>31</v>
      </c>
      <c r="D122" s="5" t="s">
        <v>21</v>
      </c>
      <c r="E122" s="5" t="s">
        <v>19</v>
      </c>
      <c r="F122" s="5" t="s">
        <v>28</v>
      </c>
      <c r="G122" s="5" t="s">
        <v>15</v>
      </c>
      <c r="H122" s="5">
        <v>25281</v>
      </c>
      <c r="I122" s="5">
        <v>196</v>
      </c>
      <c r="J122" s="6">
        <f t="shared" si="1"/>
        <v>25085</v>
      </c>
    </row>
    <row r="123" spans="1:10">
      <c r="A123" s="5">
        <v>5589</v>
      </c>
      <c r="B123" s="5" t="s">
        <v>10</v>
      </c>
      <c r="C123" s="5" t="s">
        <v>38</v>
      </c>
      <c r="D123" s="5" t="s">
        <v>29</v>
      </c>
      <c r="E123" s="5" t="s">
        <v>13</v>
      </c>
      <c r="F123" s="5" t="s">
        <v>14</v>
      </c>
      <c r="G123" s="5" t="s">
        <v>15</v>
      </c>
      <c r="H123" s="5">
        <v>4007</v>
      </c>
      <c r="I123" s="5">
        <v>120</v>
      </c>
      <c r="J123" s="6">
        <f t="shared" si="1"/>
        <v>3887</v>
      </c>
    </row>
    <row r="124" spans="1:10">
      <c r="A124" s="5">
        <v>72632</v>
      </c>
      <c r="B124" s="5" t="s">
        <v>16</v>
      </c>
      <c r="C124" s="5" t="s">
        <v>27</v>
      </c>
      <c r="D124" s="5" t="s">
        <v>30</v>
      </c>
      <c r="E124" s="5" t="s">
        <v>13</v>
      </c>
      <c r="F124" s="5" t="s">
        <v>14</v>
      </c>
      <c r="G124" s="5" t="s">
        <v>15</v>
      </c>
      <c r="H124" s="5">
        <v>133566</v>
      </c>
      <c r="I124" s="5">
        <v>5948</v>
      </c>
      <c r="J124" s="6">
        <f t="shared" si="1"/>
        <v>127618</v>
      </c>
    </row>
    <row r="125" spans="1:10">
      <c r="A125" s="5">
        <v>207016</v>
      </c>
      <c r="B125" s="5" t="s">
        <v>10</v>
      </c>
      <c r="C125" s="5" t="s">
        <v>37</v>
      </c>
      <c r="D125" s="5" t="s">
        <v>32</v>
      </c>
      <c r="E125" s="5" t="s">
        <v>13</v>
      </c>
      <c r="F125" s="5" t="s">
        <v>14</v>
      </c>
      <c r="G125" s="5" t="s">
        <v>15</v>
      </c>
      <c r="H125" s="5">
        <v>39357</v>
      </c>
      <c r="I125" s="5">
        <v>0</v>
      </c>
      <c r="J125" s="6">
        <f t="shared" si="1"/>
        <v>39357</v>
      </c>
    </row>
    <row r="126" spans="1:10">
      <c r="A126" s="5">
        <v>117286</v>
      </c>
      <c r="B126" s="5" t="s">
        <v>10</v>
      </c>
      <c r="C126" s="5" t="s">
        <v>17</v>
      </c>
      <c r="D126" s="5" t="s">
        <v>29</v>
      </c>
      <c r="E126" s="5" t="s">
        <v>19</v>
      </c>
      <c r="F126" s="5" t="s">
        <v>14</v>
      </c>
      <c r="G126" s="5" t="s">
        <v>24</v>
      </c>
      <c r="H126" s="5">
        <v>19613</v>
      </c>
      <c r="I126" s="5">
        <v>200</v>
      </c>
      <c r="J126" s="6">
        <f t="shared" si="1"/>
        <v>19413</v>
      </c>
    </row>
    <row r="127" spans="1:10">
      <c r="A127" s="5">
        <v>254457</v>
      </c>
      <c r="B127" s="5" t="s">
        <v>16</v>
      </c>
      <c r="C127" s="5" t="s">
        <v>34</v>
      </c>
      <c r="D127" s="5" t="s">
        <v>36</v>
      </c>
      <c r="E127" s="5" t="s">
        <v>13</v>
      </c>
      <c r="F127" s="5" t="s">
        <v>14</v>
      </c>
      <c r="G127" s="5" t="s">
        <v>15</v>
      </c>
      <c r="H127" s="5">
        <v>12158</v>
      </c>
      <c r="I127" s="5">
        <v>111</v>
      </c>
      <c r="J127" s="6">
        <f t="shared" si="1"/>
        <v>12047</v>
      </c>
    </row>
    <row r="128" spans="1:10">
      <c r="A128" s="5">
        <v>165460</v>
      </c>
      <c r="B128" s="5" t="s">
        <v>10</v>
      </c>
      <c r="C128" s="5" t="s">
        <v>27</v>
      </c>
      <c r="D128" s="5" t="s">
        <v>21</v>
      </c>
      <c r="E128" s="5" t="s">
        <v>19</v>
      </c>
      <c r="F128" s="5" t="s">
        <v>14</v>
      </c>
      <c r="G128" s="5" t="s">
        <v>24</v>
      </c>
      <c r="H128" s="5">
        <v>57090</v>
      </c>
      <c r="I128" s="5">
        <v>378</v>
      </c>
      <c r="J128" s="6">
        <f t="shared" si="1"/>
        <v>56712</v>
      </c>
    </row>
    <row r="129" spans="1:10">
      <c r="A129" s="5">
        <v>61572</v>
      </c>
      <c r="B129" s="5" t="s">
        <v>10</v>
      </c>
      <c r="C129" s="5" t="s">
        <v>27</v>
      </c>
      <c r="D129" s="5" t="s">
        <v>23</v>
      </c>
      <c r="E129" s="5" t="s">
        <v>13</v>
      </c>
      <c r="F129" s="5" t="s">
        <v>14</v>
      </c>
      <c r="G129" s="5" t="s">
        <v>15</v>
      </c>
      <c r="H129" s="5">
        <v>111777</v>
      </c>
      <c r="I129" s="5">
        <v>10223</v>
      </c>
      <c r="J129" s="6">
        <f t="shared" si="1"/>
        <v>101554</v>
      </c>
    </row>
    <row r="130" spans="1:10">
      <c r="A130" s="5">
        <v>247583</v>
      </c>
      <c r="B130" s="5" t="s">
        <v>16</v>
      </c>
      <c r="C130" s="5" t="s">
        <v>17</v>
      </c>
      <c r="D130" s="5" t="s">
        <v>23</v>
      </c>
      <c r="E130" s="5" t="s">
        <v>19</v>
      </c>
      <c r="F130" s="5" t="s">
        <v>28</v>
      </c>
      <c r="G130" s="5" t="s">
        <v>15</v>
      </c>
      <c r="H130" s="5">
        <v>26704</v>
      </c>
      <c r="I130" s="5">
        <v>286</v>
      </c>
      <c r="J130" s="6">
        <f t="shared" ref="J130:J193" si="2">H130-I130</f>
        <v>26418</v>
      </c>
    </row>
    <row r="131" spans="1:10">
      <c r="A131" s="5">
        <v>62513</v>
      </c>
      <c r="B131" s="5" t="s">
        <v>10</v>
      </c>
      <c r="C131" s="5" t="s">
        <v>27</v>
      </c>
      <c r="D131" s="5" t="s">
        <v>32</v>
      </c>
      <c r="E131" s="5" t="s">
        <v>13</v>
      </c>
      <c r="F131" s="5" t="s">
        <v>14</v>
      </c>
      <c r="G131" s="5" t="s">
        <v>15</v>
      </c>
      <c r="H131" s="5">
        <v>71831</v>
      </c>
      <c r="I131" s="5">
        <v>3041</v>
      </c>
      <c r="J131" s="6">
        <f t="shared" si="2"/>
        <v>68790</v>
      </c>
    </row>
    <row r="132" spans="1:10">
      <c r="A132" s="5">
        <v>189937</v>
      </c>
      <c r="B132" s="5" t="s">
        <v>16</v>
      </c>
      <c r="C132" s="5" t="s">
        <v>37</v>
      </c>
      <c r="D132" s="5" t="s">
        <v>30</v>
      </c>
      <c r="E132" s="5" t="s">
        <v>13</v>
      </c>
      <c r="F132" s="5" t="s">
        <v>14</v>
      </c>
      <c r="G132" s="5" t="s">
        <v>15</v>
      </c>
      <c r="H132" s="5">
        <v>47597</v>
      </c>
      <c r="I132" s="5">
        <v>602</v>
      </c>
      <c r="J132" s="6">
        <f t="shared" si="2"/>
        <v>46995</v>
      </c>
    </row>
    <row r="133" spans="1:10">
      <c r="A133" s="5">
        <v>164876</v>
      </c>
      <c r="B133" s="5" t="s">
        <v>10</v>
      </c>
      <c r="C133" s="5" t="s">
        <v>35</v>
      </c>
      <c r="D133" s="5" t="s">
        <v>12</v>
      </c>
      <c r="E133" s="5" t="s">
        <v>13</v>
      </c>
      <c r="F133" s="5" t="s">
        <v>14</v>
      </c>
      <c r="G133" s="5" t="s">
        <v>15</v>
      </c>
      <c r="H133" s="5">
        <v>63752</v>
      </c>
      <c r="I133" s="5">
        <v>2277</v>
      </c>
      <c r="J133" s="6">
        <f t="shared" si="2"/>
        <v>61475</v>
      </c>
    </row>
    <row r="134" spans="1:10">
      <c r="A134" s="5">
        <v>253899</v>
      </c>
      <c r="B134" s="5" t="s">
        <v>16</v>
      </c>
      <c r="C134" s="5" t="s">
        <v>17</v>
      </c>
      <c r="D134" s="5" t="s">
        <v>33</v>
      </c>
      <c r="E134" s="5" t="s">
        <v>19</v>
      </c>
      <c r="F134" s="5" t="s">
        <v>14</v>
      </c>
      <c r="G134" s="5" t="s">
        <v>24</v>
      </c>
      <c r="H134" s="5">
        <v>40434</v>
      </c>
      <c r="I134" s="5">
        <v>1065</v>
      </c>
      <c r="J134" s="6">
        <f t="shared" si="2"/>
        <v>39369</v>
      </c>
    </row>
    <row r="135" spans="1:10">
      <c r="A135" s="5">
        <v>166422</v>
      </c>
      <c r="B135" s="5" t="s">
        <v>10</v>
      </c>
      <c r="C135" s="5" t="s">
        <v>22</v>
      </c>
      <c r="D135" s="5" t="s">
        <v>32</v>
      </c>
      <c r="E135" s="5" t="s">
        <v>19</v>
      </c>
      <c r="F135" s="5" t="s">
        <v>14</v>
      </c>
      <c r="G135" s="5" t="s">
        <v>24</v>
      </c>
      <c r="H135" s="5">
        <v>0</v>
      </c>
      <c r="I135" s="5">
        <v>0</v>
      </c>
      <c r="J135" s="6">
        <f t="shared" si="2"/>
        <v>0</v>
      </c>
    </row>
    <row r="136" spans="1:10">
      <c r="A136" s="5">
        <v>98678</v>
      </c>
      <c r="B136" s="5" t="s">
        <v>16</v>
      </c>
      <c r="C136" s="5" t="s">
        <v>37</v>
      </c>
      <c r="D136" s="5" t="s">
        <v>12</v>
      </c>
      <c r="E136" s="5" t="s">
        <v>13</v>
      </c>
      <c r="F136" s="5" t="s">
        <v>14</v>
      </c>
      <c r="G136" s="5" t="s">
        <v>15</v>
      </c>
      <c r="H136" s="5">
        <v>23118</v>
      </c>
      <c r="I136" s="5">
        <v>332</v>
      </c>
      <c r="J136" s="6">
        <f t="shared" si="2"/>
        <v>22786</v>
      </c>
    </row>
    <row r="137" spans="1:10">
      <c r="A137" s="5">
        <v>233812</v>
      </c>
      <c r="B137" s="5" t="s">
        <v>16</v>
      </c>
      <c r="C137" s="5" t="s">
        <v>17</v>
      </c>
      <c r="D137" s="5" t="s">
        <v>12</v>
      </c>
      <c r="E137" s="5" t="s">
        <v>19</v>
      </c>
      <c r="F137" s="5" t="s">
        <v>14</v>
      </c>
      <c r="G137" s="5" t="s">
        <v>24</v>
      </c>
      <c r="H137" s="5">
        <v>33626</v>
      </c>
      <c r="I137" s="5">
        <v>1337</v>
      </c>
      <c r="J137" s="6">
        <f t="shared" si="2"/>
        <v>32289</v>
      </c>
    </row>
    <row r="138" spans="1:10">
      <c r="A138" s="5">
        <v>85654</v>
      </c>
      <c r="B138" s="5" t="s">
        <v>10</v>
      </c>
      <c r="C138" s="5" t="s">
        <v>11</v>
      </c>
      <c r="D138" s="5" t="s">
        <v>26</v>
      </c>
      <c r="E138" s="5" t="s">
        <v>13</v>
      </c>
      <c r="F138" s="5" t="s">
        <v>14</v>
      </c>
      <c r="G138" s="5" t="s">
        <v>15</v>
      </c>
      <c r="H138" s="5">
        <v>49023</v>
      </c>
      <c r="I138" s="5">
        <v>1112</v>
      </c>
      <c r="J138" s="6">
        <f t="shared" si="2"/>
        <v>47911</v>
      </c>
    </row>
    <row r="139" spans="1:10">
      <c r="A139" s="5">
        <v>100428</v>
      </c>
      <c r="B139" s="5" t="s">
        <v>10</v>
      </c>
      <c r="C139" s="5" t="s">
        <v>11</v>
      </c>
      <c r="D139" s="5" t="s">
        <v>23</v>
      </c>
      <c r="E139" s="5" t="s">
        <v>19</v>
      </c>
      <c r="F139" s="5" t="s">
        <v>14</v>
      </c>
      <c r="G139" s="5" t="s">
        <v>24</v>
      </c>
      <c r="H139" s="5">
        <v>44018</v>
      </c>
      <c r="I139" s="5">
        <v>805</v>
      </c>
      <c r="J139" s="6">
        <f t="shared" si="2"/>
        <v>43213</v>
      </c>
    </row>
    <row r="140" spans="1:10">
      <c r="A140" s="5">
        <v>199811</v>
      </c>
      <c r="B140" s="5" t="s">
        <v>10</v>
      </c>
      <c r="C140" s="5" t="s">
        <v>34</v>
      </c>
      <c r="D140" s="5" t="s">
        <v>30</v>
      </c>
      <c r="E140" s="5" t="s">
        <v>13</v>
      </c>
      <c r="F140" s="5" t="s">
        <v>14</v>
      </c>
      <c r="G140" s="5" t="s">
        <v>15</v>
      </c>
      <c r="H140" s="5">
        <v>153645</v>
      </c>
      <c r="I140" s="5">
        <v>13465</v>
      </c>
      <c r="J140" s="6">
        <f t="shared" si="2"/>
        <v>140180</v>
      </c>
    </row>
    <row r="141" spans="1:10">
      <c r="A141" s="5">
        <v>238918</v>
      </c>
      <c r="B141" s="5" t="s">
        <v>16</v>
      </c>
      <c r="C141" s="5" t="s">
        <v>17</v>
      </c>
      <c r="D141" s="5" t="s">
        <v>18</v>
      </c>
      <c r="E141" s="5" t="s">
        <v>19</v>
      </c>
      <c r="F141" s="5" t="s">
        <v>28</v>
      </c>
      <c r="G141" s="5" t="s">
        <v>24</v>
      </c>
      <c r="H141" s="5">
        <v>30551</v>
      </c>
      <c r="I141" s="5">
        <v>0</v>
      </c>
      <c r="J141" s="6">
        <f t="shared" si="2"/>
        <v>30551</v>
      </c>
    </row>
    <row r="142" spans="1:10">
      <c r="A142" s="5">
        <v>179467</v>
      </c>
      <c r="B142" s="5" t="s">
        <v>16</v>
      </c>
      <c r="C142" s="5" t="s">
        <v>35</v>
      </c>
      <c r="D142" s="5" t="s">
        <v>21</v>
      </c>
      <c r="E142" s="5" t="s">
        <v>19</v>
      </c>
      <c r="F142" s="5" t="s">
        <v>14</v>
      </c>
      <c r="G142" s="5" t="s">
        <v>24</v>
      </c>
      <c r="H142" s="5">
        <v>40291</v>
      </c>
      <c r="I142" s="5">
        <v>132</v>
      </c>
      <c r="J142" s="6">
        <f t="shared" si="2"/>
        <v>40159</v>
      </c>
    </row>
    <row r="143" spans="1:10">
      <c r="A143" s="5">
        <v>84077</v>
      </c>
      <c r="B143" s="5" t="s">
        <v>16</v>
      </c>
      <c r="C143" s="5" t="s">
        <v>34</v>
      </c>
      <c r="D143" s="5" t="s">
        <v>26</v>
      </c>
      <c r="E143" s="5" t="s">
        <v>13</v>
      </c>
      <c r="F143" s="5" t="s">
        <v>14</v>
      </c>
      <c r="G143" s="5" t="s">
        <v>24</v>
      </c>
      <c r="H143" s="5">
        <v>48649</v>
      </c>
      <c r="I143" s="5">
        <v>3338</v>
      </c>
      <c r="J143" s="6">
        <f t="shared" si="2"/>
        <v>45311</v>
      </c>
    </row>
    <row r="144" spans="1:10">
      <c r="A144" s="5">
        <v>10417</v>
      </c>
      <c r="B144" s="5" t="s">
        <v>16</v>
      </c>
      <c r="C144" s="5" t="s">
        <v>34</v>
      </c>
      <c r="D144" s="5" t="s">
        <v>33</v>
      </c>
      <c r="E144" s="5" t="s">
        <v>13</v>
      </c>
      <c r="F144" s="5" t="s">
        <v>14</v>
      </c>
      <c r="G144" s="5" t="s">
        <v>24</v>
      </c>
      <c r="H144" s="5">
        <v>23126</v>
      </c>
      <c r="I144" s="5">
        <v>975</v>
      </c>
      <c r="J144" s="6">
        <f t="shared" si="2"/>
        <v>22151</v>
      </c>
    </row>
    <row r="145" spans="1:10">
      <c r="A145" s="5">
        <v>89872</v>
      </c>
      <c r="B145" s="5" t="s">
        <v>10</v>
      </c>
      <c r="C145" s="5" t="s">
        <v>38</v>
      </c>
      <c r="D145" s="5" t="s">
        <v>32</v>
      </c>
      <c r="E145" s="5" t="s">
        <v>13</v>
      </c>
      <c r="F145" s="5" t="s">
        <v>14</v>
      </c>
      <c r="G145" s="5" t="s">
        <v>24</v>
      </c>
      <c r="H145" s="5">
        <v>22803</v>
      </c>
      <c r="I145" s="5">
        <v>0</v>
      </c>
      <c r="J145" s="6">
        <f t="shared" si="2"/>
        <v>22803</v>
      </c>
    </row>
    <row r="146" spans="1:10">
      <c r="A146" s="5">
        <v>106184</v>
      </c>
      <c r="B146" s="5" t="s">
        <v>16</v>
      </c>
      <c r="C146" s="5" t="s">
        <v>22</v>
      </c>
      <c r="D146" s="5" t="s">
        <v>23</v>
      </c>
      <c r="E146" s="5" t="s">
        <v>13</v>
      </c>
      <c r="F146" s="5" t="s">
        <v>14</v>
      </c>
      <c r="G146" s="5" t="s">
        <v>15</v>
      </c>
      <c r="H146" s="5">
        <v>61574</v>
      </c>
      <c r="I146" s="5">
        <v>305</v>
      </c>
      <c r="J146" s="6">
        <f t="shared" si="2"/>
        <v>61269</v>
      </c>
    </row>
    <row r="147" spans="1:10">
      <c r="A147" s="5">
        <v>212671</v>
      </c>
      <c r="B147" s="5" t="s">
        <v>10</v>
      </c>
      <c r="C147" s="5" t="s">
        <v>34</v>
      </c>
      <c r="D147" s="5" t="s">
        <v>32</v>
      </c>
      <c r="E147" s="5" t="s">
        <v>13</v>
      </c>
      <c r="F147" s="5" t="s">
        <v>14</v>
      </c>
      <c r="G147" s="5" t="s">
        <v>15</v>
      </c>
      <c r="H147" s="5">
        <v>20410</v>
      </c>
      <c r="I147" s="5">
        <v>400</v>
      </c>
      <c r="J147" s="6">
        <f t="shared" si="2"/>
        <v>20010</v>
      </c>
    </row>
    <row r="148" spans="1:10">
      <c r="A148" s="5">
        <v>183036</v>
      </c>
      <c r="B148" s="5" t="s">
        <v>16</v>
      </c>
      <c r="C148" s="5" t="s">
        <v>20</v>
      </c>
      <c r="D148" s="5" t="s">
        <v>32</v>
      </c>
      <c r="E148" s="5" t="s">
        <v>19</v>
      </c>
      <c r="F148" s="5" t="s">
        <v>14</v>
      </c>
      <c r="G148" s="5" t="s">
        <v>24</v>
      </c>
      <c r="H148" s="5">
        <v>81512</v>
      </c>
      <c r="I148" s="5">
        <v>585</v>
      </c>
      <c r="J148" s="6">
        <f t="shared" si="2"/>
        <v>80927</v>
      </c>
    </row>
    <row r="149" spans="1:10">
      <c r="A149" s="5">
        <v>115457</v>
      </c>
      <c r="B149" s="5" t="s">
        <v>16</v>
      </c>
      <c r="C149" s="5" t="s">
        <v>25</v>
      </c>
      <c r="D149" s="5" t="s">
        <v>18</v>
      </c>
      <c r="E149" s="5" t="s">
        <v>19</v>
      </c>
      <c r="F149" s="5" t="s">
        <v>14</v>
      </c>
      <c r="G149" s="5" t="s">
        <v>24</v>
      </c>
      <c r="H149" s="5">
        <v>54378</v>
      </c>
      <c r="I149" s="5">
        <v>11234</v>
      </c>
      <c r="J149" s="6">
        <f t="shared" si="2"/>
        <v>43144</v>
      </c>
    </row>
    <row r="150" spans="1:10">
      <c r="A150" s="5">
        <v>114266</v>
      </c>
      <c r="B150" s="5" t="s">
        <v>10</v>
      </c>
      <c r="C150" s="5" t="s">
        <v>22</v>
      </c>
      <c r="D150" s="5" t="s">
        <v>23</v>
      </c>
      <c r="E150" s="5" t="s">
        <v>19</v>
      </c>
      <c r="F150" s="5" t="s">
        <v>14</v>
      </c>
      <c r="G150" s="5" t="s">
        <v>15</v>
      </c>
      <c r="H150" s="5">
        <v>103899</v>
      </c>
      <c r="I150" s="5">
        <v>4277</v>
      </c>
      <c r="J150" s="6">
        <f t="shared" si="2"/>
        <v>99622</v>
      </c>
    </row>
    <row r="151" spans="1:10">
      <c r="A151" s="5">
        <v>135972</v>
      </c>
      <c r="B151" s="5" t="s">
        <v>16</v>
      </c>
      <c r="C151" s="5" t="s">
        <v>22</v>
      </c>
      <c r="D151" s="5" t="s">
        <v>33</v>
      </c>
      <c r="E151" s="5" t="s">
        <v>19</v>
      </c>
      <c r="F151" s="5" t="s">
        <v>14</v>
      </c>
      <c r="G151" s="5" t="s">
        <v>15</v>
      </c>
      <c r="H151" s="5">
        <v>67993</v>
      </c>
      <c r="I151" s="5">
        <v>323</v>
      </c>
      <c r="J151" s="6">
        <f t="shared" si="2"/>
        <v>67670</v>
      </c>
    </row>
    <row r="152" spans="1:10">
      <c r="A152" s="5">
        <v>121500</v>
      </c>
      <c r="B152" s="5" t="s">
        <v>16</v>
      </c>
      <c r="C152" s="5" t="s">
        <v>22</v>
      </c>
      <c r="D152" s="5" t="s">
        <v>30</v>
      </c>
      <c r="E152" s="5" t="s">
        <v>13</v>
      </c>
      <c r="F152" s="5" t="s">
        <v>14</v>
      </c>
      <c r="G152" s="5" t="s">
        <v>15</v>
      </c>
      <c r="H152" s="5">
        <v>38749</v>
      </c>
      <c r="I152" s="5">
        <v>4745</v>
      </c>
      <c r="J152" s="6">
        <f t="shared" si="2"/>
        <v>34004</v>
      </c>
    </row>
    <row r="153" spans="1:10">
      <c r="A153" s="5">
        <v>170658</v>
      </c>
      <c r="B153" s="5" t="s">
        <v>10</v>
      </c>
      <c r="C153" s="5" t="s">
        <v>17</v>
      </c>
      <c r="D153" s="5" t="s">
        <v>36</v>
      </c>
      <c r="E153" s="5" t="s">
        <v>19</v>
      </c>
      <c r="F153" s="5" t="s">
        <v>14</v>
      </c>
      <c r="G153" s="5" t="s">
        <v>15</v>
      </c>
      <c r="H153" s="5">
        <v>15506</v>
      </c>
      <c r="I153" s="5">
        <v>0</v>
      </c>
      <c r="J153" s="6">
        <f t="shared" si="2"/>
        <v>15506</v>
      </c>
    </row>
    <row r="154" spans="1:10">
      <c r="A154" s="5">
        <v>145732</v>
      </c>
      <c r="B154" s="5" t="s">
        <v>10</v>
      </c>
      <c r="C154" s="5" t="s">
        <v>25</v>
      </c>
      <c r="D154" s="5" t="s">
        <v>30</v>
      </c>
      <c r="E154" s="5" t="s">
        <v>13</v>
      </c>
      <c r="F154" s="5" t="s">
        <v>14</v>
      </c>
      <c r="G154" s="5" t="s">
        <v>24</v>
      </c>
      <c r="H154" s="5">
        <v>67930</v>
      </c>
      <c r="I154" s="5">
        <v>468</v>
      </c>
      <c r="J154" s="6">
        <f t="shared" si="2"/>
        <v>67462</v>
      </c>
    </row>
    <row r="155" spans="1:10">
      <c r="A155" s="5">
        <v>82959</v>
      </c>
      <c r="B155" s="5" t="s">
        <v>16</v>
      </c>
      <c r="C155" s="5" t="s">
        <v>34</v>
      </c>
      <c r="D155" s="5" t="s">
        <v>32</v>
      </c>
      <c r="E155" s="5" t="s">
        <v>13</v>
      </c>
      <c r="F155" s="5" t="s">
        <v>14</v>
      </c>
      <c r="G155" s="5" t="s">
        <v>24</v>
      </c>
      <c r="H155" s="5">
        <v>18500</v>
      </c>
      <c r="I155" s="5">
        <v>0</v>
      </c>
      <c r="J155" s="6">
        <f t="shared" si="2"/>
        <v>18500</v>
      </c>
    </row>
    <row r="156" spans="1:10">
      <c r="A156" s="5">
        <v>76082</v>
      </c>
      <c r="B156" s="5" t="s">
        <v>16</v>
      </c>
      <c r="C156" s="5" t="s">
        <v>20</v>
      </c>
      <c r="D156" s="5" t="s">
        <v>32</v>
      </c>
      <c r="E156" s="5" t="s">
        <v>19</v>
      </c>
      <c r="F156" s="5" t="s">
        <v>28</v>
      </c>
      <c r="G156" s="5" t="s">
        <v>24</v>
      </c>
      <c r="H156" s="5">
        <v>303</v>
      </c>
      <c r="I156" s="5">
        <v>0</v>
      </c>
      <c r="J156" s="6">
        <f t="shared" si="2"/>
        <v>303</v>
      </c>
    </row>
    <row r="157" spans="1:10">
      <c r="A157" s="5">
        <v>72102</v>
      </c>
      <c r="B157" s="5" t="s">
        <v>16</v>
      </c>
      <c r="C157" s="5" t="s">
        <v>27</v>
      </c>
      <c r="D157" s="5" t="s">
        <v>26</v>
      </c>
      <c r="E157" s="5" t="s">
        <v>13</v>
      </c>
      <c r="F157" s="5" t="s">
        <v>28</v>
      </c>
      <c r="G157" s="5" t="s">
        <v>24</v>
      </c>
      <c r="H157" s="5">
        <v>13558</v>
      </c>
      <c r="I157" s="5">
        <v>404</v>
      </c>
      <c r="J157" s="6">
        <f t="shared" si="2"/>
        <v>13154</v>
      </c>
    </row>
    <row r="158" spans="1:10">
      <c r="A158" s="5">
        <v>256564</v>
      </c>
      <c r="B158" s="5" t="s">
        <v>10</v>
      </c>
      <c r="C158" s="5" t="s">
        <v>27</v>
      </c>
      <c r="D158" s="5" t="s">
        <v>29</v>
      </c>
      <c r="E158" s="5" t="s">
        <v>19</v>
      </c>
      <c r="F158" s="5" t="s">
        <v>14</v>
      </c>
      <c r="G158" s="5" t="s">
        <v>24</v>
      </c>
      <c r="H158" s="5">
        <v>44214</v>
      </c>
      <c r="I158" s="5">
        <v>387</v>
      </c>
      <c r="J158" s="6">
        <f t="shared" si="2"/>
        <v>43827</v>
      </c>
    </row>
    <row r="159" spans="1:10">
      <c r="A159" s="5">
        <v>103659</v>
      </c>
      <c r="B159" s="5" t="s">
        <v>10</v>
      </c>
      <c r="C159" s="5" t="s">
        <v>11</v>
      </c>
      <c r="D159" s="5" t="s">
        <v>32</v>
      </c>
      <c r="E159" s="5" t="s">
        <v>13</v>
      </c>
      <c r="F159" s="5" t="s">
        <v>14</v>
      </c>
      <c r="G159" s="5" t="s">
        <v>15</v>
      </c>
      <c r="H159" s="5">
        <v>162588</v>
      </c>
      <c r="I159" s="5">
        <v>1874</v>
      </c>
      <c r="J159" s="6">
        <f t="shared" si="2"/>
        <v>160714</v>
      </c>
    </row>
    <row r="160" spans="1:10">
      <c r="A160" s="5">
        <v>241528</v>
      </c>
      <c r="B160" s="5" t="s">
        <v>16</v>
      </c>
      <c r="C160" s="5" t="s">
        <v>25</v>
      </c>
      <c r="D160" s="5" t="s">
        <v>36</v>
      </c>
      <c r="E160" s="5" t="s">
        <v>19</v>
      </c>
      <c r="F160" s="5" t="s">
        <v>28</v>
      </c>
      <c r="G160" s="5" t="s">
        <v>24</v>
      </c>
      <c r="H160" s="5">
        <v>19823</v>
      </c>
      <c r="I160" s="5">
        <v>0</v>
      </c>
      <c r="J160" s="6">
        <f t="shared" si="2"/>
        <v>19823</v>
      </c>
    </row>
    <row r="161" spans="1:10">
      <c r="A161" s="5">
        <v>113419</v>
      </c>
      <c r="B161" s="5" t="s">
        <v>16</v>
      </c>
      <c r="C161" s="5" t="s">
        <v>22</v>
      </c>
      <c r="D161" s="5" t="s">
        <v>33</v>
      </c>
      <c r="E161" s="5" t="s">
        <v>19</v>
      </c>
      <c r="F161" s="5" t="s">
        <v>14</v>
      </c>
      <c r="G161" s="5" t="s">
        <v>24</v>
      </c>
      <c r="H161" s="5">
        <v>53957</v>
      </c>
      <c r="I161" s="5">
        <v>896</v>
      </c>
      <c r="J161" s="6">
        <f t="shared" si="2"/>
        <v>53061</v>
      </c>
    </row>
    <row r="162" spans="1:10">
      <c r="A162" s="5">
        <v>10357</v>
      </c>
      <c r="B162" s="5" t="s">
        <v>10</v>
      </c>
      <c r="C162" s="5" t="s">
        <v>11</v>
      </c>
      <c r="D162" s="5" t="s">
        <v>23</v>
      </c>
      <c r="E162" s="5" t="s">
        <v>19</v>
      </c>
      <c r="F162" s="5" t="s">
        <v>14</v>
      </c>
      <c r="G162" s="5" t="s">
        <v>15</v>
      </c>
      <c r="H162" s="5">
        <v>81088</v>
      </c>
      <c r="I162" s="5">
        <v>1995</v>
      </c>
      <c r="J162" s="6">
        <f t="shared" si="2"/>
        <v>79093</v>
      </c>
    </row>
    <row r="163" spans="1:10">
      <c r="A163" s="5">
        <v>158471</v>
      </c>
      <c r="B163" s="5" t="s">
        <v>10</v>
      </c>
      <c r="C163" s="5" t="s">
        <v>22</v>
      </c>
      <c r="D163" s="5" t="s">
        <v>32</v>
      </c>
      <c r="E163" s="5" t="s">
        <v>19</v>
      </c>
      <c r="F163" s="5" t="s">
        <v>14</v>
      </c>
      <c r="G163" s="5" t="s">
        <v>24</v>
      </c>
      <c r="H163" s="5">
        <v>21138</v>
      </c>
      <c r="I163" s="5">
        <v>0</v>
      </c>
      <c r="J163" s="6">
        <f t="shared" si="2"/>
        <v>21138</v>
      </c>
    </row>
    <row r="164" spans="1:10">
      <c r="A164" s="5">
        <v>220027</v>
      </c>
      <c r="B164" s="5" t="s">
        <v>10</v>
      </c>
      <c r="C164" s="5" t="s">
        <v>11</v>
      </c>
      <c r="D164" s="5" t="s">
        <v>32</v>
      </c>
      <c r="E164" s="5" t="s">
        <v>19</v>
      </c>
      <c r="F164" s="5" t="s">
        <v>14</v>
      </c>
      <c r="G164" s="5" t="s">
        <v>24</v>
      </c>
      <c r="H164" s="5">
        <v>130660</v>
      </c>
      <c r="I164" s="5">
        <v>1452</v>
      </c>
      <c r="J164" s="6">
        <f t="shared" si="2"/>
        <v>129208</v>
      </c>
    </row>
    <row r="165" spans="1:10">
      <c r="A165" s="5">
        <v>36718</v>
      </c>
      <c r="B165" s="5" t="s">
        <v>16</v>
      </c>
      <c r="C165" s="5" t="s">
        <v>35</v>
      </c>
      <c r="D165" s="5" t="s">
        <v>36</v>
      </c>
      <c r="E165" s="5" t="s">
        <v>19</v>
      </c>
      <c r="F165" s="5" t="s">
        <v>14</v>
      </c>
      <c r="G165" s="5" t="s">
        <v>24</v>
      </c>
      <c r="H165" s="5">
        <v>71502</v>
      </c>
      <c r="I165" s="5">
        <v>312</v>
      </c>
      <c r="J165" s="6">
        <f t="shared" si="2"/>
        <v>71190</v>
      </c>
    </row>
    <row r="166" spans="1:10">
      <c r="A166" s="5">
        <v>84392</v>
      </c>
      <c r="B166" s="5" t="s">
        <v>10</v>
      </c>
      <c r="C166" s="5" t="s">
        <v>34</v>
      </c>
      <c r="D166" s="5" t="s">
        <v>12</v>
      </c>
      <c r="E166" s="5" t="s">
        <v>13</v>
      </c>
      <c r="F166" s="5" t="s">
        <v>28</v>
      </c>
      <c r="G166" s="5" t="s">
        <v>24</v>
      </c>
      <c r="H166" s="5">
        <v>83643</v>
      </c>
      <c r="I166" s="5">
        <v>2200</v>
      </c>
      <c r="J166" s="6">
        <f t="shared" si="2"/>
        <v>81443</v>
      </c>
    </row>
    <row r="167" spans="1:10">
      <c r="A167" s="5">
        <v>164984</v>
      </c>
      <c r="B167" s="5" t="s">
        <v>10</v>
      </c>
      <c r="C167" s="5" t="s">
        <v>17</v>
      </c>
      <c r="D167" s="5" t="s">
        <v>26</v>
      </c>
      <c r="E167" s="5" t="s">
        <v>19</v>
      </c>
      <c r="F167" s="5" t="s">
        <v>14</v>
      </c>
      <c r="G167" s="5" t="s">
        <v>24</v>
      </c>
      <c r="H167" s="5">
        <v>70284</v>
      </c>
      <c r="I167" s="5">
        <v>320</v>
      </c>
      <c r="J167" s="6">
        <f t="shared" si="2"/>
        <v>69964</v>
      </c>
    </row>
    <row r="168" spans="1:10">
      <c r="A168" s="5">
        <v>15121</v>
      </c>
      <c r="B168" s="5" t="s">
        <v>10</v>
      </c>
      <c r="C168" s="5" t="s">
        <v>34</v>
      </c>
      <c r="D168" s="5" t="s">
        <v>26</v>
      </c>
      <c r="E168" s="5" t="s">
        <v>19</v>
      </c>
      <c r="F168" s="5" t="s">
        <v>14</v>
      </c>
      <c r="G168" s="5" t="s">
        <v>24</v>
      </c>
      <c r="H168" s="5">
        <v>74516</v>
      </c>
      <c r="I168" s="5">
        <v>4620</v>
      </c>
      <c r="J168" s="6">
        <f t="shared" si="2"/>
        <v>69896</v>
      </c>
    </row>
    <row r="169" spans="1:10">
      <c r="A169" s="5">
        <v>246468</v>
      </c>
      <c r="B169" s="5" t="s">
        <v>10</v>
      </c>
      <c r="C169" s="5" t="s">
        <v>11</v>
      </c>
      <c r="D169" s="5" t="s">
        <v>12</v>
      </c>
      <c r="E169" s="5" t="s">
        <v>13</v>
      </c>
      <c r="F169" s="5" t="s">
        <v>14</v>
      </c>
      <c r="G169" s="5" t="s">
        <v>24</v>
      </c>
      <c r="H169" s="5">
        <v>100363</v>
      </c>
      <c r="I169" s="5">
        <v>772</v>
      </c>
      <c r="J169" s="6">
        <f t="shared" si="2"/>
        <v>99591</v>
      </c>
    </row>
    <row r="170" spans="1:10">
      <c r="A170" s="5">
        <v>25227</v>
      </c>
      <c r="B170" s="5" t="s">
        <v>10</v>
      </c>
      <c r="C170" s="5" t="s">
        <v>35</v>
      </c>
      <c r="D170" s="5" t="s">
        <v>23</v>
      </c>
      <c r="E170" s="5" t="s">
        <v>13</v>
      </c>
      <c r="F170" s="5" t="s">
        <v>14</v>
      </c>
      <c r="G170" s="5" t="s">
        <v>15</v>
      </c>
      <c r="H170" s="5">
        <v>81360</v>
      </c>
      <c r="I170" s="5">
        <v>2869</v>
      </c>
      <c r="J170" s="6">
        <f t="shared" si="2"/>
        <v>78491</v>
      </c>
    </row>
    <row r="171" spans="1:10">
      <c r="A171" s="5">
        <v>83444</v>
      </c>
      <c r="B171" s="5" t="s">
        <v>16</v>
      </c>
      <c r="C171" s="5" t="s">
        <v>34</v>
      </c>
      <c r="D171" s="5" t="s">
        <v>32</v>
      </c>
      <c r="E171" s="5" t="s">
        <v>13</v>
      </c>
      <c r="F171" s="5" t="s">
        <v>14</v>
      </c>
      <c r="G171" s="5" t="s">
        <v>24</v>
      </c>
      <c r="H171" s="5">
        <v>868</v>
      </c>
      <c r="I171" s="5">
        <v>0</v>
      </c>
      <c r="J171" s="6">
        <f t="shared" si="2"/>
        <v>868</v>
      </c>
    </row>
    <row r="172" spans="1:10">
      <c r="A172" s="5">
        <v>12174</v>
      </c>
      <c r="B172" s="5" t="s">
        <v>10</v>
      </c>
      <c r="C172" s="5" t="s">
        <v>34</v>
      </c>
      <c r="D172" s="5" t="s">
        <v>29</v>
      </c>
      <c r="E172" s="5" t="s">
        <v>19</v>
      </c>
      <c r="F172" s="5" t="s">
        <v>14</v>
      </c>
      <c r="G172" s="5" t="s">
        <v>15</v>
      </c>
      <c r="H172" s="5">
        <v>105632</v>
      </c>
      <c r="I172" s="5">
        <v>703</v>
      </c>
      <c r="J172" s="6">
        <f t="shared" si="2"/>
        <v>104929</v>
      </c>
    </row>
    <row r="173" spans="1:10">
      <c r="A173" s="5">
        <v>108698</v>
      </c>
      <c r="B173" s="5" t="s">
        <v>10</v>
      </c>
      <c r="C173" s="5" t="s">
        <v>39</v>
      </c>
      <c r="D173" s="5" t="s">
        <v>23</v>
      </c>
      <c r="E173" s="5" t="s">
        <v>13</v>
      </c>
      <c r="F173" s="5" t="s">
        <v>14</v>
      </c>
      <c r="G173" s="5" t="s">
        <v>24</v>
      </c>
      <c r="H173" s="5">
        <v>81081</v>
      </c>
      <c r="I173" s="5">
        <v>5429</v>
      </c>
      <c r="J173" s="6">
        <f t="shared" si="2"/>
        <v>75652</v>
      </c>
    </row>
    <row r="174" spans="1:10">
      <c r="A174" s="5">
        <v>91254</v>
      </c>
      <c r="B174" s="5" t="s">
        <v>10</v>
      </c>
      <c r="C174" s="5" t="s">
        <v>20</v>
      </c>
      <c r="D174" s="5" t="s">
        <v>32</v>
      </c>
      <c r="E174" s="5" t="s">
        <v>13</v>
      </c>
      <c r="F174" s="5" t="s">
        <v>28</v>
      </c>
      <c r="G174" s="5" t="s">
        <v>15</v>
      </c>
      <c r="H174" s="5">
        <v>39656</v>
      </c>
      <c r="I174" s="5">
        <v>3692</v>
      </c>
      <c r="J174" s="6">
        <f t="shared" si="2"/>
        <v>35964</v>
      </c>
    </row>
    <row r="175" spans="1:10">
      <c r="A175" s="5">
        <v>27822</v>
      </c>
      <c r="B175" s="5" t="s">
        <v>16</v>
      </c>
      <c r="C175" s="5" t="s">
        <v>11</v>
      </c>
      <c r="D175" s="5" t="s">
        <v>30</v>
      </c>
      <c r="E175" s="5" t="s">
        <v>13</v>
      </c>
      <c r="F175" s="5" t="s">
        <v>14</v>
      </c>
      <c r="G175" s="5" t="s">
        <v>15</v>
      </c>
      <c r="H175" s="5">
        <v>65452</v>
      </c>
      <c r="I175" s="5">
        <v>2248</v>
      </c>
      <c r="J175" s="6">
        <f t="shared" si="2"/>
        <v>63204</v>
      </c>
    </row>
    <row r="176" spans="1:10">
      <c r="A176" s="5">
        <v>191118</v>
      </c>
      <c r="B176" s="5" t="s">
        <v>10</v>
      </c>
      <c r="C176" s="5" t="s">
        <v>38</v>
      </c>
      <c r="D176" s="5" t="s">
        <v>30</v>
      </c>
      <c r="E176" s="5" t="s">
        <v>13</v>
      </c>
      <c r="F176" s="5" t="s">
        <v>28</v>
      </c>
      <c r="G176" s="5" t="s">
        <v>24</v>
      </c>
      <c r="H176" s="5">
        <v>123215</v>
      </c>
      <c r="I176" s="5">
        <v>1695</v>
      </c>
      <c r="J176" s="6">
        <f t="shared" si="2"/>
        <v>121520</v>
      </c>
    </row>
    <row r="177" spans="1:10">
      <c r="A177" s="5">
        <v>201925</v>
      </c>
      <c r="B177" s="5" t="s">
        <v>10</v>
      </c>
      <c r="C177" s="5" t="s">
        <v>38</v>
      </c>
      <c r="D177" s="5" t="s">
        <v>32</v>
      </c>
      <c r="E177" s="5" t="s">
        <v>19</v>
      </c>
      <c r="F177" s="5" t="s">
        <v>14</v>
      </c>
      <c r="G177" s="5" t="s">
        <v>24</v>
      </c>
      <c r="H177" s="5">
        <v>60741</v>
      </c>
      <c r="I177" s="5">
        <v>148</v>
      </c>
      <c r="J177" s="6">
        <f t="shared" si="2"/>
        <v>60593</v>
      </c>
    </row>
    <row r="178" spans="1:10">
      <c r="A178" s="5">
        <v>92139</v>
      </c>
      <c r="B178" s="5" t="s">
        <v>10</v>
      </c>
      <c r="C178" s="5" t="s">
        <v>34</v>
      </c>
      <c r="D178" s="5" t="s">
        <v>23</v>
      </c>
      <c r="E178" s="5" t="s">
        <v>13</v>
      </c>
      <c r="F178" s="5" t="s">
        <v>14</v>
      </c>
      <c r="G178" s="5" t="s">
        <v>15</v>
      </c>
      <c r="H178" s="5">
        <v>204950</v>
      </c>
      <c r="I178" s="5">
        <v>1470</v>
      </c>
      <c r="J178" s="6">
        <f t="shared" si="2"/>
        <v>203480</v>
      </c>
    </row>
    <row r="179" spans="1:10">
      <c r="A179" s="5">
        <v>50675</v>
      </c>
      <c r="B179" s="5" t="s">
        <v>10</v>
      </c>
      <c r="C179" s="5" t="s">
        <v>35</v>
      </c>
      <c r="D179" s="5" t="s">
        <v>26</v>
      </c>
      <c r="E179" s="5" t="s">
        <v>19</v>
      </c>
      <c r="F179" s="5" t="s">
        <v>28</v>
      </c>
      <c r="G179" s="5" t="s">
        <v>24</v>
      </c>
      <c r="H179" s="5">
        <v>14683</v>
      </c>
      <c r="I179" s="5">
        <v>0</v>
      </c>
      <c r="J179" s="6">
        <f t="shared" si="2"/>
        <v>14683</v>
      </c>
    </row>
    <row r="180" spans="1:10">
      <c r="A180" s="5">
        <v>38261</v>
      </c>
      <c r="B180" s="5" t="s">
        <v>16</v>
      </c>
      <c r="C180" s="5" t="s">
        <v>35</v>
      </c>
      <c r="D180" s="5" t="s">
        <v>36</v>
      </c>
      <c r="E180" s="5" t="s">
        <v>13</v>
      </c>
      <c r="F180" s="5" t="s">
        <v>14</v>
      </c>
      <c r="G180" s="5" t="s">
        <v>15</v>
      </c>
      <c r="H180" s="5">
        <v>37616</v>
      </c>
      <c r="I180" s="5">
        <v>368</v>
      </c>
      <c r="J180" s="6">
        <f t="shared" si="2"/>
        <v>37248</v>
      </c>
    </row>
    <row r="181" spans="1:10">
      <c r="A181" s="5">
        <v>51149</v>
      </c>
      <c r="B181" s="5" t="s">
        <v>10</v>
      </c>
      <c r="C181" s="5" t="s">
        <v>35</v>
      </c>
      <c r="D181" s="5" t="s">
        <v>26</v>
      </c>
      <c r="E181" s="5" t="s">
        <v>19</v>
      </c>
      <c r="F181" s="5" t="s">
        <v>14</v>
      </c>
      <c r="G181" s="5" t="s">
        <v>24</v>
      </c>
      <c r="H181" s="5">
        <v>34270</v>
      </c>
      <c r="I181" s="5">
        <v>309</v>
      </c>
      <c r="J181" s="6">
        <f t="shared" si="2"/>
        <v>33961</v>
      </c>
    </row>
    <row r="182" spans="1:10">
      <c r="A182" s="5">
        <v>60699</v>
      </c>
      <c r="B182" s="5" t="s">
        <v>16</v>
      </c>
      <c r="C182" s="5" t="s">
        <v>20</v>
      </c>
      <c r="D182" s="5" t="s">
        <v>32</v>
      </c>
      <c r="E182" s="5" t="s">
        <v>13</v>
      </c>
      <c r="F182" s="5" t="s">
        <v>14</v>
      </c>
      <c r="G182" s="5" t="s">
        <v>15</v>
      </c>
      <c r="H182" s="5">
        <v>17057</v>
      </c>
      <c r="I182" s="5">
        <v>1881</v>
      </c>
      <c r="J182" s="6">
        <f t="shared" si="2"/>
        <v>15176</v>
      </c>
    </row>
    <row r="183" spans="1:10">
      <c r="A183" s="5">
        <v>92612</v>
      </c>
      <c r="B183" s="5" t="s">
        <v>16</v>
      </c>
      <c r="C183" s="5" t="s">
        <v>39</v>
      </c>
      <c r="D183" s="5" t="s">
        <v>33</v>
      </c>
      <c r="E183" s="5" t="s">
        <v>19</v>
      </c>
      <c r="F183" s="5" t="s">
        <v>14</v>
      </c>
      <c r="G183" s="5" t="s">
        <v>15</v>
      </c>
      <c r="H183" s="5">
        <v>65677</v>
      </c>
      <c r="I183" s="5">
        <v>592</v>
      </c>
      <c r="J183" s="6">
        <f t="shared" si="2"/>
        <v>65085</v>
      </c>
    </row>
    <row r="184" spans="1:10">
      <c r="A184" s="5">
        <v>166867</v>
      </c>
      <c r="B184" s="5" t="s">
        <v>16</v>
      </c>
      <c r="C184" s="5" t="s">
        <v>22</v>
      </c>
      <c r="D184" s="5" t="s">
        <v>30</v>
      </c>
      <c r="E184" s="5" t="s">
        <v>13</v>
      </c>
      <c r="F184" s="5" t="s">
        <v>28</v>
      </c>
      <c r="G184" s="5" t="s">
        <v>15</v>
      </c>
      <c r="H184" s="5">
        <v>84287</v>
      </c>
      <c r="I184" s="5">
        <v>0</v>
      </c>
      <c r="J184" s="6">
        <f t="shared" si="2"/>
        <v>84287</v>
      </c>
    </row>
    <row r="185" spans="1:10">
      <c r="A185" s="5">
        <v>75483</v>
      </c>
      <c r="B185" s="5" t="s">
        <v>10</v>
      </c>
      <c r="C185" s="5" t="s">
        <v>35</v>
      </c>
      <c r="D185" s="5" t="s">
        <v>32</v>
      </c>
      <c r="E185" s="5" t="s">
        <v>19</v>
      </c>
      <c r="F185" s="5" t="s">
        <v>14</v>
      </c>
      <c r="G185" s="5" t="s">
        <v>24</v>
      </c>
      <c r="H185" s="5">
        <v>56512</v>
      </c>
      <c r="I185" s="5">
        <v>0</v>
      </c>
      <c r="J185" s="6">
        <f t="shared" si="2"/>
        <v>56512</v>
      </c>
    </row>
    <row r="186" spans="1:10">
      <c r="A186" s="5">
        <v>123928</v>
      </c>
      <c r="B186" s="5" t="s">
        <v>16</v>
      </c>
      <c r="C186" s="5" t="s">
        <v>25</v>
      </c>
      <c r="D186" s="5" t="s">
        <v>33</v>
      </c>
      <c r="E186" s="5" t="s">
        <v>19</v>
      </c>
      <c r="F186" s="5" t="s">
        <v>28</v>
      </c>
      <c r="G186" s="5" t="s">
        <v>15</v>
      </c>
      <c r="H186" s="5">
        <v>64006</v>
      </c>
      <c r="I186" s="5">
        <v>494</v>
      </c>
      <c r="J186" s="6">
        <f t="shared" si="2"/>
        <v>63512</v>
      </c>
    </row>
    <row r="187" spans="1:10">
      <c r="A187" s="5">
        <v>161550</v>
      </c>
      <c r="B187" s="5" t="s">
        <v>16</v>
      </c>
      <c r="C187" s="5" t="s">
        <v>25</v>
      </c>
      <c r="D187" s="5" t="s">
        <v>21</v>
      </c>
      <c r="E187" s="5" t="s">
        <v>19</v>
      </c>
      <c r="F187" s="5" t="s">
        <v>28</v>
      </c>
      <c r="G187" s="5" t="s">
        <v>15</v>
      </c>
      <c r="H187" s="5">
        <v>65714</v>
      </c>
      <c r="I187" s="5">
        <v>536</v>
      </c>
      <c r="J187" s="6">
        <f t="shared" si="2"/>
        <v>65178</v>
      </c>
    </row>
    <row r="188" spans="1:10">
      <c r="A188" s="5">
        <v>124344</v>
      </c>
      <c r="B188" s="5" t="s">
        <v>10</v>
      </c>
      <c r="C188" s="5" t="s">
        <v>35</v>
      </c>
      <c r="D188" s="5" t="s">
        <v>23</v>
      </c>
      <c r="E188" s="5" t="s">
        <v>13</v>
      </c>
      <c r="F188" s="5" t="s">
        <v>14</v>
      </c>
      <c r="G188" s="5" t="s">
        <v>24</v>
      </c>
      <c r="H188" s="5">
        <v>99883</v>
      </c>
      <c r="I188" s="5">
        <v>10904</v>
      </c>
      <c r="J188" s="6">
        <f t="shared" si="2"/>
        <v>88979</v>
      </c>
    </row>
    <row r="189" spans="1:10">
      <c r="A189" s="5">
        <v>198744</v>
      </c>
      <c r="B189" s="5" t="s">
        <v>10</v>
      </c>
      <c r="C189" s="5" t="s">
        <v>34</v>
      </c>
      <c r="D189" s="5" t="s">
        <v>12</v>
      </c>
      <c r="E189" s="5" t="s">
        <v>13</v>
      </c>
      <c r="F189" s="5" t="s">
        <v>14</v>
      </c>
      <c r="G189" s="5" t="s">
        <v>15</v>
      </c>
      <c r="H189" s="5">
        <v>57610</v>
      </c>
      <c r="I189" s="5">
        <v>465</v>
      </c>
      <c r="J189" s="6">
        <f t="shared" si="2"/>
        <v>57145</v>
      </c>
    </row>
    <row r="190" spans="1:10">
      <c r="A190" s="5">
        <v>181624</v>
      </c>
      <c r="B190" s="5" t="s">
        <v>16</v>
      </c>
      <c r="C190" s="5" t="s">
        <v>34</v>
      </c>
      <c r="D190" s="5" t="s">
        <v>18</v>
      </c>
      <c r="E190" s="5" t="s">
        <v>13</v>
      </c>
      <c r="F190" s="5" t="s">
        <v>14</v>
      </c>
      <c r="G190" s="5" t="s">
        <v>15</v>
      </c>
      <c r="H190" s="5">
        <v>40743</v>
      </c>
      <c r="I190" s="5">
        <v>151</v>
      </c>
      <c r="J190" s="6">
        <f t="shared" si="2"/>
        <v>40592</v>
      </c>
    </row>
    <row r="191" spans="1:10">
      <c r="A191" s="5">
        <v>25026</v>
      </c>
      <c r="B191" s="5" t="s">
        <v>16</v>
      </c>
      <c r="C191" s="5" t="s">
        <v>11</v>
      </c>
      <c r="D191" s="5" t="s">
        <v>12</v>
      </c>
      <c r="E191" s="5" t="s">
        <v>19</v>
      </c>
      <c r="F191" s="5" t="s">
        <v>14</v>
      </c>
      <c r="G191" s="5" t="s">
        <v>15</v>
      </c>
      <c r="H191" s="5">
        <v>87091</v>
      </c>
      <c r="I191" s="5">
        <v>2691</v>
      </c>
      <c r="J191" s="6">
        <f t="shared" si="2"/>
        <v>84400</v>
      </c>
    </row>
    <row r="192" spans="1:10">
      <c r="A192" s="5">
        <v>54112</v>
      </c>
      <c r="B192" s="5" t="s">
        <v>16</v>
      </c>
      <c r="C192" s="5" t="s">
        <v>22</v>
      </c>
      <c r="D192" s="5" t="s">
        <v>12</v>
      </c>
      <c r="E192" s="5" t="s">
        <v>19</v>
      </c>
      <c r="F192" s="5" t="s">
        <v>14</v>
      </c>
      <c r="G192" s="5" t="s">
        <v>15</v>
      </c>
      <c r="H192" s="5">
        <v>151829</v>
      </c>
      <c r="I192" s="5">
        <v>7641</v>
      </c>
      <c r="J192" s="6">
        <f t="shared" si="2"/>
        <v>144188</v>
      </c>
    </row>
    <row r="193" spans="1:10">
      <c r="A193" s="5">
        <v>101283</v>
      </c>
      <c r="B193" s="5" t="s">
        <v>16</v>
      </c>
      <c r="C193" s="5" t="s">
        <v>34</v>
      </c>
      <c r="D193" s="5" t="s">
        <v>30</v>
      </c>
      <c r="E193" s="5" t="s">
        <v>13</v>
      </c>
      <c r="F193" s="5" t="s">
        <v>28</v>
      </c>
      <c r="G193" s="5" t="s">
        <v>24</v>
      </c>
      <c r="H193" s="5">
        <v>36104</v>
      </c>
      <c r="I193" s="5">
        <v>2838</v>
      </c>
      <c r="J193" s="6">
        <f t="shared" si="2"/>
        <v>33266</v>
      </c>
    </row>
    <row r="194" spans="1:10">
      <c r="A194" s="5">
        <v>68346</v>
      </c>
      <c r="B194" s="5" t="s">
        <v>10</v>
      </c>
      <c r="C194" s="5" t="s">
        <v>27</v>
      </c>
      <c r="D194" s="5" t="s">
        <v>26</v>
      </c>
      <c r="E194" s="5" t="s">
        <v>13</v>
      </c>
      <c r="F194" s="5" t="s">
        <v>28</v>
      </c>
      <c r="G194" s="5" t="s">
        <v>24</v>
      </c>
      <c r="H194" s="5">
        <v>41335</v>
      </c>
      <c r="I194" s="5">
        <v>325</v>
      </c>
      <c r="J194" s="6">
        <f t="shared" ref="J194:J257" si="3">H194-I194</f>
        <v>41010</v>
      </c>
    </row>
    <row r="195" spans="1:10">
      <c r="A195" s="5">
        <v>23797</v>
      </c>
      <c r="B195" s="5" t="s">
        <v>16</v>
      </c>
      <c r="C195" s="5" t="s">
        <v>11</v>
      </c>
      <c r="D195" s="5" t="s">
        <v>33</v>
      </c>
      <c r="E195" s="5" t="s">
        <v>19</v>
      </c>
      <c r="F195" s="5" t="s">
        <v>14</v>
      </c>
      <c r="G195" s="5" t="s">
        <v>24</v>
      </c>
      <c r="H195" s="5">
        <v>27462</v>
      </c>
      <c r="I195" s="5">
        <v>433</v>
      </c>
      <c r="J195" s="6">
        <f t="shared" si="3"/>
        <v>27029</v>
      </c>
    </row>
    <row r="196" spans="1:10">
      <c r="A196" s="5">
        <v>174356</v>
      </c>
      <c r="B196" s="5" t="s">
        <v>16</v>
      </c>
      <c r="C196" s="5" t="s">
        <v>34</v>
      </c>
      <c r="D196" s="5" t="s">
        <v>32</v>
      </c>
      <c r="E196" s="5" t="s">
        <v>19</v>
      </c>
      <c r="F196" s="5" t="s">
        <v>14</v>
      </c>
      <c r="G196" s="5" t="s">
        <v>24</v>
      </c>
      <c r="H196" s="5">
        <v>20258</v>
      </c>
      <c r="I196" s="5">
        <v>0</v>
      </c>
      <c r="J196" s="6">
        <f t="shared" si="3"/>
        <v>20258</v>
      </c>
    </row>
    <row r="197" spans="1:10">
      <c r="A197" s="5">
        <v>158404</v>
      </c>
      <c r="B197" s="5" t="s">
        <v>16</v>
      </c>
      <c r="C197" s="5" t="s">
        <v>27</v>
      </c>
      <c r="D197" s="5" t="s">
        <v>29</v>
      </c>
      <c r="E197" s="5" t="s">
        <v>13</v>
      </c>
      <c r="F197" s="5" t="s">
        <v>14</v>
      </c>
      <c r="G197" s="5" t="s">
        <v>24</v>
      </c>
      <c r="H197" s="5">
        <v>63833</v>
      </c>
      <c r="I197" s="5">
        <v>1014</v>
      </c>
      <c r="J197" s="6">
        <f t="shared" si="3"/>
        <v>62819</v>
      </c>
    </row>
    <row r="198" spans="1:10">
      <c r="A198" s="5">
        <v>215374</v>
      </c>
      <c r="B198" s="5" t="s">
        <v>10</v>
      </c>
      <c r="C198" s="5" t="s">
        <v>39</v>
      </c>
      <c r="D198" s="5" t="s">
        <v>32</v>
      </c>
      <c r="E198" s="5" t="s">
        <v>13</v>
      </c>
      <c r="F198" s="5" t="s">
        <v>14</v>
      </c>
      <c r="G198" s="5" t="s">
        <v>15</v>
      </c>
      <c r="H198" s="5">
        <v>15211</v>
      </c>
      <c r="I198" s="5">
        <v>0</v>
      </c>
      <c r="J198" s="6">
        <f t="shared" si="3"/>
        <v>15211</v>
      </c>
    </row>
    <row r="199" spans="1:10">
      <c r="A199" s="5">
        <v>90368</v>
      </c>
      <c r="B199" s="5" t="s">
        <v>10</v>
      </c>
      <c r="C199" s="5" t="s">
        <v>38</v>
      </c>
      <c r="D199" s="5" t="s">
        <v>30</v>
      </c>
      <c r="E199" s="5" t="s">
        <v>13</v>
      </c>
      <c r="F199" s="5" t="s">
        <v>28</v>
      </c>
      <c r="G199" s="5" t="s">
        <v>24</v>
      </c>
      <c r="H199" s="5">
        <v>23959</v>
      </c>
      <c r="I199" s="5">
        <v>875</v>
      </c>
      <c r="J199" s="6">
        <f t="shared" si="3"/>
        <v>23084</v>
      </c>
    </row>
    <row r="200" spans="1:10">
      <c r="A200" s="5">
        <v>96521</v>
      </c>
      <c r="B200" s="5" t="s">
        <v>16</v>
      </c>
      <c r="C200" s="5" t="s">
        <v>20</v>
      </c>
      <c r="D200" s="5" t="s">
        <v>32</v>
      </c>
      <c r="E200" s="5" t="s">
        <v>13</v>
      </c>
      <c r="F200" s="5" t="s">
        <v>28</v>
      </c>
      <c r="G200" s="5" t="s">
        <v>15</v>
      </c>
      <c r="H200" s="5">
        <v>32345</v>
      </c>
      <c r="I200" s="5">
        <v>3093</v>
      </c>
      <c r="J200" s="6">
        <f t="shared" si="3"/>
        <v>29252</v>
      </c>
    </row>
    <row r="201" spans="1:10">
      <c r="A201" s="5">
        <v>141908</v>
      </c>
      <c r="B201" s="5" t="s">
        <v>16</v>
      </c>
      <c r="C201" s="5" t="s">
        <v>25</v>
      </c>
      <c r="D201" s="5" t="s">
        <v>18</v>
      </c>
      <c r="E201" s="5" t="s">
        <v>19</v>
      </c>
      <c r="F201" s="5" t="s">
        <v>14</v>
      </c>
      <c r="G201" s="5" t="s">
        <v>24</v>
      </c>
      <c r="H201" s="5">
        <v>21540</v>
      </c>
      <c r="I201" s="5">
        <v>237</v>
      </c>
      <c r="J201" s="6">
        <f t="shared" si="3"/>
        <v>21303</v>
      </c>
    </row>
    <row r="202" spans="1:10">
      <c r="A202" s="5">
        <v>197070</v>
      </c>
      <c r="B202" s="5" t="s">
        <v>10</v>
      </c>
      <c r="C202" s="5" t="s">
        <v>35</v>
      </c>
      <c r="D202" s="5" t="s">
        <v>23</v>
      </c>
      <c r="E202" s="5" t="s">
        <v>13</v>
      </c>
      <c r="F202" s="5" t="s">
        <v>14</v>
      </c>
      <c r="G202" s="5" t="s">
        <v>15</v>
      </c>
      <c r="H202" s="5">
        <v>67726</v>
      </c>
      <c r="I202" s="5">
        <v>3212</v>
      </c>
      <c r="J202" s="6">
        <f t="shared" si="3"/>
        <v>64514</v>
      </c>
    </row>
    <row r="203" spans="1:10">
      <c r="A203" s="5">
        <v>148606</v>
      </c>
      <c r="B203" s="5" t="s">
        <v>10</v>
      </c>
      <c r="C203" s="5" t="s">
        <v>31</v>
      </c>
      <c r="D203" s="5" t="s">
        <v>18</v>
      </c>
      <c r="E203" s="5" t="s">
        <v>19</v>
      </c>
      <c r="F203" s="5" t="s">
        <v>14</v>
      </c>
      <c r="G203" s="5" t="s">
        <v>24</v>
      </c>
      <c r="H203" s="5">
        <v>8948</v>
      </c>
      <c r="I203" s="5">
        <v>205</v>
      </c>
      <c r="J203" s="6">
        <f t="shared" si="3"/>
        <v>8743</v>
      </c>
    </row>
    <row r="204" spans="1:10">
      <c r="A204" s="5">
        <v>230492</v>
      </c>
      <c r="B204" s="5" t="s">
        <v>10</v>
      </c>
      <c r="C204" s="5" t="s">
        <v>22</v>
      </c>
      <c r="D204" s="5" t="s">
        <v>23</v>
      </c>
      <c r="E204" s="5" t="s">
        <v>13</v>
      </c>
      <c r="F204" s="5" t="s">
        <v>14</v>
      </c>
      <c r="G204" s="5" t="s">
        <v>24</v>
      </c>
      <c r="H204" s="5">
        <v>44467</v>
      </c>
      <c r="I204" s="5">
        <v>4635</v>
      </c>
      <c r="J204" s="6">
        <f t="shared" si="3"/>
        <v>39832</v>
      </c>
    </row>
    <row r="205" spans="1:10">
      <c r="A205" s="5">
        <v>69938</v>
      </c>
      <c r="B205" s="5" t="s">
        <v>16</v>
      </c>
      <c r="C205" s="5" t="s">
        <v>22</v>
      </c>
      <c r="D205" s="5" t="s">
        <v>30</v>
      </c>
      <c r="E205" s="5" t="s">
        <v>13</v>
      </c>
      <c r="F205" s="5" t="s">
        <v>28</v>
      </c>
      <c r="G205" s="5" t="s">
        <v>15</v>
      </c>
      <c r="H205" s="5">
        <v>121177</v>
      </c>
      <c r="I205" s="5">
        <v>2529</v>
      </c>
      <c r="J205" s="6">
        <f t="shared" si="3"/>
        <v>118648</v>
      </c>
    </row>
    <row r="206" spans="1:10">
      <c r="A206" s="5">
        <v>118908</v>
      </c>
      <c r="B206" s="5" t="s">
        <v>10</v>
      </c>
      <c r="C206" s="5" t="s">
        <v>27</v>
      </c>
      <c r="D206" s="5" t="s">
        <v>12</v>
      </c>
      <c r="E206" s="5" t="s">
        <v>13</v>
      </c>
      <c r="F206" s="5" t="s">
        <v>14</v>
      </c>
      <c r="G206" s="5" t="s">
        <v>15</v>
      </c>
      <c r="H206" s="5">
        <v>73607</v>
      </c>
      <c r="I206" s="5">
        <v>4883</v>
      </c>
      <c r="J206" s="6">
        <f t="shared" si="3"/>
        <v>68724</v>
      </c>
    </row>
    <row r="207" spans="1:10">
      <c r="A207" s="5">
        <v>97908</v>
      </c>
      <c r="B207" s="5" t="s">
        <v>16</v>
      </c>
      <c r="C207" s="5" t="s">
        <v>34</v>
      </c>
      <c r="D207" s="5" t="s">
        <v>26</v>
      </c>
      <c r="E207" s="5" t="s">
        <v>13</v>
      </c>
      <c r="F207" s="5" t="s">
        <v>14</v>
      </c>
      <c r="G207" s="5" t="s">
        <v>24</v>
      </c>
      <c r="H207" s="5">
        <v>42603</v>
      </c>
      <c r="I207" s="5">
        <v>1519</v>
      </c>
      <c r="J207" s="6">
        <f t="shared" si="3"/>
        <v>41084</v>
      </c>
    </row>
    <row r="208" spans="1:10">
      <c r="A208" s="5">
        <v>64352</v>
      </c>
      <c r="B208" s="5" t="s">
        <v>10</v>
      </c>
      <c r="C208" s="5" t="s">
        <v>27</v>
      </c>
      <c r="D208" s="5" t="s">
        <v>12</v>
      </c>
      <c r="E208" s="5" t="s">
        <v>13</v>
      </c>
      <c r="F208" s="5" t="s">
        <v>28</v>
      </c>
      <c r="G208" s="5" t="s">
        <v>15</v>
      </c>
      <c r="H208" s="5">
        <v>67294</v>
      </c>
      <c r="I208" s="5">
        <v>2081</v>
      </c>
      <c r="J208" s="6">
        <f t="shared" si="3"/>
        <v>65213</v>
      </c>
    </row>
    <row r="209" spans="1:10">
      <c r="A209" s="5">
        <v>213263</v>
      </c>
      <c r="B209" s="5" t="s">
        <v>16</v>
      </c>
      <c r="C209" s="5" t="s">
        <v>34</v>
      </c>
      <c r="D209" s="5" t="s">
        <v>32</v>
      </c>
      <c r="E209" s="5" t="s">
        <v>13</v>
      </c>
      <c r="F209" s="5" t="s">
        <v>14</v>
      </c>
      <c r="G209" s="5" t="s">
        <v>15</v>
      </c>
      <c r="H209" s="5">
        <v>134744</v>
      </c>
      <c r="I209" s="5">
        <v>391</v>
      </c>
      <c r="J209" s="6">
        <f t="shared" si="3"/>
        <v>134353</v>
      </c>
    </row>
    <row r="210" spans="1:10">
      <c r="A210" s="5">
        <v>129487</v>
      </c>
      <c r="B210" s="5" t="s">
        <v>10</v>
      </c>
      <c r="C210" s="5" t="s">
        <v>22</v>
      </c>
      <c r="D210" s="5" t="s">
        <v>23</v>
      </c>
      <c r="E210" s="5" t="s">
        <v>13</v>
      </c>
      <c r="F210" s="5" t="s">
        <v>14</v>
      </c>
      <c r="G210" s="5" t="s">
        <v>24</v>
      </c>
      <c r="H210" s="5">
        <v>75608</v>
      </c>
      <c r="I210" s="5">
        <v>0</v>
      </c>
      <c r="J210" s="6">
        <f t="shared" si="3"/>
        <v>75608</v>
      </c>
    </row>
    <row r="211" spans="1:10">
      <c r="A211" s="5">
        <v>152928</v>
      </c>
      <c r="B211" s="5" t="s">
        <v>10</v>
      </c>
      <c r="C211" s="5" t="s">
        <v>27</v>
      </c>
      <c r="D211" s="5" t="s">
        <v>21</v>
      </c>
      <c r="E211" s="5" t="s">
        <v>19</v>
      </c>
      <c r="F211" s="5" t="s">
        <v>14</v>
      </c>
      <c r="G211" s="5" t="s">
        <v>24</v>
      </c>
      <c r="H211" s="5">
        <v>36783</v>
      </c>
      <c r="I211" s="5">
        <v>1746</v>
      </c>
      <c r="J211" s="6">
        <f t="shared" si="3"/>
        <v>35037</v>
      </c>
    </row>
    <row r="212" spans="1:10">
      <c r="A212" s="5">
        <v>182469</v>
      </c>
      <c r="B212" s="5" t="s">
        <v>16</v>
      </c>
      <c r="C212" s="5" t="s">
        <v>20</v>
      </c>
      <c r="D212" s="5" t="s">
        <v>32</v>
      </c>
      <c r="E212" s="5" t="s">
        <v>19</v>
      </c>
      <c r="F212" s="5" t="s">
        <v>14</v>
      </c>
      <c r="G212" s="5" t="s">
        <v>15</v>
      </c>
      <c r="H212" s="5">
        <v>16680</v>
      </c>
      <c r="I212" s="5">
        <v>0</v>
      </c>
      <c r="J212" s="6">
        <f t="shared" si="3"/>
        <v>16680</v>
      </c>
    </row>
    <row r="213" spans="1:10">
      <c r="A213" s="5">
        <v>172630</v>
      </c>
      <c r="B213" s="5" t="s">
        <v>10</v>
      </c>
      <c r="C213" s="5" t="s">
        <v>17</v>
      </c>
      <c r="D213" s="5" t="s">
        <v>26</v>
      </c>
      <c r="E213" s="5" t="s">
        <v>19</v>
      </c>
      <c r="F213" s="5" t="s">
        <v>14</v>
      </c>
      <c r="G213" s="5" t="s">
        <v>24</v>
      </c>
      <c r="H213" s="5">
        <v>24423</v>
      </c>
      <c r="I213" s="5">
        <v>324</v>
      </c>
      <c r="J213" s="6">
        <f t="shared" si="3"/>
        <v>24099</v>
      </c>
    </row>
    <row r="214" spans="1:10">
      <c r="A214" s="5">
        <v>58333</v>
      </c>
      <c r="B214" s="5" t="s">
        <v>16</v>
      </c>
      <c r="C214" s="5" t="s">
        <v>20</v>
      </c>
      <c r="D214" s="5" t="s">
        <v>32</v>
      </c>
      <c r="E214" s="5" t="s">
        <v>13</v>
      </c>
      <c r="F214" s="5" t="s">
        <v>14</v>
      </c>
      <c r="G214" s="5" t="s">
        <v>15</v>
      </c>
      <c r="H214" s="5">
        <v>23195</v>
      </c>
      <c r="I214" s="5">
        <v>1969</v>
      </c>
      <c r="J214" s="6">
        <f t="shared" si="3"/>
        <v>21226</v>
      </c>
    </row>
    <row r="215" spans="1:10">
      <c r="A215" s="5">
        <v>151788</v>
      </c>
      <c r="B215" s="5" t="s">
        <v>16</v>
      </c>
      <c r="C215" s="5" t="s">
        <v>22</v>
      </c>
      <c r="D215" s="5" t="s">
        <v>12</v>
      </c>
      <c r="E215" s="5" t="s">
        <v>19</v>
      </c>
      <c r="F215" s="5" t="s">
        <v>28</v>
      </c>
      <c r="G215" s="5" t="s">
        <v>15</v>
      </c>
      <c r="H215" s="5">
        <v>57058</v>
      </c>
      <c r="I215" s="5">
        <v>377</v>
      </c>
      <c r="J215" s="6">
        <f t="shared" si="3"/>
        <v>56681</v>
      </c>
    </row>
    <row r="216" spans="1:10">
      <c r="A216" s="5">
        <v>68466</v>
      </c>
      <c r="B216" s="5" t="s">
        <v>16</v>
      </c>
      <c r="C216" s="5" t="s">
        <v>27</v>
      </c>
      <c r="D216" s="5" t="s">
        <v>21</v>
      </c>
      <c r="E216" s="5" t="s">
        <v>13</v>
      </c>
      <c r="F216" s="5" t="s">
        <v>14</v>
      </c>
      <c r="G216" s="5" t="s">
        <v>15</v>
      </c>
      <c r="H216" s="5">
        <v>68293</v>
      </c>
      <c r="I216" s="5">
        <v>763</v>
      </c>
      <c r="J216" s="6">
        <f t="shared" si="3"/>
        <v>67530</v>
      </c>
    </row>
    <row r="217" spans="1:10">
      <c r="A217" s="5">
        <v>59619</v>
      </c>
      <c r="B217" s="5" t="s">
        <v>10</v>
      </c>
      <c r="C217" s="5" t="s">
        <v>27</v>
      </c>
      <c r="D217" s="5" t="s">
        <v>23</v>
      </c>
      <c r="E217" s="5" t="s">
        <v>13</v>
      </c>
      <c r="F217" s="5" t="s">
        <v>28</v>
      </c>
      <c r="G217" s="5" t="s">
        <v>15</v>
      </c>
      <c r="H217" s="5">
        <v>31422</v>
      </c>
      <c r="I217" s="5">
        <v>3236</v>
      </c>
      <c r="J217" s="6">
        <f t="shared" si="3"/>
        <v>28186</v>
      </c>
    </row>
    <row r="218" spans="1:10">
      <c r="A218" s="5">
        <v>170732</v>
      </c>
      <c r="B218" s="5" t="s">
        <v>10</v>
      </c>
      <c r="C218" s="5" t="s">
        <v>22</v>
      </c>
      <c r="D218" s="5" t="s">
        <v>26</v>
      </c>
      <c r="E218" s="5" t="s">
        <v>19</v>
      </c>
      <c r="F218" s="5" t="s">
        <v>14</v>
      </c>
      <c r="G218" s="5" t="s">
        <v>24</v>
      </c>
      <c r="H218" s="5">
        <v>24596</v>
      </c>
      <c r="I218" s="5">
        <v>591</v>
      </c>
      <c r="J218" s="6">
        <f t="shared" si="3"/>
        <v>24005</v>
      </c>
    </row>
    <row r="219" spans="1:10">
      <c r="A219" s="5">
        <v>100854</v>
      </c>
      <c r="B219" s="5" t="s">
        <v>10</v>
      </c>
      <c r="C219" s="5" t="s">
        <v>11</v>
      </c>
      <c r="D219" s="5" t="s">
        <v>26</v>
      </c>
      <c r="E219" s="5" t="s">
        <v>13</v>
      </c>
      <c r="F219" s="5" t="s">
        <v>28</v>
      </c>
      <c r="G219" s="5" t="s">
        <v>24</v>
      </c>
      <c r="H219" s="5">
        <v>117377</v>
      </c>
      <c r="I219" s="5">
        <v>14157</v>
      </c>
      <c r="J219" s="6">
        <f t="shared" si="3"/>
        <v>103220</v>
      </c>
    </row>
    <row r="220" spans="1:10">
      <c r="A220" s="5">
        <v>221288</v>
      </c>
      <c r="B220" s="5" t="s">
        <v>10</v>
      </c>
      <c r="C220" s="5" t="s">
        <v>25</v>
      </c>
      <c r="D220" s="5" t="s">
        <v>32</v>
      </c>
      <c r="E220" s="5" t="s">
        <v>19</v>
      </c>
      <c r="F220" s="5" t="s">
        <v>14</v>
      </c>
      <c r="G220" s="5" t="s">
        <v>24</v>
      </c>
      <c r="H220" s="5">
        <v>61329</v>
      </c>
      <c r="I220" s="5">
        <v>0</v>
      </c>
      <c r="J220" s="6">
        <f t="shared" si="3"/>
        <v>61329</v>
      </c>
    </row>
    <row r="221" spans="1:10">
      <c r="A221" s="5">
        <v>84313</v>
      </c>
      <c r="B221" s="5" t="s">
        <v>10</v>
      </c>
      <c r="C221" s="5" t="s">
        <v>34</v>
      </c>
      <c r="D221" s="5" t="s">
        <v>30</v>
      </c>
      <c r="E221" s="5" t="s">
        <v>13</v>
      </c>
      <c r="F221" s="5" t="s">
        <v>28</v>
      </c>
      <c r="G221" s="5" t="s">
        <v>24</v>
      </c>
      <c r="H221" s="5">
        <v>53672</v>
      </c>
      <c r="I221" s="5">
        <v>1883</v>
      </c>
      <c r="J221" s="6">
        <f t="shared" si="3"/>
        <v>51789</v>
      </c>
    </row>
    <row r="222" spans="1:10">
      <c r="A222" s="5">
        <v>215456</v>
      </c>
      <c r="B222" s="5" t="s">
        <v>16</v>
      </c>
      <c r="C222" s="5" t="s">
        <v>38</v>
      </c>
      <c r="D222" s="5" t="s">
        <v>12</v>
      </c>
      <c r="E222" s="5" t="s">
        <v>13</v>
      </c>
      <c r="F222" s="5" t="s">
        <v>14</v>
      </c>
      <c r="G222" s="5" t="s">
        <v>15</v>
      </c>
      <c r="H222" s="5">
        <v>18519</v>
      </c>
      <c r="I222" s="5">
        <v>156</v>
      </c>
      <c r="J222" s="6">
        <f t="shared" si="3"/>
        <v>18363</v>
      </c>
    </row>
    <row r="223" spans="1:10">
      <c r="A223" s="5">
        <v>49336</v>
      </c>
      <c r="B223" s="5" t="s">
        <v>16</v>
      </c>
      <c r="C223" s="5" t="s">
        <v>38</v>
      </c>
      <c r="D223" s="5" t="s">
        <v>33</v>
      </c>
      <c r="E223" s="5" t="s">
        <v>13</v>
      </c>
      <c r="F223" s="5" t="s">
        <v>14</v>
      </c>
      <c r="G223" s="5" t="s">
        <v>15</v>
      </c>
      <c r="H223" s="5">
        <v>28742</v>
      </c>
      <c r="I223" s="5">
        <v>413</v>
      </c>
      <c r="J223" s="6">
        <f t="shared" si="3"/>
        <v>28329</v>
      </c>
    </row>
    <row r="224" spans="1:10">
      <c r="A224" s="5">
        <v>129080</v>
      </c>
      <c r="B224" s="5" t="s">
        <v>10</v>
      </c>
      <c r="C224" s="5" t="s">
        <v>22</v>
      </c>
      <c r="D224" s="5" t="s">
        <v>12</v>
      </c>
      <c r="E224" s="5" t="s">
        <v>19</v>
      </c>
      <c r="F224" s="5" t="s">
        <v>14</v>
      </c>
      <c r="G224" s="5" t="s">
        <v>24</v>
      </c>
      <c r="H224" s="5">
        <v>65113</v>
      </c>
      <c r="I224" s="5">
        <v>1011</v>
      </c>
      <c r="J224" s="6">
        <f t="shared" si="3"/>
        <v>64102</v>
      </c>
    </row>
    <row r="225" spans="1:10">
      <c r="A225" s="5">
        <v>72566</v>
      </c>
      <c r="B225" s="5" t="s">
        <v>10</v>
      </c>
      <c r="C225" s="5" t="s">
        <v>27</v>
      </c>
      <c r="D225" s="5" t="s">
        <v>12</v>
      </c>
      <c r="E225" s="5" t="s">
        <v>13</v>
      </c>
      <c r="F225" s="5" t="s">
        <v>14</v>
      </c>
      <c r="G225" s="5" t="s">
        <v>15</v>
      </c>
      <c r="H225" s="5">
        <v>112561</v>
      </c>
      <c r="I225" s="5">
        <v>16892</v>
      </c>
      <c r="J225" s="6">
        <f t="shared" si="3"/>
        <v>95669</v>
      </c>
    </row>
    <row r="226" spans="1:10">
      <c r="A226" s="5">
        <v>15105</v>
      </c>
      <c r="B226" s="5" t="s">
        <v>16</v>
      </c>
      <c r="C226" s="5" t="s">
        <v>37</v>
      </c>
      <c r="D226" s="5" t="s">
        <v>33</v>
      </c>
      <c r="E226" s="5" t="s">
        <v>19</v>
      </c>
      <c r="F226" s="5" t="s">
        <v>14</v>
      </c>
      <c r="G226" s="5" t="s">
        <v>15</v>
      </c>
      <c r="H226" s="5">
        <v>49107</v>
      </c>
      <c r="I226" s="5">
        <v>457</v>
      </c>
      <c r="J226" s="6">
        <f t="shared" si="3"/>
        <v>48650</v>
      </c>
    </row>
    <row r="227" spans="1:10">
      <c r="A227" s="5">
        <v>147591</v>
      </c>
      <c r="B227" s="5" t="s">
        <v>16</v>
      </c>
      <c r="C227" s="5" t="s">
        <v>17</v>
      </c>
      <c r="D227" s="5" t="s">
        <v>36</v>
      </c>
      <c r="E227" s="5" t="s">
        <v>19</v>
      </c>
      <c r="F227" s="5" t="s">
        <v>14</v>
      </c>
      <c r="G227" s="5" t="s">
        <v>24</v>
      </c>
      <c r="H227" s="5">
        <v>36653</v>
      </c>
      <c r="I227" s="5">
        <v>4968</v>
      </c>
      <c r="J227" s="6">
        <f t="shared" si="3"/>
        <v>31685</v>
      </c>
    </row>
    <row r="228" spans="1:10">
      <c r="A228" s="5">
        <v>27917</v>
      </c>
      <c r="B228" s="5" t="s">
        <v>16</v>
      </c>
      <c r="C228" s="5" t="s">
        <v>37</v>
      </c>
      <c r="D228" s="5" t="s">
        <v>30</v>
      </c>
      <c r="E228" s="5" t="s">
        <v>13</v>
      </c>
      <c r="F228" s="5" t="s">
        <v>14</v>
      </c>
      <c r="G228" s="5" t="s">
        <v>15</v>
      </c>
      <c r="H228" s="5">
        <v>22172</v>
      </c>
      <c r="I228" s="5">
        <v>384</v>
      </c>
      <c r="J228" s="6">
        <f t="shared" si="3"/>
        <v>21788</v>
      </c>
    </row>
    <row r="229" spans="1:10">
      <c r="A229" s="5">
        <v>181976</v>
      </c>
      <c r="B229" s="5" t="s">
        <v>10</v>
      </c>
      <c r="C229" s="5" t="s">
        <v>38</v>
      </c>
      <c r="D229" s="5" t="s">
        <v>23</v>
      </c>
      <c r="E229" s="5" t="s">
        <v>13</v>
      </c>
      <c r="F229" s="5" t="s">
        <v>14</v>
      </c>
      <c r="G229" s="5" t="s">
        <v>15</v>
      </c>
      <c r="H229" s="5">
        <v>108891</v>
      </c>
      <c r="I229" s="5">
        <v>323</v>
      </c>
      <c r="J229" s="6">
        <f t="shared" si="3"/>
        <v>108568</v>
      </c>
    </row>
    <row r="230" spans="1:10">
      <c r="A230" s="5">
        <v>231834</v>
      </c>
      <c r="B230" s="5" t="s">
        <v>16</v>
      </c>
      <c r="C230" s="5" t="s">
        <v>17</v>
      </c>
      <c r="D230" s="5" t="s">
        <v>18</v>
      </c>
      <c r="E230" s="5" t="s">
        <v>19</v>
      </c>
      <c r="F230" s="5" t="s">
        <v>28</v>
      </c>
      <c r="G230" s="5" t="s">
        <v>24</v>
      </c>
      <c r="H230" s="5">
        <v>17201</v>
      </c>
      <c r="I230" s="5">
        <v>0</v>
      </c>
      <c r="J230" s="6">
        <f t="shared" si="3"/>
        <v>17201</v>
      </c>
    </row>
    <row r="231" spans="1:10">
      <c r="A231" s="5">
        <v>77396</v>
      </c>
      <c r="B231" s="5" t="s">
        <v>16</v>
      </c>
      <c r="C231" s="5" t="s">
        <v>35</v>
      </c>
      <c r="D231" s="5" t="s">
        <v>30</v>
      </c>
      <c r="E231" s="5" t="s">
        <v>13</v>
      </c>
      <c r="F231" s="5" t="s">
        <v>14</v>
      </c>
      <c r="G231" s="5" t="s">
        <v>15</v>
      </c>
      <c r="H231" s="5">
        <v>75441</v>
      </c>
      <c r="I231" s="5">
        <v>3</v>
      </c>
      <c r="J231" s="6">
        <f t="shared" si="3"/>
        <v>75438</v>
      </c>
    </row>
    <row r="232" spans="1:10">
      <c r="A232" s="5">
        <v>225301</v>
      </c>
      <c r="B232" s="5" t="s">
        <v>10</v>
      </c>
      <c r="C232" s="5" t="s">
        <v>17</v>
      </c>
      <c r="D232" s="5" t="s">
        <v>23</v>
      </c>
      <c r="E232" s="5" t="s">
        <v>19</v>
      </c>
      <c r="F232" s="5" t="s">
        <v>14</v>
      </c>
      <c r="G232" s="5" t="s">
        <v>24</v>
      </c>
      <c r="H232" s="5">
        <v>58779</v>
      </c>
      <c r="I232" s="5">
        <v>6053</v>
      </c>
      <c r="J232" s="6">
        <f t="shared" si="3"/>
        <v>52726</v>
      </c>
    </row>
    <row r="233" spans="1:10">
      <c r="A233" s="5">
        <v>246298</v>
      </c>
      <c r="B233" s="5" t="s">
        <v>10</v>
      </c>
      <c r="C233" s="5" t="s">
        <v>17</v>
      </c>
      <c r="D233" s="5" t="s">
        <v>36</v>
      </c>
      <c r="E233" s="5" t="s">
        <v>19</v>
      </c>
      <c r="F233" s="5" t="s">
        <v>14</v>
      </c>
      <c r="G233" s="5" t="s">
        <v>24</v>
      </c>
      <c r="H233" s="5">
        <v>63738</v>
      </c>
      <c r="I233" s="5">
        <v>277</v>
      </c>
      <c r="J233" s="6">
        <f t="shared" si="3"/>
        <v>63461</v>
      </c>
    </row>
    <row r="234" spans="1:10">
      <c r="A234" s="5">
        <v>199986</v>
      </c>
      <c r="B234" s="5" t="s">
        <v>10</v>
      </c>
      <c r="C234" s="5" t="s">
        <v>39</v>
      </c>
      <c r="D234" s="5" t="s">
        <v>12</v>
      </c>
      <c r="E234" s="5" t="s">
        <v>13</v>
      </c>
      <c r="F234" s="5" t="s">
        <v>14</v>
      </c>
      <c r="G234" s="5" t="s">
        <v>15</v>
      </c>
      <c r="H234" s="5">
        <v>41728</v>
      </c>
      <c r="I234" s="5">
        <v>4823</v>
      </c>
      <c r="J234" s="6">
        <f t="shared" si="3"/>
        <v>36905</v>
      </c>
    </row>
    <row r="235" spans="1:10">
      <c r="A235" s="5">
        <v>217366</v>
      </c>
      <c r="B235" s="5" t="s">
        <v>16</v>
      </c>
      <c r="C235" s="5" t="s">
        <v>38</v>
      </c>
      <c r="D235" s="5" t="s">
        <v>33</v>
      </c>
      <c r="E235" s="5" t="s">
        <v>19</v>
      </c>
      <c r="F235" s="5" t="s">
        <v>14</v>
      </c>
      <c r="G235" s="5" t="s">
        <v>15</v>
      </c>
      <c r="H235" s="5">
        <v>78487</v>
      </c>
      <c r="I235" s="5">
        <v>9548</v>
      </c>
      <c r="J235" s="6">
        <f t="shared" si="3"/>
        <v>68939</v>
      </c>
    </row>
    <row r="236" spans="1:10">
      <c r="A236" s="5">
        <v>242141</v>
      </c>
      <c r="B236" s="5" t="s">
        <v>16</v>
      </c>
      <c r="C236" s="5" t="s">
        <v>22</v>
      </c>
      <c r="D236" s="5" t="s">
        <v>30</v>
      </c>
      <c r="E236" s="5" t="s">
        <v>19</v>
      </c>
      <c r="F236" s="5" t="s">
        <v>28</v>
      </c>
      <c r="G236" s="5" t="s">
        <v>24</v>
      </c>
      <c r="H236" s="5">
        <v>69216</v>
      </c>
      <c r="I236" s="5">
        <v>1182</v>
      </c>
      <c r="J236" s="6">
        <f t="shared" si="3"/>
        <v>68034</v>
      </c>
    </row>
    <row r="237" spans="1:10">
      <c r="A237" s="5">
        <v>97468</v>
      </c>
      <c r="B237" s="5" t="s">
        <v>16</v>
      </c>
      <c r="C237" s="5" t="s">
        <v>34</v>
      </c>
      <c r="D237" s="5" t="s">
        <v>33</v>
      </c>
      <c r="E237" s="5" t="s">
        <v>13</v>
      </c>
      <c r="F237" s="5" t="s">
        <v>14</v>
      </c>
      <c r="G237" s="5" t="s">
        <v>15</v>
      </c>
      <c r="H237" s="5">
        <v>74018</v>
      </c>
      <c r="I237" s="5">
        <v>6829</v>
      </c>
      <c r="J237" s="6">
        <f t="shared" si="3"/>
        <v>67189</v>
      </c>
    </row>
    <row r="238" spans="1:10">
      <c r="A238" s="5">
        <v>85569</v>
      </c>
      <c r="B238" s="5" t="s">
        <v>16</v>
      </c>
      <c r="C238" s="5" t="s">
        <v>34</v>
      </c>
      <c r="D238" s="5" t="s">
        <v>30</v>
      </c>
      <c r="E238" s="5" t="s">
        <v>13</v>
      </c>
      <c r="F238" s="5" t="s">
        <v>28</v>
      </c>
      <c r="G238" s="5" t="s">
        <v>15</v>
      </c>
      <c r="H238" s="5">
        <v>41702</v>
      </c>
      <c r="I238" s="5">
        <v>553</v>
      </c>
      <c r="J238" s="6">
        <f t="shared" si="3"/>
        <v>41149</v>
      </c>
    </row>
    <row r="239" spans="1:10">
      <c r="A239" s="5">
        <v>155266</v>
      </c>
      <c r="B239" s="5" t="s">
        <v>16</v>
      </c>
      <c r="C239" s="5" t="s">
        <v>17</v>
      </c>
      <c r="D239" s="5" t="s">
        <v>26</v>
      </c>
      <c r="E239" s="5" t="s">
        <v>19</v>
      </c>
      <c r="F239" s="5" t="s">
        <v>28</v>
      </c>
      <c r="G239" s="5" t="s">
        <v>24</v>
      </c>
      <c r="H239" s="5">
        <v>15157</v>
      </c>
      <c r="I239" s="5">
        <v>249</v>
      </c>
      <c r="J239" s="6">
        <f t="shared" si="3"/>
        <v>14908</v>
      </c>
    </row>
    <row r="240" spans="1:10">
      <c r="A240" s="5">
        <v>124361</v>
      </c>
      <c r="B240" s="5" t="s">
        <v>10</v>
      </c>
      <c r="C240" s="5" t="s">
        <v>35</v>
      </c>
      <c r="D240" s="5" t="s">
        <v>30</v>
      </c>
      <c r="E240" s="5" t="s">
        <v>13</v>
      </c>
      <c r="F240" s="5" t="s">
        <v>28</v>
      </c>
      <c r="G240" s="5" t="s">
        <v>24</v>
      </c>
      <c r="H240" s="5">
        <v>3053</v>
      </c>
      <c r="I240" s="5">
        <v>0</v>
      </c>
      <c r="J240" s="6">
        <f t="shared" si="3"/>
        <v>3053</v>
      </c>
    </row>
    <row r="241" spans="1:10">
      <c r="A241" s="5">
        <v>126252</v>
      </c>
      <c r="B241" s="5" t="s">
        <v>10</v>
      </c>
      <c r="C241" s="5" t="s">
        <v>27</v>
      </c>
      <c r="D241" s="5" t="s">
        <v>29</v>
      </c>
      <c r="E241" s="5" t="s">
        <v>19</v>
      </c>
      <c r="F241" s="5" t="s">
        <v>14</v>
      </c>
      <c r="G241" s="5" t="s">
        <v>24</v>
      </c>
      <c r="H241" s="5">
        <v>63393</v>
      </c>
      <c r="I241" s="5">
        <v>322</v>
      </c>
      <c r="J241" s="6">
        <f t="shared" si="3"/>
        <v>63071</v>
      </c>
    </row>
    <row r="242" spans="1:10">
      <c r="A242" s="5">
        <v>5768</v>
      </c>
      <c r="B242" s="5" t="s">
        <v>16</v>
      </c>
      <c r="C242" s="5" t="s">
        <v>20</v>
      </c>
      <c r="D242" s="5" t="s">
        <v>32</v>
      </c>
      <c r="E242" s="5" t="s">
        <v>19</v>
      </c>
      <c r="F242" s="5" t="s">
        <v>28</v>
      </c>
      <c r="G242" s="5" t="s">
        <v>24</v>
      </c>
      <c r="H242" s="5">
        <v>586</v>
      </c>
      <c r="I242" s="5">
        <v>0</v>
      </c>
      <c r="J242" s="6">
        <f t="shared" si="3"/>
        <v>586</v>
      </c>
    </row>
    <row r="243" spans="1:10">
      <c r="A243" s="5">
        <v>129168</v>
      </c>
      <c r="B243" s="5" t="s">
        <v>10</v>
      </c>
      <c r="C243" s="5" t="s">
        <v>22</v>
      </c>
      <c r="D243" s="5" t="s">
        <v>29</v>
      </c>
      <c r="E243" s="5" t="s">
        <v>13</v>
      </c>
      <c r="F243" s="5" t="s">
        <v>14</v>
      </c>
      <c r="G243" s="5" t="s">
        <v>15</v>
      </c>
      <c r="H243" s="5">
        <v>103123</v>
      </c>
      <c r="I243" s="5">
        <v>2704</v>
      </c>
      <c r="J243" s="6">
        <f t="shared" si="3"/>
        <v>100419</v>
      </c>
    </row>
    <row r="244" spans="1:10">
      <c r="A244" s="5">
        <v>97558</v>
      </c>
      <c r="B244" s="5" t="s">
        <v>10</v>
      </c>
      <c r="C244" s="5" t="s">
        <v>38</v>
      </c>
      <c r="D244" s="5" t="s">
        <v>29</v>
      </c>
      <c r="E244" s="5" t="s">
        <v>13</v>
      </c>
      <c r="F244" s="5" t="s">
        <v>14</v>
      </c>
      <c r="G244" s="5" t="s">
        <v>15</v>
      </c>
      <c r="H244" s="5">
        <v>74064</v>
      </c>
      <c r="I244" s="5">
        <v>833</v>
      </c>
      <c r="J244" s="6">
        <f t="shared" si="3"/>
        <v>73231</v>
      </c>
    </row>
    <row r="245" spans="1:10">
      <c r="A245" s="5">
        <v>34646</v>
      </c>
      <c r="B245" s="5" t="s">
        <v>16</v>
      </c>
      <c r="C245" s="5" t="s">
        <v>34</v>
      </c>
      <c r="D245" s="5" t="s">
        <v>26</v>
      </c>
      <c r="E245" s="5" t="s">
        <v>19</v>
      </c>
      <c r="F245" s="5" t="s">
        <v>14</v>
      </c>
      <c r="G245" s="5" t="s">
        <v>24</v>
      </c>
      <c r="H245" s="5">
        <v>38693</v>
      </c>
      <c r="I245" s="5">
        <v>736</v>
      </c>
      <c r="J245" s="6">
        <f t="shared" si="3"/>
        <v>37957</v>
      </c>
    </row>
    <row r="246" spans="1:10">
      <c r="A246" s="5">
        <v>170803</v>
      </c>
      <c r="B246" s="5" t="s">
        <v>10</v>
      </c>
      <c r="C246" s="5" t="s">
        <v>17</v>
      </c>
      <c r="D246" s="5" t="s">
        <v>26</v>
      </c>
      <c r="E246" s="5" t="s">
        <v>19</v>
      </c>
      <c r="F246" s="5" t="s">
        <v>14</v>
      </c>
      <c r="G246" s="5" t="s">
        <v>24</v>
      </c>
      <c r="H246" s="5">
        <v>8702</v>
      </c>
      <c r="I246" s="5">
        <v>0</v>
      </c>
      <c r="J246" s="6">
        <f t="shared" si="3"/>
        <v>8702</v>
      </c>
    </row>
    <row r="247" spans="1:10">
      <c r="A247" s="5">
        <v>89982</v>
      </c>
      <c r="B247" s="5" t="s">
        <v>10</v>
      </c>
      <c r="C247" s="5" t="s">
        <v>37</v>
      </c>
      <c r="D247" s="5" t="s">
        <v>29</v>
      </c>
      <c r="E247" s="5" t="s">
        <v>13</v>
      </c>
      <c r="F247" s="5" t="s">
        <v>28</v>
      </c>
      <c r="G247" s="5" t="s">
        <v>15</v>
      </c>
      <c r="H247" s="5">
        <v>41147</v>
      </c>
      <c r="I247" s="5">
        <v>500</v>
      </c>
      <c r="J247" s="6">
        <f t="shared" si="3"/>
        <v>40647</v>
      </c>
    </row>
    <row r="248" spans="1:10">
      <c r="A248" s="5">
        <v>204823</v>
      </c>
      <c r="B248" s="5" t="s">
        <v>16</v>
      </c>
      <c r="C248" s="5" t="s">
        <v>34</v>
      </c>
      <c r="D248" s="5" t="s">
        <v>33</v>
      </c>
      <c r="E248" s="5" t="s">
        <v>13</v>
      </c>
      <c r="F248" s="5" t="s">
        <v>14</v>
      </c>
      <c r="G248" s="5" t="s">
        <v>15</v>
      </c>
      <c r="H248" s="5">
        <v>72696</v>
      </c>
      <c r="I248" s="5">
        <v>1176</v>
      </c>
      <c r="J248" s="6">
        <f t="shared" si="3"/>
        <v>71520</v>
      </c>
    </row>
    <row r="249" spans="1:10">
      <c r="A249" s="5">
        <v>1111</v>
      </c>
      <c r="B249" s="5" t="s">
        <v>16</v>
      </c>
      <c r="C249" s="5" t="s">
        <v>20</v>
      </c>
      <c r="D249" s="5" t="s">
        <v>32</v>
      </c>
      <c r="E249" s="5" t="s">
        <v>19</v>
      </c>
      <c r="F249" s="5" t="s">
        <v>28</v>
      </c>
      <c r="G249" s="5" t="s">
        <v>24</v>
      </c>
      <c r="H249" s="5">
        <v>222</v>
      </c>
      <c r="I249" s="5">
        <v>0</v>
      </c>
      <c r="J249" s="6">
        <f t="shared" si="3"/>
        <v>222</v>
      </c>
    </row>
    <row r="250" spans="1:10">
      <c r="A250" s="5">
        <v>145524</v>
      </c>
      <c r="B250" s="5" t="s">
        <v>16</v>
      </c>
      <c r="C250" s="5" t="s">
        <v>22</v>
      </c>
      <c r="D250" s="5" t="s">
        <v>30</v>
      </c>
      <c r="E250" s="5" t="s">
        <v>13</v>
      </c>
      <c r="F250" s="5" t="s">
        <v>14</v>
      </c>
      <c r="G250" s="5" t="s">
        <v>15</v>
      </c>
      <c r="H250" s="5">
        <v>19880</v>
      </c>
      <c r="I250" s="5">
        <v>425</v>
      </c>
      <c r="J250" s="6">
        <f t="shared" si="3"/>
        <v>19455</v>
      </c>
    </row>
    <row r="251" spans="1:10">
      <c r="A251" s="5">
        <v>160653</v>
      </c>
      <c r="B251" s="5" t="s">
        <v>16</v>
      </c>
      <c r="C251" s="5" t="s">
        <v>22</v>
      </c>
      <c r="D251" s="5" t="s">
        <v>33</v>
      </c>
      <c r="E251" s="5" t="s">
        <v>13</v>
      </c>
      <c r="F251" s="5" t="s">
        <v>14</v>
      </c>
      <c r="G251" s="5" t="s">
        <v>15</v>
      </c>
      <c r="H251" s="5">
        <v>8754</v>
      </c>
      <c r="I251" s="5">
        <v>277</v>
      </c>
      <c r="J251" s="6">
        <f t="shared" si="3"/>
        <v>8477</v>
      </c>
    </row>
    <row r="252" spans="1:10">
      <c r="A252" s="5">
        <v>155562</v>
      </c>
      <c r="B252" s="5" t="s">
        <v>16</v>
      </c>
      <c r="C252" s="5" t="s">
        <v>25</v>
      </c>
      <c r="D252" s="5" t="s">
        <v>30</v>
      </c>
      <c r="E252" s="5" t="s">
        <v>19</v>
      </c>
      <c r="F252" s="5" t="s">
        <v>14</v>
      </c>
      <c r="G252" s="5" t="s">
        <v>24</v>
      </c>
      <c r="H252" s="5">
        <v>53738</v>
      </c>
      <c r="I252" s="5">
        <v>2279</v>
      </c>
      <c r="J252" s="6">
        <f t="shared" si="3"/>
        <v>51459</v>
      </c>
    </row>
    <row r="253" spans="1:10">
      <c r="A253" s="5">
        <v>189908</v>
      </c>
      <c r="B253" s="5" t="s">
        <v>16</v>
      </c>
      <c r="C253" s="5" t="s">
        <v>37</v>
      </c>
      <c r="D253" s="5" t="s">
        <v>33</v>
      </c>
      <c r="E253" s="5" t="s">
        <v>13</v>
      </c>
      <c r="F253" s="5" t="s">
        <v>28</v>
      </c>
      <c r="G253" s="5" t="s">
        <v>15</v>
      </c>
      <c r="H253" s="5">
        <v>49797</v>
      </c>
      <c r="I253" s="5">
        <v>1748</v>
      </c>
      <c r="J253" s="6">
        <f t="shared" si="3"/>
        <v>48049</v>
      </c>
    </row>
    <row r="254" spans="1:10">
      <c r="A254" s="5">
        <v>248679</v>
      </c>
      <c r="B254" s="5" t="s">
        <v>16</v>
      </c>
      <c r="C254" s="5" t="s">
        <v>17</v>
      </c>
      <c r="D254" s="5" t="s">
        <v>26</v>
      </c>
      <c r="E254" s="5" t="s">
        <v>19</v>
      </c>
      <c r="F254" s="5" t="s">
        <v>14</v>
      </c>
      <c r="G254" s="5" t="s">
        <v>24</v>
      </c>
      <c r="H254" s="5">
        <v>17061</v>
      </c>
      <c r="I254" s="5">
        <v>629</v>
      </c>
      <c r="J254" s="6">
        <f t="shared" si="3"/>
        <v>16432</v>
      </c>
    </row>
    <row r="255" spans="1:10">
      <c r="A255" s="5">
        <v>255464</v>
      </c>
      <c r="B255" s="5" t="s">
        <v>10</v>
      </c>
      <c r="C255" s="5" t="s">
        <v>25</v>
      </c>
      <c r="D255" s="5" t="s">
        <v>23</v>
      </c>
      <c r="E255" s="5" t="s">
        <v>19</v>
      </c>
      <c r="F255" s="5" t="s">
        <v>14</v>
      </c>
      <c r="G255" s="5" t="s">
        <v>24</v>
      </c>
      <c r="H255" s="5">
        <v>53378</v>
      </c>
      <c r="I255" s="5">
        <v>1391</v>
      </c>
      <c r="J255" s="6">
        <f t="shared" si="3"/>
        <v>51987</v>
      </c>
    </row>
    <row r="256" spans="1:10">
      <c r="A256" s="5">
        <v>55612</v>
      </c>
      <c r="B256" s="5" t="s">
        <v>10</v>
      </c>
      <c r="C256" s="5" t="s">
        <v>11</v>
      </c>
      <c r="D256" s="5" t="s">
        <v>26</v>
      </c>
      <c r="E256" s="5" t="s">
        <v>19</v>
      </c>
      <c r="F256" s="5" t="s">
        <v>14</v>
      </c>
      <c r="G256" s="5" t="s">
        <v>24</v>
      </c>
      <c r="H256" s="5">
        <v>36553</v>
      </c>
      <c r="I256" s="5">
        <v>327</v>
      </c>
      <c r="J256" s="6">
        <f t="shared" si="3"/>
        <v>36226</v>
      </c>
    </row>
    <row r="257" spans="1:10">
      <c r="A257" s="5">
        <v>106980</v>
      </c>
      <c r="B257" s="5" t="s">
        <v>10</v>
      </c>
      <c r="C257" s="5" t="s">
        <v>25</v>
      </c>
      <c r="D257" s="5" t="s">
        <v>23</v>
      </c>
      <c r="E257" s="5" t="s">
        <v>13</v>
      </c>
      <c r="F257" s="5" t="s">
        <v>14</v>
      </c>
      <c r="G257" s="5" t="s">
        <v>24</v>
      </c>
      <c r="H257" s="5">
        <v>92204</v>
      </c>
      <c r="I257" s="5">
        <v>0</v>
      </c>
      <c r="J257" s="6">
        <f t="shared" si="3"/>
        <v>92204</v>
      </c>
    </row>
    <row r="258" spans="1:10">
      <c r="A258" s="5">
        <v>211071</v>
      </c>
      <c r="B258" s="5" t="s">
        <v>16</v>
      </c>
      <c r="C258" s="5" t="s">
        <v>34</v>
      </c>
      <c r="D258" s="5" t="s">
        <v>32</v>
      </c>
      <c r="E258" s="5" t="s">
        <v>13</v>
      </c>
      <c r="F258" s="5" t="s">
        <v>14</v>
      </c>
      <c r="G258" s="5" t="s">
        <v>15</v>
      </c>
      <c r="H258" s="5">
        <v>46032</v>
      </c>
      <c r="I258" s="5">
        <v>0</v>
      </c>
      <c r="J258" s="6">
        <f t="shared" ref="J258:J321" si="4">H258-I258</f>
        <v>46032</v>
      </c>
    </row>
    <row r="259" spans="1:10">
      <c r="A259" s="5">
        <v>199778</v>
      </c>
      <c r="B259" s="5" t="s">
        <v>16</v>
      </c>
      <c r="C259" s="5" t="s">
        <v>37</v>
      </c>
      <c r="D259" s="5" t="s">
        <v>12</v>
      </c>
      <c r="E259" s="5" t="s">
        <v>13</v>
      </c>
      <c r="F259" s="5" t="s">
        <v>28</v>
      </c>
      <c r="G259" s="5" t="s">
        <v>15</v>
      </c>
      <c r="H259" s="5">
        <v>164860</v>
      </c>
      <c r="I259" s="5">
        <v>1078</v>
      </c>
      <c r="J259" s="6">
        <f t="shared" si="4"/>
        <v>163782</v>
      </c>
    </row>
    <row r="260" spans="1:10">
      <c r="A260" s="5">
        <v>108475</v>
      </c>
      <c r="B260" s="5" t="s">
        <v>10</v>
      </c>
      <c r="C260" s="5" t="s">
        <v>25</v>
      </c>
      <c r="D260" s="5" t="s">
        <v>29</v>
      </c>
      <c r="E260" s="5" t="s">
        <v>19</v>
      </c>
      <c r="F260" s="5" t="s">
        <v>28</v>
      </c>
      <c r="G260" s="5" t="s">
        <v>24</v>
      </c>
      <c r="H260" s="5">
        <v>20390</v>
      </c>
      <c r="I260" s="5">
        <v>3838</v>
      </c>
      <c r="J260" s="6">
        <f t="shared" si="4"/>
        <v>16552</v>
      </c>
    </row>
    <row r="261" spans="1:10">
      <c r="A261" s="5">
        <v>190176</v>
      </c>
      <c r="B261" s="5" t="s">
        <v>10</v>
      </c>
      <c r="C261" s="5" t="s">
        <v>20</v>
      </c>
      <c r="D261" s="5" t="s">
        <v>32</v>
      </c>
      <c r="E261" s="5" t="s">
        <v>19</v>
      </c>
      <c r="F261" s="5" t="s">
        <v>28</v>
      </c>
      <c r="G261" s="5" t="s">
        <v>24</v>
      </c>
      <c r="H261" s="5">
        <v>411</v>
      </c>
      <c r="I261" s="5">
        <v>0</v>
      </c>
      <c r="J261" s="6">
        <f t="shared" si="4"/>
        <v>411</v>
      </c>
    </row>
    <row r="262" spans="1:10">
      <c r="A262" s="5">
        <v>52074</v>
      </c>
      <c r="B262" s="5" t="s">
        <v>10</v>
      </c>
      <c r="C262" s="5" t="s">
        <v>35</v>
      </c>
      <c r="D262" s="5" t="s">
        <v>12</v>
      </c>
      <c r="E262" s="5" t="s">
        <v>13</v>
      </c>
      <c r="F262" s="5" t="s">
        <v>14</v>
      </c>
      <c r="G262" s="5" t="s">
        <v>15</v>
      </c>
      <c r="H262" s="5">
        <v>362528</v>
      </c>
      <c r="I262" s="5">
        <v>8664</v>
      </c>
      <c r="J262" s="6">
        <f t="shared" si="4"/>
        <v>353864</v>
      </c>
    </row>
    <row r="263" spans="1:10">
      <c r="A263" s="5">
        <v>178274</v>
      </c>
      <c r="B263" s="5" t="s">
        <v>16</v>
      </c>
      <c r="C263" s="5" t="s">
        <v>27</v>
      </c>
      <c r="D263" s="5" t="s">
        <v>12</v>
      </c>
      <c r="E263" s="5" t="s">
        <v>13</v>
      </c>
      <c r="F263" s="5" t="s">
        <v>28</v>
      </c>
      <c r="G263" s="5" t="s">
        <v>15</v>
      </c>
      <c r="H263" s="5">
        <v>84012</v>
      </c>
      <c r="I263" s="5">
        <v>414</v>
      </c>
      <c r="J263" s="6">
        <f t="shared" si="4"/>
        <v>83598</v>
      </c>
    </row>
    <row r="264" spans="1:10">
      <c r="A264" s="5">
        <v>180373</v>
      </c>
      <c r="B264" s="5" t="s">
        <v>16</v>
      </c>
      <c r="C264" s="5" t="s">
        <v>31</v>
      </c>
      <c r="D264" s="5" t="s">
        <v>18</v>
      </c>
      <c r="E264" s="5" t="s">
        <v>19</v>
      </c>
      <c r="F264" s="5" t="s">
        <v>28</v>
      </c>
      <c r="G264" s="5" t="s">
        <v>24</v>
      </c>
      <c r="H264" s="5">
        <v>11932</v>
      </c>
      <c r="I264" s="5">
        <v>47</v>
      </c>
      <c r="J264" s="6">
        <f t="shared" si="4"/>
        <v>11885</v>
      </c>
    </row>
    <row r="265" spans="1:10">
      <c r="A265" s="5">
        <v>119636</v>
      </c>
      <c r="B265" s="5" t="s">
        <v>10</v>
      </c>
      <c r="C265" s="5" t="s">
        <v>27</v>
      </c>
      <c r="D265" s="5" t="s">
        <v>23</v>
      </c>
      <c r="E265" s="5" t="s">
        <v>19</v>
      </c>
      <c r="F265" s="5" t="s">
        <v>28</v>
      </c>
      <c r="G265" s="5" t="s">
        <v>15</v>
      </c>
      <c r="H265" s="5">
        <v>87820</v>
      </c>
      <c r="I265" s="5">
        <v>0</v>
      </c>
      <c r="J265" s="6">
        <f t="shared" si="4"/>
        <v>87820</v>
      </c>
    </row>
    <row r="266" spans="1:10">
      <c r="A266" s="5">
        <v>167884</v>
      </c>
      <c r="B266" s="5" t="s">
        <v>10</v>
      </c>
      <c r="C266" s="5" t="s">
        <v>27</v>
      </c>
      <c r="D266" s="5" t="s">
        <v>12</v>
      </c>
      <c r="E266" s="5" t="s">
        <v>13</v>
      </c>
      <c r="F266" s="5" t="s">
        <v>14</v>
      </c>
      <c r="G266" s="5" t="s">
        <v>24</v>
      </c>
      <c r="H266" s="5">
        <v>63677</v>
      </c>
      <c r="I266" s="5">
        <v>2524</v>
      </c>
      <c r="J266" s="6">
        <f t="shared" si="4"/>
        <v>61153</v>
      </c>
    </row>
    <row r="267" spans="1:10">
      <c r="A267" s="5">
        <v>197204</v>
      </c>
      <c r="B267" s="5" t="s">
        <v>10</v>
      </c>
      <c r="C267" s="5" t="s">
        <v>34</v>
      </c>
      <c r="D267" s="5" t="s">
        <v>29</v>
      </c>
      <c r="E267" s="5" t="s">
        <v>13</v>
      </c>
      <c r="F267" s="5" t="s">
        <v>28</v>
      </c>
      <c r="G267" s="5" t="s">
        <v>24</v>
      </c>
      <c r="H267" s="5">
        <v>41408</v>
      </c>
      <c r="I267" s="5">
        <v>403</v>
      </c>
      <c r="J267" s="6">
        <f t="shared" si="4"/>
        <v>41005</v>
      </c>
    </row>
    <row r="268" spans="1:10">
      <c r="A268" s="5">
        <v>109440</v>
      </c>
      <c r="B268" s="5" t="s">
        <v>10</v>
      </c>
      <c r="C268" s="5" t="s">
        <v>22</v>
      </c>
      <c r="D268" s="5" t="s">
        <v>36</v>
      </c>
      <c r="E268" s="5" t="s">
        <v>19</v>
      </c>
      <c r="F268" s="5" t="s">
        <v>28</v>
      </c>
      <c r="G268" s="5" t="s">
        <v>24</v>
      </c>
      <c r="H268" s="5">
        <v>687</v>
      </c>
      <c r="I268" s="5">
        <v>0</v>
      </c>
      <c r="J268" s="6">
        <f t="shared" si="4"/>
        <v>687</v>
      </c>
    </row>
    <row r="269" spans="1:10">
      <c r="A269" s="5">
        <v>86176</v>
      </c>
      <c r="B269" s="5" t="s">
        <v>10</v>
      </c>
      <c r="C269" s="5" t="s">
        <v>20</v>
      </c>
      <c r="D269" s="5" t="s">
        <v>32</v>
      </c>
      <c r="E269" s="5" t="s">
        <v>13</v>
      </c>
      <c r="F269" s="5" t="s">
        <v>14</v>
      </c>
      <c r="G269" s="5" t="s">
        <v>15</v>
      </c>
      <c r="H269" s="5">
        <v>24043</v>
      </c>
      <c r="I269" s="5">
        <v>344</v>
      </c>
      <c r="J269" s="6">
        <f t="shared" si="4"/>
        <v>23699</v>
      </c>
    </row>
    <row r="270" spans="1:10">
      <c r="A270" s="5">
        <v>208917</v>
      </c>
      <c r="B270" s="5" t="s">
        <v>10</v>
      </c>
      <c r="C270" s="5" t="s">
        <v>20</v>
      </c>
      <c r="D270" s="5" t="s">
        <v>32</v>
      </c>
      <c r="E270" s="5" t="s">
        <v>13</v>
      </c>
      <c r="F270" s="5" t="s">
        <v>14</v>
      </c>
      <c r="G270" s="5" t="s">
        <v>15</v>
      </c>
      <c r="H270" s="5">
        <v>18083</v>
      </c>
      <c r="I270" s="5">
        <v>0</v>
      </c>
      <c r="J270" s="6">
        <f t="shared" si="4"/>
        <v>18083</v>
      </c>
    </row>
    <row r="271" spans="1:10">
      <c r="A271" s="5">
        <v>118722</v>
      </c>
      <c r="B271" s="5" t="s">
        <v>10</v>
      </c>
      <c r="C271" s="5" t="s">
        <v>31</v>
      </c>
      <c r="D271" s="5" t="s">
        <v>26</v>
      </c>
      <c r="E271" s="5" t="s">
        <v>19</v>
      </c>
      <c r="F271" s="5" t="s">
        <v>14</v>
      </c>
      <c r="G271" s="5" t="s">
        <v>24</v>
      </c>
      <c r="H271" s="5">
        <v>21621</v>
      </c>
      <c r="I271" s="5">
        <v>388</v>
      </c>
      <c r="J271" s="6">
        <f t="shared" si="4"/>
        <v>21233</v>
      </c>
    </row>
    <row r="272" spans="1:10">
      <c r="A272" s="5">
        <v>93846</v>
      </c>
      <c r="B272" s="5" t="s">
        <v>10</v>
      </c>
      <c r="C272" s="5" t="s">
        <v>39</v>
      </c>
      <c r="D272" s="5" t="s">
        <v>23</v>
      </c>
      <c r="E272" s="5" t="s">
        <v>13</v>
      </c>
      <c r="F272" s="5" t="s">
        <v>14</v>
      </c>
      <c r="G272" s="5" t="s">
        <v>15</v>
      </c>
      <c r="H272" s="5">
        <v>45731</v>
      </c>
      <c r="I272" s="5">
        <v>243</v>
      </c>
      <c r="J272" s="6">
        <f t="shared" si="4"/>
        <v>45488</v>
      </c>
    </row>
    <row r="273" spans="1:10">
      <c r="A273" s="5">
        <v>20849</v>
      </c>
      <c r="B273" s="5" t="s">
        <v>16</v>
      </c>
      <c r="C273" s="5" t="s">
        <v>11</v>
      </c>
      <c r="D273" s="5" t="s">
        <v>32</v>
      </c>
      <c r="E273" s="5" t="s">
        <v>13</v>
      </c>
      <c r="F273" s="5" t="s">
        <v>14</v>
      </c>
      <c r="G273" s="5" t="s">
        <v>24</v>
      </c>
      <c r="H273" s="5">
        <v>-989</v>
      </c>
      <c r="I273" s="5">
        <v>0</v>
      </c>
      <c r="J273" s="6">
        <f t="shared" si="4"/>
        <v>-989</v>
      </c>
    </row>
    <row r="274" spans="1:10">
      <c r="A274" s="5">
        <v>28219</v>
      </c>
      <c r="B274" s="5" t="s">
        <v>10</v>
      </c>
      <c r="C274" s="5" t="s">
        <v>35</v>
      </c>
      <c r="D274" s="5" t="s">
        <v>36</v>
      </c>
      <c r="E274" s="5" t="s">
        <v>13</v>
      </c>
      <c r="F274" s="5" t="s">
        <v>14</v>
      </c>
      <c r="G274" s="5" t="s">
        <v>24</v>
      </c>
      <c r="H274" s="5">
        <v>66338</v>
      </c>
      <c r="I274" s="5">
        <v>883</v>
      </c>
      <c r="J274" s="6">
        <f t="shared" si="4"/>
        <v>65455</v>
      </c>
    </row>
    <row r="275" spans="1:10">
      <c r="A275" s="5">
        <v>151465</v>
      </c>
      <c r="B275" s="5" t="s">
        <v>10</v>
      </c>
      <c r="C275" s="5" t="s">
        <v>11</v>
      </c>
      <c r="D275" s="5" t="s">
        <v>26</v>
      </c>
      <c r="E275" s="5" t="s">
        <v>13</v>
      </c>
      <c r="F275" s="5" t="s">
        <v>14</v>
      </c>
      <c r="G275" s="5" t="s">
        <v>24</v>
      </c>
      <c r="H275" s="5">
        <v>63322</v>
      </c>
      <c r="I275" s="5">
        <v>252</v>
      </c>
      <c r="J275" s="6">
        <f t="shared" si="4"/>
        <v>63070</v>
      </c>
    </row>
    <row r="276" spans="1:10">
      <c r="A276" s="5">
        <v>63809</v>
      </c>
      <c r="B276" s="5" t="s">
        <v>10</v>
      </c>
      <c r="C276" s="5" t="s">
        <v>27</v>
      </c>
      <c r="D276" s="5" t="s">
        <v>26</v>
      </c>
      <c r="E276" s="5" t="s">
        <v>19</v>
      </c>
      <c r="F276" s="5" t="s">
        <v>14</v>
      </c>
      <c r="G276" s="5" t="s">
        <v>24</v>
      </c>
      <c r="H276" s="5">
        <v>19786</v>
      </c>
      <c r="I276" s="5">
        <v>338</v>
      </c>
      <c r="J276" s="6">
        <f t="shared" si="4"/>
        <v>19448</v>
      </c>
    </row>
    <row r="277" spans="1:10">
      <c r="A277" s="5">
        <v>46731</v>
      </c>
      <c r="B277" s="5" t="s">
        <v>16</v>
      </c>
      <c r="C277" s="5" t="s">
        <v>37</v>
      </c>
      <c r="D277" s="5" t="s">
        <v>33</v>
      </c>
      <c r="E277" s="5" t="s">
        <v>13</v>
      </c>
      <c r="F277" s="5" t="s">
        <v>14</v>
      </c>
      <c r="G277" s="5" t="s">
        <v>15</v>
      </c>
      <c r="H277" s="5">
        <v>46660</v>
      </c>
      <c r="I277" s="5">
        <v>963</v>
      </c>
      <c r="J277" s="6">
        <f t="shared" si="4"/>
        <v>45697</v>
      </c>
    </row>
    <row r="278" spans="1:10">
      <c r="A278" s="5">
        <v>57607</v>
      </c>
      <c r="B278" s="5" t="s">
        <v>10</v>
      </c>
      <c r="C278" s="5" t="s">
        <v>34</v>
      </c>
      <c r="D278" s="5" t="s">
        <v>32</v>
      </c>
      <c r="E278" s="5" t="s">
        <v>13</v>
      </c>
      <c r="F278" s="5" t="s">
        <v>28</v>
      </c>
      <c r="G278" s="5" t="s">
        <v>15</v>
      </c>
      <c r="H278" s="5">
        <v>115874</v>
      </c>
      <c r="I278" s="5">
        <v>1715</v>
      </c>
      <c r="J278" s="6">
        <f t="shared" si="4"/>
        <v>114159</v>
      </c>
    </row>
    <row r="279" spans="1:10">
      <c r="A279" s="5">
        <v>252311</v>
      </c>
      <c r="B279" s="5" t="s">
        <v>10</v>
      </c>
      <c r="C279" s="5" t="s">
        <v>17</v>
      </c>
      <c r="D279" s="5" t="s">
        <v>30</v>
      </c>
      <c r="E279" s="5" t="s">
        <v>19</v>
      </c>
      <c r="F279" s="5" t="s">
        <v>14</v>
      </c>
      <c r="G279" s="5" t="s">
        <v>15</v>
      </c>
      <c r="H279" s="5">
        <v>23868</v>
      </c>
      <c r="I279" s="5">
        <v>0</v>
      </c>
      <c r="J279" s="6">
        <f t="shared" si="4"/>
        <v>23868</v>
      </c>
    </row>
    <row r="280" spans="1:10">
      <c r="A280" s="5">
        <v>222043</v>
      </c>
      <c r="B280" s="5" t="s">
        <v>16</v>
      </c>
      <c r="C280" s="5" t="s">
        <v>25</v>
      </c>
      <c r="D280" s="5" t="s">
        <v>33</v>
      </c>
      <c r="E280" s="5" t="s">
        <v>13</v>
      </c>
      <c r="F280" s="5" t="s">
        <v>14</v>
      </c>
      <c r="G280" s="5" t="s">
        <v>15</v>
      </c>
      <c r="H280" s="5">
        <v>43868</v>
      </c>
      <c r="I280" s="5">
        <v>471</v>
      </c>
      <c r="J280" s="6">
        <f t="shared" si="4"/>
        <v>43397</v>
      </c>
    </row>
    <row r="281" spans="1:10">
      <c r="A281" s="5">
        <v>78939</v>
      </c>
      <c r="B281" s="5" t="s">
        <v>16</v>
      </c>
      <c r="C281" s="5" t="s">
        <v>20</v>
      </c>
      <c r="D281" s="5" t="s">
        <v>32</v>
      </c>
      <c r="E281" s="5" t="s">
        <v>13</v>
      </c>
      <c r="F281" s="5" t="s">
        <v>28</v>
      </c>
      <c r="G281" s="5" t="s">
        <v>15</v>
      </c>
      <c r="H281" s="5">
        <v>10966</v>
      </c>
      <c r="I281" s="5">
        <v>0</v>
      </c>
      <c r="J281" s="6">
        <f t="shared" si="4"/>
        <v>10966</v>
      </c>
    </row>
    <row r="282" spans="1:10">
      <c r="A282" s="5">
        <v>128173</v>
      </c>
      <c r="B282" s="5" t="s">
        <v>16</v>
      </c>
      <c r="C282" s="5" t="s">
        <v>22</v>
      </c>
      <c r="D282" s="5" t="s">
        <v>30</v>
      </c>
      <c r="E282" s="5" t="s">
        <v>13</v>
      </c>
      <c r="F282" s="5" t="s">
        <v>28</v>
      </c>
      <c r="G282" s="5" t="s">
        <v>15</v>
      </c>
      <c r="H282" s="5">
        <v>75468</v>
      </c>
      <c r="I282" s="5">
        <v>12</v>
      </c>
      <c r="J282" s="6">
        <f t="shared" si="4"/>
        <v>75456</v>
      </c>
    </row>
    <row r="283" spans="1:10">
      <c r="A283" s="5">
        <v>13408</v>
      </c>
      <c r="B283" s="5" t="s">
        <v>16</v>
      </c>
      <c r="C283" s="5" t="s">
        <v>34</v>
      </c>
      <c r="D283" s="5" t="s">
        <v>36</v>
      </c>
      <c r="E283" s="5" t="s">
        <v>13</v>
      </c>
      <c r="F283" s="5" t="s">
        <v>14</v>
      </c>
      <c r="G283" s="5" t="s">
        <v>24</v>
      </c>
      <c r="H283" s="5">
        <v>19340</v>
      </c>
      <c r="I283" s="5">
        <v>4583</v>
      </c>
      <c r="J283" s="6">
        <f t="shared" si="4"/>
        <v>14757</v>
      </c>
    </row>
    <row r="284" spans="1:10">
      <c r="A284" s="5">
        <v>176095</v>
      </c>
      <c r="B284" s="5" t="s">
        <v>16</v>
      </c>
      <c r="C284" s="5" t="s">
        <v>22</v>
      </c>
      <c r="D284" s="5" t="s">
        <v>30</v>
      </c>
      <c r="E284" s="5" t="s">
        <v>13</v>
      </c>
      <c r="F284" s="5" t="s">
        <v>28</v>
      </c>
      <c r="G284" s="5" t="s">
        <v>15</v>
      </c>
      <c r="H284" s="5">
        <v>204515</v>
      </c>
      <c r="I284" s="5">
        <v>3131</v>
      </c>
      <c r="J284" s="6">
        <f t="shared" si="4"/>
        <v>201384</v>
      </c>
    </row>
    <row r="285" spans="1:10">
      <c r="A285" s="5">
        <v>208936</v>
      </c>
      <c r="B285" s="5" t="s">
        <v>10</v>
      </c>
      <c r="C285" s="5" t="s">
        <v>38</v>
      </c>
      <c r="D285" s="5" t="s">
        <v>12</v>
      </c>
      <c r="E285" s="5" t="s">
        <v>13</v>
      </c>
      <c r="F285" s="5" t="s">
        <v>14</v>
      </c>
      <c r="G285" s="5" t="s">
        <v>15</v>
      </c>
      <c r="H285" s="5">
        <v>76777</v>
      </c>
      <c r="I285" s="5">
        <v>877</v>
      </c>
      <c r="J285" s="6">
        <f t="shared" si="4"/>
        <v>75900</v>
      </c>
    </row>
    <row r="286" spans="1:10">
      <c r="A286" s="5">
        <v>226207</v>
      </c>
      <c r="B286" s="5" t="s">
        <v>16</v>
      </c>
      <c r="C286" s="5" t="s">
        <v>25</v>
      </c>
      <c r="D286" s="5" t="s">
        <v>18</v>
      </c>
      <c r="E286" s="5" t="s">
        <v>19</v>
      </c>
      <c r="F286" s="5" t="s">
        <v>28</v>
      </c>
      <c r="G286" s="5" t="s">
        <v>24</v>
      </c>
      <c r="H286" s="5">
        <v>22865</v>
      </c>
      <c r="I286" s="5">
        <v>1045</v>
      </c>
      <c r="J286" s="6">
        <f t="shared" si="4"/>
        <v>21820</v>
      </c>
    </row>
    <row r="287" spans="1:10">
      <c r="A287" s="5">
        <v>79718</v>
      </c>
      <c r="B287" s="5" t="s">
        <v>16</v>
      </c>
      <c r="C287" s="5" t="s">
        <v>38</v>
      </c>
      <c r="D287" s="5" t="s">
        <v>30</v>
      </c>
      <c r="E287" s="5" t="s">
        <v>19</v>
      </c>
      <c r="F287" s="5" t="s">
        <v>14</v>
      </c>
      <c r="G287" s="5" t="s">
        <v>15</v>
      </c>
      <c r="H287" s="5">
        <v>170613</v>
      </c>
      <c r="I287" s="5">
        <v>9240</v>
      </c>
      <c r="J287" s="6">
        <f t="shared" si="4"/>
        <v>161373</v>
      </c>
    </row>
    <row r="288" spans="1:10">
      <c r="A288" s="5">
        <v>22739</v>
      </c>
      <c r="B288" s="5" t="s">
        <v>16</v>
      </c>
      <c r="C288" s="5" t="s">
        <v>11</v>
      </c>
      <c r="D288" s="5" t="s">
        <v>18</v>
      </c>
      <c r="E288" s="5" t="s">
        <v>13</v>
      </c>
      <c r="F288" s="5" t="s">
        <v>14</v>
      </c>
      <c r="G288" s="5" t="s">
        <v>15</v>
      </c>
      <c r="H288" s="5">
        <v>39073</v>
      </c>
      <c r="I288" s="5">
        <v>135</v>
      </c>
      <c r="J288" s="6">
        <f t="shared" si="4"/>
        <v>38938</v>
      </c>
    </row>
    <row r="289" spans="1:10">
      <c r="A289" s="5">
        <v>255004</v>
      </c>
      <c r="B289" s="5" t="s">
        <v>10</v>
      </c>
      <c r="C289" s="5" t="s">
        <v>17</v>
      </c>
      <c r="D289" s="5" t="s">
        <v>21</v>
      </c>
      <c r="E289" s="5" t="s">
        <v>19</v>
      </c>
      <c r="F289" s="5" t="s">
        <v>14</v>
      </c>
      <c r="G289" s="5" t="s">
        <v>24</v>
      </c>
      <c r="H289" s="5">
        <v>22825</v>
      </c>
      <c r="I289" s="5">
        <v>269</v>
      </c>
      <c r="J289" s="6">
        <f t="shared" si="4"/>
        <v>22556</v>
      </c>
    </row>
    <row r="290" spans="1:10">
      <c r="A290" s="5">
        <v>15439</v>
      </c>
      <c r="B290" s="5" t="s">
        <v>10</v>
      </c>
      <c r="C290" s="5" t="s">
        <v>11</v>
      </c>
      <c r="D290" s="5" t="s">
        <v>23</v>
      </c>
      <c r="E290" s="5" t="s">
        <v>13</v>
      </c>
      <c r="F290" s="5" t="s">
        <v>14</v>
      </c>
      <c r="G290" s="5" t="s">
        <v>24</v>
      </c>
      <c r="H290" s="5">
        <v>68022</v>
      </c>
      <c r="I290" s="5">
        <v>553</v>
      </c>
      <c r="J290" s="6">
        <f t="shared" si="4"/>
        <v>67469</v>
      </c>
    </row>
    <row r="291" spans="1:10">
      <c r="A291" s="5">
        <v>246317</v>
      </c>
      <c r="B291" s="5" t="s">
        <v>16</v>
      </c>
      <c r="C291" s="5" t="s">
        <v>17</v>
      </c>
      <c r="D291" s="5" t="s">
        <v>18</v>
      </c>
      <c r="E291" s="5" t="s">
        <v>19</v>
      </c>
      <c r="F291" s="5" t="s">
        <v>14</v>
      </c>
      <c r="G291" s="5" t="s">
        <v>15</v>
      </c>
      <c r="H291" s="5">
        <v>15649</v>
      </c>
      <c r="I291" s="5">
        <v>130</v>
      </c>
      <c r="J291" s="6">
        <f t="shared" si="4"/>
        <v>15519</v>
      </c>
    </row>
    <row r="292" spans="1:10">
      <c r="A292" s="5">
        <v>30618</v>
      </c>
      <c r="B292" s="5" t="s">
        <v>10</v>
      </c>
      <c r="C292" s="5" t="s">
        <v>11</v>
      </c>
      <c r="D292" s="5" t="s">
        <v>29</v>
      </c>
      <c r="E292" s="5" t="s">
        <v>19</v>
      </c>
      <c r="F292" s="5" t="s">
        <v>28</v>
      </c>
      <c r="G292" s="5" t="s">
        <v>24</v>
      </c>
      <c r="H292" s="5">
        <v>14902</v>
      </c>
      <c r="I292" s="5">
        <v>71</v>
      </c>
      <c r="J292" s="6">
        <f t="shared" si="4"/>
        <v>14831</v>
      </c>
    </row>
    <row r="293" spans="1:10">
      <c r="A293" s="5">
        <v>138220</v>
      </c>
      <c r="B293" s="5" t="s">
        <v>16</v>
      </c>
      <c r="C293" s="5" t="s">
        <v>25</v>
      </c>
      <c r="D293" s="5" t="s">
        <v>23</v>
      </c>
      <c r="E293" s="5" t="s">
        <v>19</v>
      </c>
      <c r="F293" s="5" t="s">
        <v>14</v>
      </c>
      <c r="G293" s="5" t="s">
        <v>15</v>
      </c>
      <c r="H293" s="5">
        <v>50117</v>
      </c>
      <c r="I293" s="5">
        <v>1579</v>
      </c>
      <c r="J293" s="6">
        <f t="shared" si="4"/>
        <v>48538</v>
      </c>
    </row>
    <row r="294" spans="1:10">
      <c r="A294" s="5">
        <v>14608</v>
      </c>
      <c r="B294" s="5" t="s">
        <v>16</v>
      </c>
      <c r="C294" s="5" t="s">
        <v>39</v>
      </c>
      <c r="D294" s="5" t="s">
        <v>32</v>
      </c>
      <c r="E294" s="5" t="s">
        <v>13</v>
      </c>
      <c r="F294" s="5" t="s">
        <v>14</v>
      </c>
      <c r="G294" s="5" t="s">
        <v>15</v>
      </c>
      <c r="H294" s="5">
        <v>10032</v>
      </c>
      <c r="I294" s="5">
        <v>1311</v>
      </c>
      <c r="J294" s="6">
        <f t="shared" si="4"/>
        <v>8721</v>
      </c>
    </row>
    <row r="295" spans="1:10">
      <c r="A295" s="5">
        <v>176137</v>
      </c>
      <c r="B295" s="5" t="s">
        <v>16</v>
      </c>
      <c r="C295" s="5" t="s">
        <v>25</v>
      </c>
      <c r="D295" s="5" t="s">
        <v>33</v>
      </c>
      <c r="E295" s="5" t="s">
        <v>13</v>
      </c>
      <c r="F295" s="5" t="s">
        <v>14</v>
      </c>
      <c r="G295" s="5" t="s">
        <v>15</v>
      </c>
      <c r="H295" s="5">
        <v>145393</v>
      </c>
      <c r="I295" s="5">
        <v>3046</v>
      </c>
      <c r="J295" s="6">
        <f t="shared" si="4"/>
        <v>142347</v>
      </c>
    </row>
    <row r="296" spans="1:10">
      <c r="A296" s="5">
        <v>93869</v>
      </c>
      <c r="B296" s="5" t="s">
        <v>10</v>
      </c>
      <c r="C296" s="5" t="s">
        <v>20</v>
      </c>
      <c r="D296" s="5" t="s">
        <v>32</v>
      </c>
      <c r="E296" s="5" t="s">
        <v>13</v>
      </c>
      <c r="F296" s="5" t="s">
        <v>14</v>
      </c>
      <c r="G296" s="5" t="s">
        <v>15</v>
      </c>
      <c r="H296" s="5">
        <v>1530</v>
      </c>
      <c r="I296" s="5">
        <v>0</v>
      </c>
      <c r="J296" s="6">
        <f t="shared" si="4"/>
        <v>1530</v>
      </c>
    </row>
    <row r="297" spans="1:10">
      <c r="A297" s="5">
        <v>122150</v>
      </c>
      <c r="B297" s="5" t="s">
        <v>16</v>
      </c>
      <c r="C297" s="5" t="s">
        <v>25</v>
      </c>
      <c r="D297" s="5" t="s">
        <v>30</v>
      </c>
      <c r="E297" s="5" t="s">
        <v>19</v>
      </c>
      <c r="F297" s="5" t="s">
        <v>14</v>
      </c>
      <c r="G297" s="5" t="s">
        <v>15</v>
      </c>
      <c r="H297" s="5">
        <v>45494</v>
      </c>
      <c r="I297" s="5">
        <v>2619</v>
      </c>
      <c r="J297" s="6">
        <f t="shared" si="4"/>
        <v>42875</v>
      </c>
    </row>
    <row r="298" spans="1:10">
      <c r="A298" s="5">
        <v>214004</v>
      </c>
      <c r="B298" s="5" t="s">
        <v>16</v>
      </c>
      <c r="C298" s="5" t="s">
        <v>38</v>
      </c>
      <c r="D298" s="5" t="s">
        <v>21</v>
      </c>
      <c r="E298" s="5" t="s">
        <v>19</v>
      </c>
      <c r="F298" s="5" t="s">
        <v>14</v>
      </c>
      <c r="G298" s="5" t="s">
        <v>24</v>
      </c>
      <c r="H298" s="5">
        <v>33927</v>
      </c>
      <c r="I298" s="5">
        <v>625</v>
      </c>
      <c r="J298" s="6">
        <f t="shared" si="4"/>
        <v>33302</v>
      </c>
    </row>
    <row r="299" spans="1:10">
      <c r="A299" s="5">
        <v>212726</v>
      </c>
      <c r="B299" s="5" t="s">
        <v>16</v>
      </c>
      <c r="C299" s="5" t="s">
        <v>34</v>
      </c>
      <c r="D299" s="5" t="s">
        <v>30</v>
      </c>
      <c r="E299" s="5" t="s">
        <v>13</v>
      </c>
      <c r="F299" s="5" t="s">
        <v>14</v>
      </c>
      <c r="G299" s="5" t="s">
        <v>15</v>
      </c>
      <c r="H299" s="5">
        <v>40478</v>
      </c>
      <c r="I299" s="5">
        <v>1196</v>
      </c>
      <c r="J299" s="6">
        <f t="shared" si="4"/>
        <v>39282</v>
      </c>
    </row>
    <row r="300" spans="1:10">
      <c r="A300" s="5">
        <v>138196</v>
      </c>
      <c r="B300" s="5" t="s">
        <v>10</v>
      </c>
      <c r="C300" s="5" t="s">
        <v>22</v>
      </c>
      <c r="D300" s="5" t="s">
        <v>32</v>
      </c>
      <c r="E300" s="5" t="s">
        <v>13</v>
      </c>
      <c r="F300" s="5" t="s">
        <v>14</v>
      </c>
      <c r="G300" s="5" t="s">
        <v>24</v>
      </c>
      <c r="H300" s="5">
        <v>48598</v>
      </c>
      <c r="I300" s="5">
        <v>89</v>
      </c>
      <c r="J300" s="6">
        <f t="shared" si="4"/>
        <v>48509</v>
      </c>
    </row>
    <row r="301" spans="1:10">
      <c r="A301" s="5">
        <v>197142</v>
      </c>
      <c r="B301" s="5" t="s">
        <v>10</v>
      </c>
      <c r="C301" s="5" t="s">
        <v>11</v>
      </c>
      <c r="D301" s="5" t="s">
        <v>29</v>
      </c>
      <c r="E301" s="5" t="s">
        <v>13</v>
      </c>
      <c r="F301" s="5" t="s">
        <v>14</v>
      </c>
      <c r="G301" s="5" t="s">
        <v>15</v>
      </c>
      <c r="H301" s="5">
        <v>64041</v>
      </c>
      <c r="I301" s="5">
        <v>479</v>
      </c>
      <c r="J301" s="6">
        <f t="shared" si="4"/>
        <v>63562</v>
      </c>
    </row>
    <row r="302" spans="1:10">
      <c r="A302" s="5">
        <v>16982</v>
      </c>
      <c r="B302" s="5" t="s">
        <v>16</v>
      </c>
      <c r="C302" s="5" t="s">
        <v>11</v>
      </c>
      <c r="D302" s="5" t="s">
        <v>36</v>
      </c>
      <c r="E302" s="5" t="s">
        <v>13</v>
      </c>
      <c r="F302" s="5" t="s">
        <v>14</v>
      </c>
      <c r="G302" s="5" t="s">
        <v>24</v>
      </c>
      <c r="H302" s="5">
        <v>278</v>
      </c>
      <c r="I302" s="5">
        <v>0</v>
      </c>
      <c r="J302" s="6">
        <f t="shared" si="4"/>
        <v>278</v>
      </c>
    </row>
    <row r="303" spans="1:10">
      <c r="A303" s="5">
        <v>195385</v>
      </c>
      <c r="B303" s="5" t="s">
        <v>10</v>
      </c>
      <c r="C303" s="5" t="s">
        <v>11</v>
      </c>
      <c r="D303" s="5" t="s">
        <v>29</v>
      </c>
      <c r="E303" s="5" t="s">
        <v>13</v>
      </c>
      <c r="F303" s="5" t="s">
        <v>14</v>
      </c>
      <c r="G303" s="5" t="s">
        <v>15</v>
      </c>
      <c r="H303" s="5">
        <v>107092</v>
      </c>
      <c r="I303" s="5">
        <v>9015</v>
      </c>
      <c r="J303" s="6">
        <f t="shared" si="4"/>
        <v>98077</v>
      </c>
    </row>
    <row r="304" spans="1:10">
      <c r="A304" s="5">
        <v>93997</v>
      </c>
      <c r="B304" s="5" t="s">
        <v>16</v>
      </c>
      <c r="C304" s="5" t="s">
        <v>38</v>
      </c>
      <c r="D304" s="5" t="s">
        <v>32</v>
      </c>
      <c r="E304" s="5" t="s">
        <v>13</v>
      </c>
      <c r="F304" s="5" t="s">
        <v>14</v>
      </c>
      <c r="G304" s="5" t="s">
        <v>15</v>
      </c>
      <c r="H304" s="5">
        <v>3202</v>
      </c>
      <c r="I304" s="5">
        <v>1089</v>
      </c>
      <c r="J304" s="6">
        <f t="shared" si="4"/>
        <v>2113</v>
      </c>
    </row>
    <row r="305" spans="1:10">
      <c r="A305" s="5">
        <v>95481</v>
      </c>
      <c r="B305" s="5" t="s">
        <v>16</v>
      </c>
      <c r="C305" s="5" t="s">
        <v>37</v>
      </c>
      <c r="D305" s="5" t="s">
        <v>30</v>
      </c>
      <c r="E305" s="5" t="s">
        <v>13</v>
      </c>
      <c r="F305" s="5" t="s">
        <v>14</v>
      </c>
      <c r="G305" s="5" t="s">
        <v>15</v>
      </c>
      <c r="H305" s="5">
        <v>45498</v>
      </c>
      <c r="I305" s="5">
        <v>3331</v>
      </c>
      <c r="J305" s="6">
        <f t="shared" si="4"/>
        <v>42167</v>
      </c>
    </row>
    <row r="306" spans="1:10">
      <c r="A306" s="5">
        <v>96643</v>
      </c>
      <c r="B306" s="5" t="s">
        <v>10</v>
      </c>
      <c r="C306" s="5" t="s">
        <v>34</v>
      </c>
      <c r="D306" s="5" t="s">
        <v>32</v>
      </c>
      <c r="E306" s="5" t="s">
        <v>13</v>
      </c>
      <c r="F306" s="5" t="s">
        <v>14</v>
      </c>
      <c r="G306" s="5" t="s">
        <v>15</v>
      </c>
      <c r="H306" s="5">
        <v>68615</v>
      </c>
      <c r="I306" s="5">
        <v>129</v>
      </c>
      <c r="J306" s="6">
        <f t="shared" si="4"/>
        <v>68486</v>
      </c>
    </row>
    <row r="307" spans="1:10">
      <c r="A307" s="5">
        <v>89401</v>
      </c>
      <c r="B307" s="5" t="s">
        <v>16</v>
      </c>
      <c r="C307" s="5" t="s">
        <v>37</v>
      </c>
      <c r="D307" s="5" t="s">
        <v>30</v>
      </c>
      <c r="E307" s="5" t="s">
        <v>19</v>
      </c>
      <c r="F307" s="5" t="s">
        <v>14</v>
      </c>
      <c r="G307" s="5" t="s">
        <v>24</v>
      </c>
      <c r="H307" s="5">
        <v>31488</v>
      </c>
      <c r="I307" s="5">
        <v>1881</v>
      </c>
      <c r="J307" s="6">
        <f t="shared" si="4"/>
        <v>29607</v>
      </c>
    </row>
    <row r="308" spans="1:10">
      <c r="A308" s="5">
        <v>257573</v>
      </c>
      <c r="B308" s="5" t="s">
        <v>10</v>
      </c>
      <c r="C308" s="5" t="s">
        <v>35</v>
      </c>
      <c r="D308" s="5" t="s">
        <v>33</v>
      </c>
      <c r="E308" s="5" t="s">
        <v>19</v>
      </c>
      <c r="F308" s="5" t="s">
        <v>14</v>
      </c>
      <c r="G308" s="5" t="s">
        <v>24</v>
      </c>
      <c r="H308" s="5">
        <v>38450</v>
      </c>
      <c r="I308" s="5">
        <v>3238</v>
      </c>
      <c r="J308" s="6">
        <f t="shared" si="4"/>
        <v>35212</v>
      </c>
    </row>
    <row r="309" spans="1:10">
      <c r="A309" s="5">
        <v>178658</v>
      </c>
      <c r="B309" s="5" t="s">
        <v>10</v>
      </c>
      <c r="C309" s="5" t="s">
        <v>17</v>
      </c>
      <c r="D309" s="5" t="s">
        <v>18</v>
      </c>
      <c r="E309" s="5" t="s">
        <v>19</v>
      </c>
      <c r="F309" s="5" t="s">
        <v>14</v>
      </c>
      <c r="G309" s="5" t="s">
        <v>24</v>
      </c>
      <c r="H309" s="5">
        <v>41728</v>
      </c>
      <c r="I309" s="5">
        <v>1119</v>
      </c>
      <c r="J309" s="6">
        <f t="shared" si="4"/>
        <v>40609</v>
      </c>
    </row>
    <row r="310" spans="1:10">
      <c r="A310" s="5">
        <v>225363</v>
      </c>
      <c r="B310" s="5" t="s">
        <v>10</v>
      </c>
      <c r="C310" s="5" t="s">
        <v>25</v>
      </c>
      <c r="D310" s="5" t="s">
        <v>23</v>
      </c>
      <c r="E310" s="5" t="s">
        <v>13</v>
      </c>
      <c r="F310" s="5" t="s">
        <v>28</v>
      </c>
      <c r="G310" s="5" t="s">
        <v>24</v>
      </c>
      <c r="H310" s="5">
        <v>52404</v>
      </c>
      <c r="I310" s="5">
        <v>2907</v>
      </c>
      <c r="J310" s="6">
        <f t="shared" si="4"/>
        <v>49497</v>
      </c>
    </row>
    <row r="311" spans="1:10">
      <c r="A311" s="5">
        <v>5070</v>
      </c>
      <c r="B311" s="5" t="s">
        <v>16</v>
      </c>
      <c r="C311" s="5" t="s">
        <v>37</v>
      </c>
      <c r="D311" s="5" t="s">
        <v>23</v>
      </c>
      <c r="E311" s="5" t="s">
        <v>13</v>
      </c>
      <c r="F311" s="5" t="s">
        <v>14</v>
      </c>
      <c r="G311" s="5" t="s">
        <v>24</v>
      </c>
      <c r="H311" s="5">
        <v>15171</v>
      </c>
      <c r="I311" s="5">
        <v>1358</v>
      </c>
      <c r="J311" s="6">
        <f t="shared" si="4"/>
        <v>13813</v>
      </c>
    </row>
    <row r="312" spans="1:10">
      <c r="A312" s="5">
        <v>48077</v>
      </c>
      <c r="B312" s="5" t="s">
        <v>16</v>
      </c>
      <c r="C312" s="5" t="s">
        <v>34</v>
      </c>
      <c r="D312" s="5" t="s">
        <v>36</v>
      </c>
      <c r="E312" s="5" t="s">
        <v>13</v>
      </c>
      <c r="F312" s="5" t="s">
        <v>14</v>
      </c>
      <c r="G312" s="5" t="s">
        <v>24</v>
      </c>
      <c r="H312" s="5">
        <v>74453</v>
      </c>
      <c r="I312" s="5">
        <v>689</v>
      </c>
      <c r="J312" s="6">
        <f t="shared" si="4"/>
        <v>73764</v>
      </c>
    </row>
    <row r="313" spans="1:10">
      <c r="A313" s="5">
        <v>16539</v>
      </c>
      <c r="B313" s="5" t="s">
        <v>16</v>
      </c>
      <c r="C313" s="5" t="s">
        <v>11</v>
      </c>
      <c r="D313" s="5" t="s">
        <v>32</v>
      </c>
      <c r="E313" s="5" t="s">
        <v>13</v>
      </c>
      <c r="F313" s="5" t="s">
        <v>28</v>
      </c>
      <c r="G313" s="5" t="s">
        <v>24</v>
      </c>
      <c r="H313" s="5">
        <v>19648</v>
      </c>
      <c r="I313" s="5">
        <v>675</v>
      </c>
      <c r="J313" s="6">
        <f t="shared" si="4"/>
        <v>18973</v>
      </c>
    </row>
    <row r="314" spans="1:10">
      <c r="A314" s="5">
        <v>54288</v>
      </c>
      <c r="B314" s="5" t="s">
        <v>10</v>
      </c>
      <c r="C314" s="5" t="s">
        <v>35</v>
      </c>
      <c r="D314" s="5" t="s">
        <v>30</v>
      </c>
      <c r="E314" s="5" t="s">
        <v>13</v>
      </c>
      <c r="F314" s="5" t="s">
        <v>14</v>
      </c>
      <c r="G314" s="5" t="s">
        <v>15</v>
      </c>
      <c r="H314" s="5">
        <v>80271</v>
      </c>
      <c r="I314" s="5">
        <v>1491</v>
      </c>
      <c r="J314" s="6">
        <f t="shared" si="4"/>
        <v>78780</v>
      </c>
    </row>
    <row r="315" spans="1:10">
      <c r="A315" s="5">
        <v>213966</v>
      </c>
      <c r="B315" s="5" t="s">
        <v>16</v>
      </c>
      <c r="C315" s="5" t="s">
        <v>11</v>
      </c>
      <c r="D315" s="5" t="s">
        <v>12</v>
      </c>
      <c r="E315" s="5" t="s">
        <v>13</v>
      </c>
      <c r="F315" s="5" t="s">
        <v>28</v>
      </c>
      <c r="G315" s="5" t="s">
        <v>15</v>
      </c>
      <c r="H315" s="5">
        <v>119681</v>
      </c>
      <c r="I315" s="5">
        <v>9</v>
      </c>
      <c r="J315" s="6">
        <f t="shared" si="4"/>
        <v>119672</v>
      </c>
    </row>
    <row r="316" spans="1:10">
      <c r="A316" s="5">
        <v>184551</v>
      </c>
      <c r="B316" s="5" t="s">
        <v>16</v>
      </c>
      <c r="C316" s="5" t="s">
        <v>34</v>
      </c>
      <c r="D316" s="5" t="s">
        <v>32</v>
      </c>
      <c r="E316" s="5" t="s">
        <v>13</v>
      </c>
      <c r="F316" s="5" t="s">
        <v>14</v>
      </c>
      <c r="G316" s="5" t="s">
        <v>24</v>
      </c>
      <c r="H316" s="5">
        <v>2629</v>
      </c>
      <c r="I316" s="5">
        <v>0</v>
      </c>
      <c r="J316" s="6">
        <f t="shared" si="4"/>
        <v>2629</v>
      </c>
    </row>
    <row r="317" spans="1:10">
      <c r="A317" s="5">
        <v>7022</v>
      </c>
      <c r="B317" s="5" t="s">
        <v>10</v>
      </c>
      <c r="C317" s="5" t="s">
        <v>20</v>
      </c>
      <c r="D317" s="5" t="s">
        <v>32</v>
      </c>
      <c r="E317" s="5" t="s">
        <v>13</v>
      </c>
      <c r="F317" s="5" t="s">
        <v>14</v>
      </c>
      <c r="G317" s="5" t="s">
        <v>15</v>
      </c>
      <c r="H317" s="5">
        <v>130322</v>
      </c>
      <c r="I317" s="5">
        <v>211</v>
      </c>
      <c r="J317" s="6">
        <f t="shared" si="4"/>
        <v>130111</v>
      </c>
    </row>
    <row r="318" spans="1:10">
      <c r="A318" s="5">
        <v>95674</v>
      </c>
      <c r="B318" s="5" t="s">
        <v>16</v>
      </c>
      <c r="C318" s="5" t="s">
        <v>37</v>
      </c>
      <c r="D318" s="5" t="s">
        <v>33</v>
      </c>
      <c r="E318" s="5" t="s">
        <v>13</v>
      </c>
      <c r="F318" s="5" t="s">
        <v>14</v>
      </c>
      <c r="G318" s="5" t="s">
        <v>15</v>
      </c>
      <c r="H318" s="5">
        <v>42586</v>
      </c>
      <c r="I318" s="5">
        <v>0</v>
      </c>
      <c r="J318" s="6">
        <f t="shared" si="4"/>
        <v>42586</v>
      </c>
    </row>
    <row r="319" spans="1:10">
      <c r="A319" s="5">
        <v>191306</v>
      </c>
      <c r="B319" s="5" t="s">
        <v>10</v>
      </c>
      <c r="C319" s="5" t="s">
        <v>34</v>
      </c>
      <c r="D319" s="5" t="s">
        <v>29</v>
      </c>
      <c r="E319" s="5" t="s">
        <v>13</v>
      </c>
      <c r="F319" s="5" t="s">
        <v>28</v>
      </c>
      <c r="G319" s="5" t="s">
        <v>24</v>
      </c>
      <c r="H319" s="5">
        <v>116709</v>
      </c>
      <c r="I319" s="5">
        <v>25855</v>
      </c>
      <c r="J319" s="6">
        <f t="shared" si="4"/>
        <v>90854</v>
      </c>
    </row>
    <row r="320" spans="1:10">
      <c r="A320" s="5">
        <v>15144</v>
      </c>
      <c r="B320" s="5" t="s">
        <v>16</v>
      </c>
      <c r="C320" s="5" t="s">
        <v>11</v>
      </c>
      <c r="D320" s="5" t="s">
        <v>36</v>
      </c>
      <c r="E320" s="5" t="s">
        <v>19</v>
      </c>
      <c r="F320" s="5" t="s">
        <v>14</v>
      </c>
      <c r="G320" s="5" t="s">
        <v>24</v>
      </c>
      <c r="H320" s="5">
        <v>77766</v>
      </c>
      <c r="I320" s="5">
        <v>3966</v>
      </c>
      <c r="J320" s="6">
        <f t="shared" si="4"/>
        <v>73800</v>
      </c>
    </row>
    <row r="321" spans="1:10">
      <c r="A321" s="5">
        <v>228842</v>
      </c>
      <c r="B321" s="5" t="s">
        <v>10</v>
      </c>
      <c r="C321" s="5" t="s">
        <v>22</v>
      </c>
      <c r="D321" s="5" t="s">
        <v>23</v>
      </c>
      <c r="E321" s="5" t="s">
        <v>19</v>
      </c>
      <c r="F321" s="5" t="s">
        <v>14</v>
      </c>
      <c r="G321" s="5" t="s">
        <v>24</v>
      </c>
      <c r="H321" s="5">
        <v>76166</v>
      </c>
      <c r="I321" s="5">
        <v>1318</v>
      </c>
      <c r="J321" s="6">
        <f t="shared" si="4"/>
        <v>74848</v>
      </c>
    </row>
    <row r="322" spans="1:10">
      <c r="A322" s="5">
        <v>85804</v>
      </c>
      <c r="B322" s="5" t="s">
        <v>16</v>
      </c>
      <c r="C322" s="5" t="s">
        <v>34</v>
      </c>
      <c r="D322" s="5" t="s">
        <v>18</v>
      </c>
      <c r="E322" s="5" t="s">
        <v>19</v>
      </c>
      <c r="F322" s="5" t="s">
        <v>28</v>
      </c>
      <c r="G322" s="5" t="s">
        <v>15</v>
      </c>
      <c r="H322" s="5">
        <v>28863</v>
      </c>
      <c r="I322" s="5">
        <v>643</v>
      </c>
      <c r="J322" s="6">
        <f t="shared" ref="J322:J385" si="5">H322-I322</f>
        <v>28220</v>
      </c>
    </row>
    <row r="323" spans="1:10">
      <c r="A323" s="5">
        <v>236644</v>
      </c>
      <c r="B323" s="5" t="s">
        <v>10</v>
      </c>
      <c r="C323" s="5" t="s">
        <v>17</v>
      </c>
      <c r="D323" s="5" t="s">
        <v>33</v>
      </c>
      <c r="E323" s="5" t="s">
        <v>19</v>
      </c>
      <c r="F323" s="5" t="s">
        <v>28</v>
      </c>
      <c r="G323" s="5" t="s">
        <v>15</v>
      </c>
      <c r="H323" s="5">
        <v>45633</v>
      </c>
      <c r="I323" s="5">
        <v>378</v>
      </c>
      <c r="J323" s="6">
        <f t="shared" si="5"/>
        <v>45255</v>
      </c>
    </row>
    <row r="324" spans="1:10">
      <c r="A324" s="5">
        <v>25262</v>
      </c>
      <c r="B324" s="5" t="s">
        <v>10</v>
      </c>
      <c r="C324" s="5" t="s">
        <v>35</v>
      </c>
      <c r="D324" s="5" t="s">
        <v>18</v>
      </c>
      <c r="E324" s="5" t="s">
        <v>19</v>
      </c>
      <c r="F324" s="5" t="s">
        <v>14</v>
      </c>
      <c r="G324" s="5" t="s">
        <v>24</v>
      </c>
      <c r="H324" s="5">
        <v>75128</v>
      </c>
      <c r="I324" s="5">
        <v>5039</v>
      </c>
      <c r="J324" s="6">
        <f t="shared" si="5"/>
        <v>70089</v>
      </c>
    </row>
    <row r="325" spans="1:10">
      <c r="A325" s="5">
        <v>51196</v>
      </c>
      <c r="B325" s="5" t="s">
        <v>10</v>
      </c>
      <c r="C325" s="5" t="s">
        <v>35</v>
      </c>
      <c r="D325" s="5" t="s">
        <v>18</v>
      </c>
      <c r="E325" s="5" t="s">
        <v>13</v>
      </c>
      <c r="F325" s="5" t="s">
        <v>14</v>
      </c>
      <c r="G325" s="5" t="s">
        <v>24</v>
      </c>
      <c r="H325" s="5">
        <v>78897</v>
      </c>
      <c r="I325" s="5">
        <v>27267</v>
      </c>
      <c r="J325" s="6">
        <f t="shared" si="5"/>
        <v>51630</v>
      </c>
    </row>
    <row r="326" spans="1:10">
      <c r="A326" s="5">
        <v>224954</v>
      </c>
      <c r="B326" s="5" t="s">
        <v>16</v>
      </c>
      <c r="C326" s="5" t="s">
        <v>25</v>
      </c>
      <c r="D326" s="5" t="s">
        <v>21</v>
      </c>
      <c r="E326" s="5" t="s">
        <v>19</v>
      </c>
      <c r="F326" s="5" t="s">
        <v>14</v>
      </c>
      <c r="G326" s="5" t="s">
        <v>24</v>
      </c>
      <c r="H326" s="5">
        <v>67510</v>
      </c>
      <c r="I326" s="5">
        <v>328</v>
      </c>
      <c r="J326" s="6">
        <f t="shared" si="5"/>
        <v>67182</v>
      </c>
    </row>
    <row r="327" spans="1:10">
      <c r="A327" s="5">
        <v>215569</v>
      </c>
      <c r="B327" s="5" t="s">
        <v>10</v>
      </c>
      <c r="C327" s="5" t="s">
        <v>38</v>
      </c>
      <c r="D327" s="5" t="s">
        <v>26</v>
      </c>
      <c r="E327" s="5" t="s">
        <v>13</v>
      </c>
      <c r="F327" s="5" t="s">
        <v>14</v>
      </c>
      <c r="G327" s="5" t="s">
        <v>24</v>
      </c>
      <c r="H327" s="5">
        <v>43561</v>
      </c>
      <c r="I327" s="5">
        <v>1110</v>
      </c>
      <c r="J327" s="6">
        <f t="shared" si="5"/>
        <v>42451</v>
      </c>
    </row>
    <row r="328" spans="1:10">
      <c r="A328" s="5">
        <v>160367</v>
      </c>
      <c r="B328" s="5" t="s">
        <v>16</v>
      </c>
      <c r="C328" s="5" t="s">
        <v>25</v>
      </c>
      <c r="D328" s="5" t="s">
        <v>30</v>
      </c>
      <c r="E328" s="5" t="s">
        <v>19</v>
      </c>
      <c r="F328" s="5" t="s">
        <v>28</v>
      </c>
      <c r="G328" s="5" t="s">
        <v>24</v>
      </c>
      <c r="H328" s="5">
        <v>59184</v>
      </c>
      <c r="I328" s="5">
        <v>3283</v>
      </c>
      <c r="J328" s="6">
        <f t="shared" si="5"/>
        <v>55901</v>
      </c>
    </row>
    <row r="329" spans="1:10">
      <c r="A329" s="5">
        <v>97324</v>
      </c>
      <c r="B329" s="5" t="s">
        <v>16</v>
      </c>
      <c r="C329" s="5" t="s">
        <v>38</v>
      </c>
      <c r="D329" s="5" t="s">
        <v>12</v>
      </c>
      <c r="E329" s="5" t="s">
        <v>13</v>
      </c>
      <c r="F329" s="5" t="s">
        <v>14</v>
      </c>
      <c r="G329" s="5" t="s">
        <v>15</v>
      </c>
      <c r="H329" s="5">
        <v>69530</v>
      </c>
      <c r="I329" s="5">
        <v>1666</v>
      </c>
      <c r="J329" s="6">
        <f t="shared" si="5"/>
        <v>67864</v>
      </c>
    </row>
    <row r="330" spans="1:10">
      <c r="A330" s="5">
        <v>9440</v>
      </c>
      <c r="B330" s="5" t="s">
        <v>16</v>
      </c>
      <c r="C330" s="5" t="s">
        <v>20</v>
      </c>
      <c r="D330" s="5" t="s">
        <v>32</v>
      </c>
      <c r="E330" s="5" t="s">
        <v>13</v>
      </c>
      <c r="F330" s="5" t="s">
        <v>14</v>
      </c>
      <c r="G330" s="5" t="s">
        <v>15</v>
      </c>
      <c r="H330" s="5">
        <v>138540</v>
      </c>
      <c r="I330" s="5">
        <v>0</v>
      </c>
      <c r="J330" s="6">
        <f t="shared" si="5"/>
        <v>138540</v>
      </c>
    </row>
    <row r="331" spans="1:10">
      <c r="A331" s="5">
        <v>57702</v>
      </c>
      <c r="B331" s="5" t="s">
        <v>10</v>
      </c>
      <c r="C331" s="5" t="s">
        <v>27</v>
      </c>
      <c r="D331" s="5" t="s">
        <v>12</v>
      </c>
      <c r="E331" s="5" t="s">
        <v>13</v>
      </c>
      <c r="F331" s="5" t="s">
        <v>14</v>
      </c>
      <c r="G331" s="5" t="s">
        <v>15</v>
      </c>
      <c r="H331" s="5">
        <v>49108</v>
      </c>
      <c r="I331" s="5">
        <v>526</v>
      </c>
      <c r="J331" s="6">
        <f t="shared" si="5"/>
        <v>48582</v>
      </c>
    </row>
    <row r="332" spans="1:10">
      <c r="A332" s="5">
        <v>204160</v>
      </c>
      <c r="B332" s="5" t="s">
        <v>16</v>
      </c>
      <c r="C332" s="5" t="s">
        <v>37</v>
      </c>
      <c r="D332" s="5" t="s">
        <v>33</v>
      </c>
      <c r="E332" s="5" t="s">
        <v>19</v>
      </c>
      <c r="F332" s="5" t="s">
        <v>28</v>
      </c>
      <c r="G332" s="5" t="s">
        <v>15</v>
      </c>
      <c r="H332" s="5">
        <v>48662</v>
      </c>
      <c r="I332" s="5">
        <v>5455</v>
      </c>
      <c r="J332" s="6">
        <f t="shared" si="5"/>
        <v>43207</v>
      </c>
    </row>
    <row r="333" spans="1:10">
      <c r="A333" s="5">
        <v>55923</v>
      </c>
      <c r="B333" s="5" t="s">
        <v>10</v>
      </c>
      <c r="C333" s="5" t="s">
        <v>11</v>
      </c>
      <c r="D333" s="5" t="s">
        <v>30</v>
      </c>
      <c r="E333" s="5" t="s">
        <v>13</v>
      </c>
      <c r="F333" s="5" t="s">
        <v>28</v>
      </c>
      <c r="G333" s="5" t="s">
        <v>24</v>
      </c>
      <c r="H333" s="5">
        <v>37481</v>
      </c>
      <c r="I333" s="5">
        <v>6022</v>
      </c>
      <c r="J333" s="6">
        <f t="shared" si="5"/>
        <v>31459</v>
      </c>
    </row>
    <row r="334" spans="1:10">
      <c r="A334" s="5">
        <v>5092</v>
      </c>
      <c r="B334" s="5" t="s">
        <v>10</v>
      </c>
      <c r="C334" s="5" t="s">
        <v>37</v>
      </c>
      <c r="D334" s="5" t="s">
        <v>33</v>
      </c>
      <c r="E334" s="5" t="s">
        <v>13</v>
      </c>
      <c r="F334" s="5" t="s">
        <v>28</v>
      </c>
      <c r="G334" s="5" t="s">
        <v>15</v>
      </c>
      <c r="H334" s="5">
        <v>65253</v>
      </c>
      <c r="I334" s="5">
        <v>756</v>
      </c>
      <c r="J334" s="6">
        <f t="shared" si="5"/>
        <v>64497</v>
      </c>
    </row>
    <row r="335" spans="1:10">
      <c r="A335" s="5">
        <v>29172</v>
      </c>
      <c r="B335" s="5" t="s">
        <v>10</v>
      </c>
      <c r="C335" s="5" t="s">
        <v>11</v>
      </c>
      <c r="D335" s="5" t="s">
        <v>23</v>
      </c>
      <c r="E335" s="5" t="s">
        <v>13</v>
      </c>
      <c r="F335" s="5" t="s">
        <v>14</v>
      </c>
      <c r="G335" s="5" t="s">
        <v>15</v>
      </c>
      <c r="H335" s="5">
        <v>59928</v>
      </c>
      <c r="I335" s="5">
        <v>8756</v>
      </c>
      <c r="J335" s="6">
        <f t="shared" si="5"/>
        <v>51172</v>
      </c>
    </row>
    <row r="336" spans="1:10">
      <c r="A336" s="5">
        <v>30658</v>
      </c>
      <c r="B336" s="5" t="s">
        <v>16</v>
      </c>
      <c r="C336" s="5" t="s">
        <v>35</v>
      </c>
      <c r="D336" s="5" t="s">
        <v>36</v>
      </c>
      <c r="E336" s="5" t="s">
        <v>13</v>
      </c>
      <c r="F336" s="5" t="s">
        <v>14</v>
      </c>
      <c r="G336" s="5" t="s">
        <v>24</v>
      </c>
      <c r="H336" s="5">
        <v>11159</v>
      </c>
      <c r="I336" s="5">
        <v>725</v>
      </c>
      <c r="J336" s="6">
        <f t="shared" si="5"/>
        <v>10434</v>
      </c>
    </row>
    <row r="337" spans="1:10">
      <c r="A337" s="5">
        <v>192430</v>
      </c>
      <c r="B337" s="5" t="s">
        <v>16</v>
      </c>
      <c r="C337" s="5" t="s">
        <v>20</v>
      </c>
      <c r="D337" s="5" t="s">
        <v>32</v>
      </c>
      <c r="E337" s="5" t="s">
        <v>19</v>
      </c>
      <c r="F337" s="5" t="s">
        <v>14</v>
      </c>
      <c r="G337" s="5" t="s">
        <v>24</v>
      </c>
      <c r="H337" s="5">
        <v>58984</v>
      </c>
      <c r="I337" s="5">
        <v>232</v>
      </c>
      <c r="J337" s="6">
        <f t="shared" si="5"/>
        <v>58752</v>
      </c>
    </row>
    <row r="338" spans="1:10">
      <c r="A338" s="5">
        <v>169428</v>
      </c>
      <c r="B338" s="5" t="s">
        <v>10</v>
      </c>
      <c r="C338" s="5" t="s">
        <v>25</v>
      </c>
      <c r="D338" s="5" t="s">
        <v>30</v>
      </c>
      <c r="E338" s="5" t="s">
        <v>13</v>
      </c>
      <c r="F338" s="5" t="s">
        <v>14</v>
      </c>
      <c r="G338" s="5" t="s">
        <v>15</v>
      </c>
      <c r="H338" s="5">
        <v>91953</v>
      </c>
      <c r="I338" s="5">
        <v>7294</v>
      </c>
      <c r="J338" s="6">
        <f t="shared" si="5"/>
        <v>84659</v>
      </c>
    </row>
    <row r="339" spans="1:10">
      <c r="A339" s="5">
        <v>10903</v>
      </c>
      <c r="B339" s="5" t="s">
        <v>10</v>
      </c>
      <c r="C339" s="5" t="s">
        <v>34</v>
      </c>
      <c r="D339" s="5" t="s">
        <v>29</v>
      </c>
      <c r="E339" s="5" t="s">
        <v>19</v>
      </c>
      <c r="F339" s="5" t="s">
        <v>14</v>
      </c>
      <c r="G339" s="5" t="s">
        <v>15</v>
      </c>
      <c r="H339" s="5">
        <v>106104</v>
      </c>
      <c r="I339" s="5">
        <v>6908</v>
      </c>
      <c r="J339" s="6">
        <f t="shared" si="5"/>
        <v>99196</v>
      </c>
    </row>
    <row r="340" spans="1:10">
      <c r="A340" s="5">
        <v>134946</v>
      </c>
      <c r="B340" s="5" t="s">
        <v>16</v>
      </c>
      <c r="C340" s="5" t="s">
        <v>27</v>
      </c>
      <c r="D340" s="5" t="s">
        <v>18</v>
      </c>
      <c r="E340" s="5" t="s">
        <v>19</v>
      </c>
      <c r="F340" s="5" t="s">
        <v>14</v>
      </c>
      <c r="G340" s="5" t="s">
        <v>24</v>
      </c>
      <c r="H340" s="5">
        <v>15205</v>
      </c>
      <c r="I340" s="5">
        <v>674</v>
      </c>
      <c r="J340" s="6">
        <f t="shared" si="5"/>
        <v>14531</v>
      </c>
    </row>
    <row r="341" spans="1:10">
      <c r="A341" s="5">
        <v>197088</v>
      </c>
      <c r="B341" s="5" t="s">
        <v>16</v>
      </c>
      <c r="C341" s="5" t="s">
        <v>11</v>
      </c>
      <c r="D341" s="5" t="s">
        <v>32</v>
      </c>
      <c r="E341" s="5" t="s">
        <v>13</v>
      </c>
      <c r="F341" s="5" t="s">
        <v>28</v>
      </c>
      <c r="G341" s="5" t="s">
        <v>15</v>
      </c>
      <c r="H341" s="5">
        <v>36653</v>
      </c>
      <c r="I341" s="5">
        <v>164</v>
      </c>
      <c r="J341" s="6">
        <f t="shared" si="5"/>
        <v>36489</v>
      </c>
    </row>
    <row r="342" spans="1:10">
      <c r="A342" s="5">
        <v>101764</v>
      </c>
      <c r="B342" s="5" t="s">
        <v>16</v>
      </c>
      <c r="C342" s="5" t="s">
        <v>37</v>
      </c>
      <c r="D342" s="5" t="s">
        <v>26</v>
      </c>
      <c r="E342" s="5" t="s">
        <v>13</v>
      </c>
      <c r="F342" s="5" t="s">
        <v>28</v>
      </c>
      <c r="G342" s="5" t="s">
        <v>24</v>
      </c>
      <c r="H342" s="5">
        <v>27258</v>
      </c>
      <c r="I342" s="5">
        <v>718</v>
      </c>
      <c r="J342" s="6">
        <f t="shared" si="5"/>
        <v>26540</v>
      </c>
    </row>
    <row r="343" spans="1:10">
      <c r="A343" s="5">
        <v>48965</v>
      </c>
      <c r="B343" s="5" t="s">
        <v>16</v>
      </c>
      <c r="C343" s="5" t="s">
        <v>34</v>
      </c>
      <c r="D343" s="5" t="s">
        <v>33</v>
      </c>
      <c r="E343" s="5" t="s">
        <v>13</v>
      </c>
      <c r="F343" s="5" t="s">
        <v>28</v>
      </c>
      <c r="G343" s="5" t="s">
        <v>24</v>
      </c>
      <c r="H343" s="5">
        <v>24223</v>
      </c>
      <c r="I343" s="5">
        <v>249</v>
      </c>
      <c r="J343" s="6">
        <f t="shared" si="5"/>
        <v>23974</v>
      </c>
    </row>
    <row r="344" spans="1:10">
      <c r="A344" s="5">
        <v>5440</v>
      </c>
      <c r="B344" s="5" t="s">
        <v>16</v>
      </c>
      <c r="C344" s="5" t="s">
        <v>20</v>
      </c>
      <c r="D344" s="5" t="s">
        <v>32</v>
      </c>
      <c r="E344" s="5" t="s">
        <v>13</v>
      </c>
      <c r="F344" s="5" t="s">
        <v>14</v>
      </c>
      <c r="G344" s="5" t="s">
        <v>15</v>
      </c>
      <c r="H344" s="5">
        <v>41210</v>
      </c>
      <c r="I344" s="5">
        <v>0</v>
      </c>
      <c r="J344" s="6">
        <f t="shared" si="5"/>
        <v>41210</v>
      </c>
    </row>
    <row r="345" spans="1:10">
      <c r="A345" s="5">
        <v>245387</v>
      </c>
      <c r="B345" s="5" t="s">
        <v>16</v>
      </c>
      <c r="C345" s="5" t="s">
        <v>35</v>
      </c>
      <c r="D345" s="5" t="s">
        <v>30</v>
      </c>
      <c r="E345" s="5" t="s">
        <v>13</v>
      </c>
      <c r="F345" s="5" t="s">
        <v>14</v>
      </c>
      <c r="G345" s="5" t="s">
        <v>15</v>
      </c>
      <c r="H345" s="5">
        <v>177747</v>
      </c>
      <c r="I345" s="5">
        <v>9284</v>
      </c>
      <c r="J345" s="6">
        <f t="shared" si="5"/>
        <v>168463</v>
      </c>
    </row>
    <row r="346" spans="1:10">
      <c r="A346" s="5">
        <v>97118</v>
      </c>
      <c r="B346" s="5" t="s">
        <v>16</v>
      </c>
      <c r="C346" s="5" t="s">
        <v>34</v>
      </c>
      <c r="D346" s="5" t="s">
        <v>36</v>
      </c>
      <c r="E346" s="5" t="s">
        <v>13</v>
      </c>
      <c r="F346" s="5" t="s">
        <v>14</v>
      </c>
      <c r="G346" s="5" t="s">
        <v>24</v>
      </c>
      <c r="H346" s="5">
        <v>26670</v>
      </c>
      <c r="I346" s="5">
        <v>253</v>
      </c>
      <c r="J346" s="6">
        <f t="shared" si="5"/>
        <v>26417</v>
      </c>
    </row>
    <row r="347" spans="1:10">
      <c r="A347" s="5">
        <v>71915</v>
      </c>
      <c r="B347" s="5" t="s">
        <v>16</v>
      </c>
      <c r="C347" s="5" t="s">
        <v>34</v>
      </c>
      <c r="D347" s="5" t="s">
        <v>32</v>
      </c>
      <c r="E347" s="5" t="s">
        <v>19</v>
      </c>
      <c r="F347" s="5" t="s">
        <v>14</v>
      </c>
      <c r="G347" s="5" t="s">
        <v>24</v>
      </c>
      <c r="H347" s="5">
        <v>6392</v>
      </c>
      <c r="I347" s="5">
        <v>0</v>
      </c>
      <c r="J347" s="6">
        <f t="shared" si="5"/>
        <v>6392</v>
      </c>
    </row>
    <row r="348" spans="1:10">
      <c r="A348" s="5">
        <v>84842</v>
      </c>
      <c r="B348" s="5" t="s">
        <v>10</v>
      </c>
      <c r="C348" s="5" t="s">
        <v>11</v>
      </c>
      <c r="D348" s="5" t="s">
        <v>33</v>
      </c>
      <c r="E348" s="5" t="s">
        <v>19</v>
      </c>
      <c r="F348" s="5" t="s">
        <v>14</v>
      </c>
      <c r="G348" s="5" t="s">
        <v>24</v>
      </c>
      <c r="H348" s="5">
        <v>64042</v>
      </c>
      <c r="I348" s="5">
        <v>454</v>
      </c>
      <c r="J348" s="6">
        <f t="shared" si="5"/>
        <v>63588</v>
      </c>
    </row>
    <row r="349" spans="1:10">
      <c r="A349" s="5">
        <v>70130</v>
      </c>
      <c r="B349" s="5" t="s">
        <v>16</v>
      </c>
      <c r="C349" s="5" t="s">
        <v>34</v>
      </c>
      <c r="D349" s="5" t="s">
        <v>36</v>
      </c>
      <c r="E349" s="5" t="s">
        <v>19</v>
      </c>
      <c r="F349" s="5" t="s">
        <v>14</v>
      </c>
      <c r="G349" s="5" t="s">
        <v>15</v>
      </c>
      <c r="H349" s="5">
        <v>59677</v>
      </c>
      <c r="I349" s="5">
        <v>347</v>
      </c>
      <c r="J349" s="6">
        <f t="shared" si="5"/>
        <v>59330</v>
      </c>
    </row>
    <row r="350" spans="1:10">
      <c r="A350" s="5">
        <v>207543</v>
      </c>
      <c r="B350" s="5" t="s">
        <v>16</v>
      </c>
      <c r="C350" s="5" t="s">
        <v>20</v>
      </c>
      <c r="D350" s="5" t="s">
        <v>32</v>
      </c>
      <c r="E350" s="5" t="s">
        <v>19</v>
      </c>
      <c r="F350" s="5" t="s">
        <v>28</v>
      </c>
      <c r="G350" s="5" t="s">
        <v>15</v>
      </c>
      <c r="H350" s="5">
        <v>205028</v>
      </c>
      <c r="I350" s="5">
        <v>2841</v>
      </c>
      <c r="J350" s="6">
        <f t="shared" si="5"/>
        <v>202187</v>
      </c>
    </row>
    <row r="351" spans="1:10">
      <c r="A351" s="5">
        <v>7084</v>
      </c>
      <c r="B351" s="5" t="s">
        <v>16</v>
      </c>
      <c r="C351" s="5" t="s">
        <v>20</v>
      </c>
      <c r="D351" s="5" t="s">
        <v>32</v>
      </c>
      <c r="E351" s="5" t="s">
        <v>19</v>
      </c>
      <c r="F351" s="5" t="s">
        <v>14</v>
      </c>
      <c r="G351" s="5" t="s">
        <v>24</v>
      </c>
      <c r="H351" s="5">
        <v>121759</v>
      </c>
      <c r="I351" s="5">
        <v>678</v>
      </c>
      <c r="J351" s="6">
        <f t="shared" si="5"/>
        <v>121081</v>
      </c>
    </row>
    <row r="352" spans="1:10">
      <c r="A352" s="5">
        <v>218811</v>
      </c>
      <c r="B352" s="5" t="s">
        <v>16</v>
      </c>
      <c r="C352" s="5" t="s">
        <v>34</v>
      </c>
      <c r="D352" s="5" t="s">
        <v>36</v>
      </c>
      <c r="E352" s="5" t="s">
        <v>13</v>
      </c>
      <c r="F352" s="5" t="s">
        <v>14</v>
      </c>
      <c r="G352" s="5" t="s">
        <v>15</v>
      </c>
      <c r="H352" s="5">
        <v>50248</v>
      </c>
      <c r="I352" s="5">
        <v>735</v>
      </c>
      <c r="J352" s="6">
        <f t="shared" si="5"/>
        <v>49513</v>
      </c>
    </row>
    <row r="353" spans="1:10">
      <c r="A353" s="5">
        <v>61612</v>
      </c>
      <c r="B353" s="5" t="s">
        <v>16</v>
      </c>
      <c r="C353" s="5" t="s">
        <v>27</v>
      </c>
      <c r="D353" s="5" t="s">
        <v>30</v>
      </c>
      <c r="E353" s="5" t="s">
        <v>13</v>
      </c>
      <c r="F353" s="5" t="s">
        <v>14</v>
      </c>
      <c r="G353" s="5" t="s">
        <v>15</v>
      </c>
      <c r="H353" s="5">
        <v>81260</v>
      </c>
      <c r="I353" s="5">
        <v>3698</v>
      </c>
      <c r="J353" s="6">
        <f t="shared" si="5"/>
        <v>77562</v>
      </c>
    </row>
    <row r="354" spans="1:10">
      <c r="A354" s="5">
        <v>130394</v>
      </c>
      <c r="B354" s="5" t="s">
        <v>16</v>
      </c>
      <c r="C354" s="5" t="s">
        <v>25</v>
      </c>
      <c r="D354" s="5" t="s">
        <v>33</v>
      </c>
      <c r="E354" s="5" t="s">
        <v>13</v>
      </c>
      <c r="F354" s="5" t="s">
        <v>28</v>
      </c>
      <c r="G354" s="5" t="s">
        <v>15</v>
      </c>
      <c r="H354" s="5">
        <v>26314</v>
      </c>
      <c r="I354" s="5">
        <v>965</v>
      </c>
      <c r="J354" s="6">
        <f t="shared" si="5"/>
        <v>25349</v>
      </c>
    </row>
    <row r="355" spans="1:10">
      <c r="A355" s="5">
        <v>81720</v>
      </c>
      <c r="B355" s="5" t="s">
        <v>16</v>
      </c>
      <c r="C355" s="5" t="s">
        <v>20</v>
      </c>
      <c r="D355" s="5" t="s">
        <v>32</v>
      </c>
      <c r="E355" s="5" t="s">
        <v>19</v>
      </c>
      <c r="F355" s="5" t="s">
        <v>14</v>
      </c>
      <c r="G355" s="5" t="s">
        <v>24</v>
      </c>
      <c r="H355" s="5">
        <v>308266</v>
      </c>
      <c r="I355" s="5">
        <v>154</v>
      </c>
      <c r="J355" s="6">
        <f t="shared" si="5"/>
        <v>308112</v>
      </c>
    </row>
    <row r="356" spans="1:10">
      <c r="A356" s="5">
        <v>22716</v>
      </c>
      <c r="B356" s="5" t="s">
        <v>10</v>
      </c>
      <c r="C356" s="5" t="s">
        <v>11</v>
      </c>
      <c r="D356" s="5" t="s">
        <v>26</v>
      </c>
      <c r="E356" s="5" t="s">
        <v>19</v>
      </c>
      <c r="F356" s="5" t="s">
        <v>14</v>
      </c>
      <c r="G356" s="5" t="s">
        <v>24</v>
      </c>
      <c r="H356" s="5">
        <v>94643</v>
      </c>
      <c r="I356" s="5">
        <v>799</v>
      </c>
      <c r="J356" s="6">
        <f t="shared" si="5"/>
        <v>93844</v>
      </c>
    </row>
    <row r="357" spans="1:10">
      <c r="A357" s="5">
        <v>191020</v>
      </c>
      <c r="B357" s="5" t="s">
        <v>10</v>
      </c>
      <c r="C357" s="5" t="s">
        <v>39</v>
      </c>
      <c r="D357" s="5" t="s">
        <v>32</v>
      </c>
      <c r="E357" s="5" t="s">
        <v>13</v>
      </c>
      <c r="F357" s="5" t="s">
        <v>14</v>
      </c>
      <c r="G357" s="5" t="s">
        <v>15</v>
      </c>
      <c r="H357" s="5">
        <v>14091</v>
      </c>
      <c r="I357" s="5">
        <v>0</v>
      </c>
      <c r="J357" s="6">
        <f t="shared" si="5"/>
        <v>14091</v>
      </c>
    </row>
    <row r="358" spans="1:10">
      <c r="A358" s="5">
        <v>216782</v>
      </c>
      <c r="B358" s="5" t="s">
        <v>10</v>
      </c>
      <c r="C358" s="5" t="s">
        <v>34</v>
      </c>
      <c r="D358" s="5" t="s">
        <v>23</v>
      </c>
      <c r="E358" s="5" t="s">
        <v>19</v>
      </c>
      <c r="F358" s="5" t="s">
        <v>14</v>
      </c>
      <c r="G358" s="5" t="s">
        <v>15</v>
      </c>
      <c r="H358" s="5">
        <v>37766</v>
      </c>
      <c r="I358" s="5">
        <v>2634</v>
      </c>
      <c r="J358" s="6">
        <f t="shared" si="5"/>
        <v>35132</v>
      </c>
    </row>
    <row r="359" spans="1:10">
      <c r="A359" s="5">
        <v>189241</v>
      </c>
      <c r="B359" s="5" t="s">
        <v>10</v>
      </c>
      <c r="C359" s="5" t="s">
        <v>37</v>
      </c>
      <c r="D359" s="5" t="s">
        <v>29</v>
      </c>
      <c r="E359" s="5" t="s">
        <v>13</v>
      </c>
      <c r="F359" s="5" t="s">
        <v>14</v>
      </c>
      <c r="G359" s="5" t="s">
        <v>15</v>
      </c>
      <c r="H359" s="5">
        <v>91854</v>
      </c>
      <c r="I359" s="5">
        <v>573</v>
      </c>
      <c r="J359" s="6">
        <f t="shared" si="5"/>
        <v>91281</v>
      </c>
    </row>
    <row r="360" spans="1:10">
      <c r="A360" s="5">
        <v>47904</v>
      </c>
      <c r="B360" s="5" t="s">
        <v>10</v>
      </c>
      <c r="C360" s="5" t="s">
        <v>35</v>
      </c>
      <c r="D360" s="5" t="s">
        <v>21</v>
      </c>
      <c r="E360" s="5" t="s">
        <v>13</v>
      </c>
      <c r="F360" s="5" t="s">
        <v>28</v>
      </c>
      <c r="G360" s="5" t="s">
        <v>24</v>
      </c>
      <c r="H360" s="5">
        <v>14003</v>
      </c>
      <c r="I360" s="5">
        <v>0</v>
      </c>
      <c r="J360" s="6">
        <f t="shared" si="5"/>
        <v>14003</v>
      </c>
    </row>
    <row r="361" spans="1:10">
      <c r="A361" s="5">
        <v>139376</v>
      </c>
      <c r="B361" s="5" t="s">
        <v>16</v>
      </c>
      <c r="C361" s="5" t="s">
        <v>35</v>
      </c>
      <c r="D361" s="5" t="s">
        <v>21</v>
      </c>
      <c r="E361" s="5" t="s">
        <v>19</v>
      </c>
      <c r="F361" s="5" t="s">
        <v>14</v>
      </c>
      <c r="G361" s="5" t="s">
        <v>15</v>
      </c>
      <c r="H361" s="5">
        <v>101018</v>
      </c>
      <c r="I361" s="5">
        <v>7032</v>
      </c>
      <c r="J361" s="6">
        <f t="shared" si="5"/>
        <v>93986</v>
      </c>
    </row>
    <row r="362" spans="1:10">
      <c r="A362" s="5">
        <v>183710</v>
      </c>
      <c r="B362" s="5" t="s">
        <v>16</v>
      </c>
      <c r="C362" s="5" t="s">
        <v>37</v>
      </c>
      <c r="D362" s="5" t="s">
        <v>30</v>
      </c>
      <c r="E362" s="5" t="s">
        <v>13</v>
      </c>
      <c r="F362" s="5" t="s">
        <v>14</v>
      </c>
      <c r="G362" s="5" t="s">
        <v>15</v>
      </c>
      <c r="H362" s="5">
        <v>88363</v>
      </c>
      <c r="I362" s="5">
        <v>2264</v>
      </c>
      <c r="J362" s="6">
        <f t="shared" si="5"/>
        <v>86099</v>
      </c>
    </row>
    <row r="363" spans="1:10">
      <c r="A363" s="5">
        <v>135276</v>
      </c>
      <c r="B363" s="5" t="s">
        <v>16</v>
      </c>
      <c r="C363" s="5" t="s">
        <v>27</v>
      </c>
      <c r="D363" s="5" t="s">
        <v>30</v>
      </c>
      <c r="E363" s="5" t="s">
        <v>13</v>
      </c>
      <c r="F363" s="5" t="s">
        <v>14</v>
      </c>
      <c r="G363" s="5" t="s">
        <v>15</v>
      </c>
      <c r="H363" s="5">
        <v>125755</v>
      </c>
      <c r="I363" s="5">
        <v>7855</v>
      </c>
      <c r="J363" s="6">
        <f t="shared" si="5"/>
        <v>117900</v>
      </c>
    </row>
    <row r="364" spans="1:10">
      <c r="A364" s="5">
        <v>21306</v>
      </c>
      <c r="B364" s="5" t="s">
        <v>16</v>
      </c>
      <c r="C364" s="5" t="s">
        <v>11</v>
      </c>
      <c r="D364" s="5" t="s">
        <v>30</v>
      </c>
      <c r="E364" s="5" t="s">
        <v>19</v>
      </c>
      <c r="F364" s="5" t="s">
        <v>14</v>
      </c>
      <c r="G364" s="5" t="s">
        <v>15</v>
      </c>
      <c r="H364" s="5">
        <v>102712</v>
      </c>
      <c r="I364" s="5">
        <v>5118</v>
      </c>
      <c r="J364" s="6">
        <f t="shared" si="5"/>
        <v>97594</v>
      </c>
    </row>
    <row r="365" spans="1:10">
      <c r="A365" s="5">
        <v>179834</v>
      </c>
      <c r="B365" s="5" t="s">
        <v>16</v>
      </c>
      <c r="C365" s="5" t="s">
        <v>17</v>
      </c>
      <c r="D365" s="5" t="s">
        <v>33</v>
      </c>
      <c r="E365" s="5" t="s">
        <v>19</v>
      </c>
      <c r="F365" s="5" t="s">
        <v>14</v>
      </c>
      <c r="G365" s="5" t="s">
        <v>24</v>
      </c>
      <c r="H365" s="5">
        <v>62999</v>
      </c>
      <c r="I365" s="5">
        <v>503</v>
      </c>
      <c r="J365" s="6">
        <f t="shared" si="5"/>
        <v>62496</v>
      </c>
    </row>
    <row r="366" spans="1:10">
      <c r="A366" s="5">
        <v>140296</v>
      </c>
      <c r="B366" s="5" t="s">
        <v>16</v>
      </c>
      <c r="C366" s="5" t="s">
        <v>25</v>
      </c>
      <c r="D366" s="5" t="s">
        <v>36</v>
      </c>
      <c r="E366" s="5" t="s">
        <v>19</v>
      </c>
      <c r="F366" s="5" t="s">
        <v>28</v>
      </c>
      <c r="G366" s="5" t="s">
        <v>24</v>
      </c>
      <c r="H366" s="5">
        <v>35008</v>
      </c>
      <c r="I366" s="5">
        <v>0</v>
      </c>
      <c r="J366" s="6">
        <f t="shared" si="5"/>
        <v>35008</v>
      </c>
    </row>
    <row r="367" spans="1:10">
      <c r="A367" s="5">
        <v>19161</v>
      </c>
      <c r="B367" s="5" t="s">
        <v>16</v>
      </c>
      <c r="C367" s="5" t="s">
        <v>11</v>
      </c>
      <c r="D367" s="5" t="s">
        <v>26</v>
      </c>
      <c r="E367" s="5" t="s">
        <v>13</v>
      </c>
      <c r="F367" s="5" t="s">
        <v>14</v>
      </c>
      <c r="G367" s="5" t="s">
        <v>15</v>
      </c>
      <c r="H367" s="5">
        <v>37744</v>
      </c>
      <c r="I367" s="5">
        <v>2773</v>
      </c>
      <c r="J367" s="6">
        <f t="shared" si="5"/>
        <v>34971</v>
      </c>
    </row>
    <row r="368" spans="1:10">
      <c r="A368" s="5">
        <v>212937</v>
      </c>
      <c r="B368" s="5" t="s">
        <v>16</v>
      </c>
      <c r="C368" s="5" t="s">
        <v>38</v>
      </c>
      <c r="D368" s="5" t="s">
        <v>32</v>
      </c>
      <c r="E368" s="5" t="s">
        <v>13</v>
      </c>
      <c r="F368" s="5" t="s">
        <v>14</v>
      </c>
      <c r="G368" s="5" t="s">
        <v>15</v>
      </c>
      <c r="H368" s="5">
        <v>1011</v>
      </c>
      <c r="I368" s="5">
        <v>0</v>
      </c>
      <c r="J368" s="6">
        <f t="shared" si="5"/>
        <v>1011</v>
      </c>
    </row>
    <row r="369" spans="1:10">
      <c r="A369" s="5">
        <v>197479</v>
      </c>
      <c r="B369" s="5" t="s">
        <v>10</v>
      </c>
      <c r="C369" s="5" t="s">
        <v>37</v>
      </c>
      <c r="D369" s="5" t="s">
        <v>32</v>
      </c>
      <c r="E369" s="5" t="s">
        <v>19</v>
      </c>
      <c r="F369" s="5" t="s">
        <v>14</v>
      </c>
      <c r="G369" s="5" t="s">
        <v>24</v>
      </c>
      <c r="H369" s="5">
        <v>23655</v>
      </c>
      <c r="I369" s="5">
        <v>4700</v>
      </c>
      <c r="J369" s="6">
        <f t="shared" si="5"/>
        <v>18955</v>
      </c>
    </row>
    <row r="370" spans="1:10">
      <c r="A370" s="5">
        <v>32705</v>
      </c>
      <c r="B370" s="5" t="s">
        <v>10</v>
      </c>
      <c r="C370" s="5" t="s">
        <v>11</v>
      </c>
      <c r="D370" s="5" t="s">
        <v>12</v>
      </c>
      <c r="E370" s="5" t="s">
        <v>13</v>
      </c>
      <c r="F370" s="5" t="s">
        <v>14</v>
      </c>
      <c r="G370" s="5" t="s">
        <v>15</v>
      </c>
      <c r="H370" s="5">
        <v>488320</v>
      </c>
      <c r="I370" s="5">
        <v>1768</v>
      </c>
      <c r="J370" s="6">
        <f t="shared" si="5"/>
        <v>486552</v>
      </c>
    </row>
    <row r="371" spans="1:10">
      <c r="A371" s="5">
        <v>142772</v>
      </c>
      <c r="B371" s="5" t="s">
        <v>10</v>
      </c>
      <c r="C371" s="5" t="s">
        <v>27</v>
      </c>
      <c r="D371" s="5" t="s">
        <v>21</v>
      </c>
      <c r="E371" s="5" t="s">
        <v>19</v>
      </c>
      <c r="F371" s="5" t="s">
        <v>14</v>
      </c>
      <c r="G371" s="5" t="s">
        <v>24</v>
      </c>
      <c r="H371" s="5">
        <v>39860</v>
      </c>
      <c r="I371" s="5">
        <v>182</v>
      </c>
      <c r="J371" s="6">
        <f t="shared" si="5"/>
        <v>39678</v>
      </c>
    </row>
    <row r="372" spans="1:10">
      <c r="A372" s="5">
        <v>185174</v>
      </c>
      <c r="B372" s="5" t="s">
        <v>10</v>
      </c>
      <c r="C372" s="5" t="s">
        <v>34</v>
      </c>
      <c r="D372" s="5" t="s">
        <v>30</v>
      </c>
      <c r="E372" s="5" t="s">
        <v>13</v>
      </c>
      <c r="F372" s="5" t="s">
        <v>14</v>
      </c>
      <c r="G372" s="5" t="s">
        <v>15</v>
      </c>
      <c r="H372" s="5">
        <v>151110</v>
      </c>
      <c r="I372" s="5">
        <v>2173</v>
      </c>
      <c r="J372" s="6">
        <f t="shared" si="5"/>
        <v>148937</v>
      </c>
    </row>
    <row r="373" spans="1:10">
      <c r="A373" s="5">
        <v>147525</v>
      </c>
      <c r="B373" s="5" t="s">
        <v>10</v>
      </c>
      <c r="C373" s="5" t="s">
        <v>34</v>
      </c>
      <c r="D373" s="5" t="s">
        <v>12</v>
      </c>
      <c r="E373" s="5" t="s">
        <v>13</v>
      </c>
      <c r="F373" s="5" t="s">
        <v>14</v>
      </c>
      <c r="G373" s="5" t="s">
        <v>15</v>
      </c>
      <c r="H373" s="5">
        <v>308194</v>
      </c>
      <c r="I373" s="5">
        <v>1506</v>
      </c>
      <c r="J373" s="6">
        <f t="shared" si="5"/>
        <v>306688</v>
      </c>
    </row>
    <row r="374" spans="1:10">
      <c r="A374" s="5">
        <v>225887</v>
      </c>
      <c r="B374" s="5" t="s">
        <v>16</v>
      </c>
      <c r="C374" s="5" t="s">
        <v>27</v>
      </c>
      <c r="D374" s="5" t="s">
        <v>23</v>
      </c>
      <c r="E374" s="5" t="s">
        <v>13</v>
      </c>
      <c r="F374" s="5" t="s">
        <v>28</v>
      </c>
      <c r="G374" s="5" t="s">
        <v>24</v>
      </c>
      <c r="H374" s="5">
        <v>18363</v>
      </c>
      <c r="I374" s="5">
        <v>0</v>
      </c>
      <c r="J374" s="6">
        <f t="shared" si="5"/>
        <v>18363</v>
      </c>
    </row>
    <row r="375" spans="1:10">
      <c r="A375" s="5">
        <v>39222</v>
      </c>
      <c r="B375" s="5" t="s">
        <v>10</v>
      </c>
      <c r="C375" s="5" t="s">
        <v>35</v>
      </c>
      <c r="D375" s="5" t="s">
        <v>23</v>
      </c>
      <c r="E375" s="5" t="s">
        <v>19</v>
      </c>
      <c r="F375" s="5" t="s">
        <v>14</v>
      </c>
      <c r="G375" s="5" t="s">
        <v>15</v>
      </c>
      <c r="H375" s="5">
        <v>181275</v>
      </c>
      <c r="I375" s="5">
        <v>25183</v>
      </c>
      <c r="J375" s="6">
        <f t="shared" si="5"/>
        <v>156092</v>
      </c>
    </row>
    <row r="376" spans="1:10">
      <c r="A376" s="5">
        <v>128724</v>
      </c>
      <c r="B376" s="5" t="s">
        <v>16</v>
      </c>
      <c r="C376" s="5" t="s">
        <v>22</v>
      </c>
      <c r="D376" s="5" t="s">
        <v>12</v>
      </c>
      <c r="E376" s="5" t="s">
        <v>19</v>
      </c>
      <c r="F376" s="5" t="s">
        <v>28</v>
      </c>
      <c r="G376" s="5" t="s">
        <v>15</v>
      </c>
      <c r="H376" s="5">
        <v>78850</v>
      </c>
      <c r="I376" s="5">
        <v>63</v>
      </c>
      <c r="J376" s="6">
        <f t="shared" si="5"/>
        <v>78787</v>
      </c>
    </row>
    <row r="377" spans="1:10">
      <c r="A377" s="5">
        <v>136594</v>
      </c>
      <c r="B377" s="5" t="s">
        <v>10</v>
      </c>
      <c r="C377" s="5" t="s">
        <v>34</v>
      </c>
      <c r="D377" s="5" t="s">
        <v>23</v>
      </c>
      <c r="E377" s="5" t="s">
        <v>13</v>
      </c>
      <c r="F377" s="5" t="s">
        <v>14</v>
      </c>
      <c r="G377" s="5" t="s">
        <v>15</v>
      </c>
      <c r="H377" s="5">
        <v>41389</v>
      </c>
      <c r="I377" s="5">
        <v>2307</v>
      </c>
      <c r="J377" s="6">
        <f t="shared" si="5"/>
        <v>39082</v>
      </c>
    </row>
    <row r="378" spans="1:10">
      <c r="A378" s="5">
        <v>209290</v>
      </c>
      <c r="B378" s="5" t="s">
        <v>16</v>
      </c>
      <c r="C378" s="5" t="s">
        <v>38</v>
      </c>
      <c r="D378" s="5" t="s">
        <v>12</v>
      </c>
      <c r="E378" s="5" t="s">
        <v>13</v>
      </c>
      <c r="F378" s="5" t="s">
        <v>14</v>
      </c>
      <c r="G378" s="5" t="s">
        <v>15</v>
      </c>
      <c r="H378" s="5">
        <v>87181</v>
      </c>
      <c r="I378" s="5">
        <v>0</v>
      </c>
      <c r="J378" s="6">
        <f t="shared" si="5"/>
        <v>87181</v>
      </c>
    </row>
    <row r="379" spans="1:10">
      <c r="A379" s="5">
        <v>200944</v>
      </c>
      <c r="B379" s="5" t="s">
        <v>16</v>
      </c>
      <c r="C379" s="5" t="s">
        <v>38</v>
      </c>
      <c r="D379" s="5" t="s">
        <v>21</v>
      </c>
      <c r="E379" s="5" t="s">
        <v>19</v>
      </c>
      <c r="F379" s="5" t="s">
        <v>14</v>
      </c>
      <c r="G379" s="5" t="s">
        <v>15</v>
      </c>
      <c r="H379" s="5">
        <v>38618</v>
      </c>
      <c r="I379" s="5">
        <v>5701</v>
      </c>
      <c r="J379" s="6">
        <f t="shared" si="5"/>
        <v>32917</v>
      </c>
    </row>
    <row r="380" spans="1:10">
      <c r="A380" s="5">
        <v>173364</v>
      </c>
      <c r="B380" s="5" t="s">
        <v>10</v>
      </c>
      <c r="C380" s="5" t="s">
        <v>27</v>
      </c>
      <c r="D380" s="5" t="s">
        <v>30</v>
      </c>
      <c r="E380" s="5" t="s">
        <v>13</v>
      </c>
      <c r="F380" s="5" t="s">
        <v>14</v>
      </c>
      <c r="G380" s="5" t="s">
        <v>24</v>
      </c>
      <c r="H380" s="5">
        <v>108263</v>
      </c>
      <c r="I380" s="5">
        <v>967</v>
      </c>
      <c r="J380" s="6">
        <f t="shared" si="5"/>
        <v>107296</v>
      </c>
    </row>
    <row r="381" spans="1:10">
      <c r="A381" s="5">
        <v>194486</v>
      </c>
      <c r="B381" s="5" t="s">
        <v>10</v>
      </c>
      <c r="C381" s="5" t="s">
        <v>34</v>
      </c>
      <c r="D381" s="5" t="s">
        <v>29</v>
      </c>
      <c r="E381" s="5" t="s">
        <v>13</v>
      </c>
      <c r="F381" s="5" t="s">
        <v>28</v>
      </c>
      <c r="G381" s="5" t="s">
        <v>15</v>
      </c>
      <c r="H381" s="5">
        <v>164958</v>
      </c>
      <c r="I381" s="5">
        <v>1024</v>
      </c>
      <c r="J381" s="6">
        <f t="shared" si="5"/>
        <v>163934</v>
      </c>
    </row>
    <row r="382" spans="1:10">
      <c r="A382" s="5">
        <v>211554</v>
      </c>
      <c r="B382" s="5" t="s">
        <v>16</v>
      </c>
      <c r="C382" s="5" t="s">
        <v>38</v>
      </c>
      <c r="D382" s="5" t="s">
        <v>12</v>
      </c>
      <c r="E382" s="5" t="s">
        <v>13</v>
      </c>
      <c r="F382" s="5" t="s">
        <v>28</v>
      </c>
      <c r="G382" s="5" t="s">
        <v>24</v>
      </c>
      <c r="H382" s="5">
        <v>33655</v>
      </c>
      <c r="I382" s="5">
        <v>157</v>
      </c>
      <c r="J382" s="6">
        <f t="shared" si="5"/>
        <v>33498</v>
      </c>
    </row>
    <row r="383" spans="1:10">
      <c r="A383" s="5">
        <v>49303</v>
      </c>
      <c r="B383" s="5" t="s">
        <v>10</v>
      </c>
      <c r="C383" s="5" t="s">
        <v>35</v>
      </c>
      <c r="D383" s="5" t="s">
        <v>36</v>
      </c>
      <c r="E383" s="5" t="s">
        <v>13</v>
      </c>
      <c r="F383" s="5" t="s">
        <v>14</v>
      </c>
      <c r="G383" s="5" t="s">
        <v>15</v>
      </c>
      <c r="H383" s="5">
        <v>69036</v>
      </c>
      <c r="I383" s="5">
        <v>25466</v>
      </c>
      <c r="J383" s="6">
        <f t="shared" si="5"/>
        <v>43570</v>
      </c>
    </row>
    <row r="384" spans="1:10">
      <c r="A384" s="5">
        <v>96878</v>
      </c>
      <c r="B384" s="5" t="s">
        <v>10</v>
      </c>
      <c r="C384" s="5" t="s">
        <v>37</v>
      </c>
      <c r="D384" s="5" t="s">
        <v>12</v>
      </c>
      <c r="E384" s="5" t="s">
        <v>13</v>
      </c>
      <c r="F384" s="5" t="s">
        <v>14</v>
      </c>
      <c r="G384" s="5" t="s">
        <v>15</v>
      </c>
      <c r="H384" s="5">
        <v>74892</v>
      </c>
      <c r="I384" s="5">
        <v>495</v>
      </c>
      <c r="J384" s="6">
        <f t="shared" si="5"/>
        <v>74397</v>
      </c>
    </row>
    <row r="385" spans="1:10">
      <c r="A385" s="5">
        <v>228761</v>
      </c>
      <c r="B385" s="5" t="s">
        <v>10</v>
      </c>
      <c r="C385" s="5" t="s">
        <v>17</v>
      </c>
      <c r="D385" s="5" t="s">
        <v>18</v>
      </c>
      <c r="E385" s="5" t="s">
        <v>19</v>
      </c>
      <c r="F385" s="5" t="s">
        <v>14</v>
      </c>
      <c r="G385" s="5" t="s">
        <v>15</v>
      </c>
      <c r="H385" s="5">
        <v>96112</v>
      </c>
      <c r="I385" s="5">
        <v>5788</v>
      </c>
      <c r="J385" s="6">
        <f t="shared" si="5"/>
        <v>90324</v>
      </c>
    </row>
    <row r="386" spans="1:10">
      <c r="A386" s="5">
        <v>117040</v>
      </c>
      <c r="B386" s="5" t="s">
        <v>10</v>
      </c>
      <c r="C386" s="5" t="s">
        <v>31</v>
      </c>
      <c r="D386" s="5" t="s">
        <v>21</v>
      </c>
      <c r="E386" s="5" t="s">
        <v>19</v>
      </c>
      <c r="F386" s="5" t="s">
        <v>28</v>
      </c>
      <c r="G386" s="5" t="s">
        <v>24</v>
      </c>
      <c r="H386" s="5">
        <v>30087</v>
      </c>
      <c r="I386" s="5">
        <v>783</v>
      </c>
      <c r="J386" s="6">
        <f t="shared" ref="J386:J449" si="6">H386-I386</f>
        <v>29304</v>
      </c>
    </row>
    <row r="387" spans="1:10">
      <c r="A387" s="5">
        <v>186395</v>
      </c>
      <c r="B387" s="5" t="s">
        <v>16</v>
      </c>
      <c r="C387" s="5" t="s">
        <v>38</v>
      </c>
      <c r="D387" s="5" t="s">
        <v>33</v>
      </c>
      <c r="E387" s="5" t="s">
        <v>13</v>
      </c>
      <c r="F387" s="5" t="s">
        <v>14</v>
      </c>
      <c r="G387" s="5" t="s">
        <v>15</v>
      </c>
      <c r="H387" s="5">
        <v>91742</v>
      </c>
      <c r="I387" s="5">
        <v>2148</v>
      </c>
      <c r="J387" s="6">
        <f t="shared" si="6"/>
        <v>89594</v>
      </c>
    </row>
    <row r="388" spans="1:10">
      <c r="A388" s="5">
        <v>2128</v>
      </c>
      <c r="B388" s="5" t="s">
        <v>10</v>
      </c>
      <c r="C388" s="5" t="s">
        <v>39</v>
      </c>
      <c r="D388" s="5" t="s">
        <v>12</v>
      </c>
      <c r="E388" s="5" t="s">
        <v>13</v>
      </c>
      <c r="F388" s="5" t="s">
        <v>14</v>
      </c>
      <c r="G388" s="5" t="s">
        <v>15</v>
      </c>
      <c r="H388" s="5">
        <v>28828</v>
      </c>
      <c r="I388" s="5">
        <v>352</v>
      </c>
      <c r="J388" s="6">
        <f t="shared" si="6"/>
        <v>28476</v>
      </c>
    </row>
    <row r="389" spans="1:10">
      <c r="A389" s="5">
        <v>89037</v>
      </c>
      <c r="B389" s="5" t="s">
        <v>10</v>
      </c>
      <c r="C389" s="5" t="s">
        <v>37</v>
      </c>
      <c r="D389" s="5" t="s">
        <v>30</v>
      </c>
      <c r="E389" s="5" t="s">
        <v>13</v>
      </c>
      <c r="F389" s="5" t="s">
        <v>14</v>
      </c>
      <c r="G389" s="5" t="s">
        <v>15</v>
      </c>
      <c r="H389" s="5">
        <v>64806</v>
      </c>
      <c r="I389" s="5">
        <v>1159</v>
      </c>
      <c r="J389" s="6">
        <f t="shared" si="6"/>
        <v>63647</v>
      </c>
    </row>
    <row r="390" spans="1:10">
      <c r="A390" s="5">
        <v>129259</v>
      </c>
      <c r="B390" s="5" t="s">
        <v>16</v>
      </c>
      <c r="C390" s="5" t="s">
        <v>22</v>
      </c>
      <c r="D390" s="5" t="s">
        <v>36</v>
      </c>
      <c r="E390" s="5" t="s">
        <v>19</v>
      </c>
      <c r="F390" s="5" t="s">
        <v>28</v>
      </c>
      <c r="G390" s="5" t="s">
        <v>24</v>
      </c>
      <c r="H390" s="5">
        <v>35360</v>
      </c>
      <c r="I390" s="5">
        <v>9295</v>
      </c>
      <c r="J390" s="6">
        <f t="shared" si="6"/>
        <v>26065</v>
      </c>
    </row>
    <row r="391" spans="1:10">
      <c r="A391" s="5">
        <v>73845</v>
      </c>
      <c r="B391" s="5" t="s">
        <v>16</v>
      </c>
      <c r="C391" s="5" t="s">
        <v>11</v>
      </c>
      <c r="D391" s="5" t="s">
        <v>18</v>
      </c>
      <c r="E391" s="5" t="s">
        <v>19</v>
      </c>
      <c r="F391" s="5" t="s">
        <v>14</v>
      </c>
      <c r="G391" s="5" t="s">
        <v>24</v>
      </c>
      <c r="H391" s="5">
        <v>72218</v>
      </c>
      <c r="I391" s="5">
        <v>1140</v>
      </c>
      <c r="J391" s="6">
        <f t="shared" si="6"/>
        <v>71078</v>
      </c>
    </row>
    <row r="392" spans="1:10">
      <c r="A392" s="5">
        <v>67588</v>
      </c>
      <c r="B392" s="5" t="s">
        <v>10</v>
      </c>
      <c r="C392" s="5" t="s">
        <v>27</v>
      </c>
      <c r="D392" s="5" t="s">
        <v>29</v>
      </c>
      <c r="E392" s="5" t="s">
        <v>13</v>
      </c>
      <c r="F392" s="5" t="s">
        <v>28</v>
      </c>
      <c r="G392" s="5" t="s">
        <v>24</v>
      </c>
      <c r="H392" s="5">
        <v>79835</v>
      </c>
      <c r="I392" s="5">
        <v>1357</v>
      </c>
      <c r="J392" s="6">
        <f t="shared" si="6"/>
        <v>78478</v>
      </c>
    </row>
    <row r="393" spans="1:10">
      <c r="A393" s="5">
        <v>105731</v>
      </c>
      <c r="B393" s="5" t="s">
        <v>10</v>
      </c>
      <c r="C393" s="5" t="s">
        <v>22</v>
      </c>
      <c r="D393" s="5" t="s">
        <v>23</v>
      </c>
      <c r="E393" s="5" t="s">
        <v>13</v>
      </c>
      <c r="F393" s="5" t="s">
        <v>14</v>
      </c>
      <c r="G393" s="5" t="s">
        <v>15</v>
      </c>
      <c r="H393" s="5">
        <v>85896</v>
      </c>
      <c r="I393" s="5">
        <v>6278</v>
      </c>
      <c r="J393" s="6">
        <f t="shared" si="6"/>
        <v>79618</v>
      </c>
    </row>
    <row r="394" spans="1:10">
      <c r="A394" s="5">
        <v>185676</v>
      </c>
      <c r="B394" s="5" t="s">
        <v>10</v>
      </c>
      <c r="C394" s="5" t="s">
        <v>37</v>
      </c>
      <c r="D394" s="5" t="s">
        <v>12</v>
      </c>
      <c r="E394" s="5" t="s">
        <v>13</v>
      </c>
      <c r="F394" s="5" t="s">
        <v>14</v>
      </c>
      <c r="G394" s="5" t="s">
        <v>15</v>
      </c>
      <c r="H394" s="5">
        <v>51113</v>
      </c>
      <c r="I394" s="5">
        <v>1575</v>
      </c>
      <c r="J394" s="6">
        <f t="shared" si="6"/>
        <v>49538</v>
      </c>
    </row>
    <row r="395" spans="1:10">
      <c r="A395" s="5">
        <v>150676</v>
      </c>
      <c r="B395" s="5" t="s">
        <v>10</v>
      </c>
      <c r="C395" s="5" t="s">
        <v>27</v>
      </c>
      <c r="D395" s="5" t="s">
        <v>23</v>
      </c>
      <c r="E395" s="5" t="s">
        <v>13</v>
      </c>
      <c r="F395" s="5" t="s">
        <v>14</v>
      </c>
      <c r="G395" s="5" t="s">
        <v>24</v>
      </c>
      <c r="H395" s="5">
        <v>50304</v>
      </c>
      <c r="I395" s="5">
        <v>8420</v>
      </c>
      <c r="J395" s="6">
        <f t="shared" si="6"/>
        <v>41884</v>
      </c>
    </row>
    <row r="396" spans="1:10">
      <c r="A396" s="5">
        <v>209389</v>
      </c>
      <c r="B396" s="5" t="s">
        <v>10</v>
      </c>
      <c r="C396" s="5" t="s">
        <v>38</v>
      </c>
      <c r="D396" s="5" t="s">
        <v>32</v>
      </c>
      <c r="E396" s="5" t="s">
        <v>13</v>
      </c>
      <c r="F396" s="5" t="s">
        <v>14</v>
      </c>
      <c r="G396" s="5" t="s">
        <v>15</v>
      </c>
      <c r="H396" s="5">
        <v>15571</v>
      </c>
      <c r="I396" s="5">
        <v>1705</v>
      </c>
      <c r="J396" s="6">
        <f t="shared" si="6"/>
        <v>13866</v>
      </c>
    </row>
    <row r="397" spans="1:10">
      <c r="A397" s="5">
        <v>143332</v>
      </c>
      <c r="B397" s="5" t="s">
        <v>10</v>
      </c>
      <c r="C397" s="5" t="s">
        <v>22</v>
      </c>
      <c r="D397" s="5" t="s">
        <v>12</v>
      </c>
      <c r="E397" s="5" t="s">
        <v>13</v>
      </c>
      <c r="F397" s="5" t="s">
        <v>14</v>
      </c>
      <c r="G397" s="5" t="s">
        <v>15</v>
      </c>
      <c r="H397" s="5">
        <v>81769</v>
      </c>
      <c r="I397" s="5">
        <v>2726</v>
      </c>
      <c r="J397" s="6">
        <f t="shared" si="6"/>
        <v>79043</v>
      </c>
    </row>
    <row r="398" spans="1:10">
      <c r="A398" s="5">
        <v>190050</v>
      </c>
      <c r="B398" s="5" t="s">
        <v>16</v>
      </c>
      <c r="C398" s="5" t="s">
        <v>37</v>
      </c>
      <c r="D398" s="5" t="s">
        <v>32</v>
      </c>
      <c r="E398" s="5" t="s">
        <v>19</v>
      </c>
      <c r="F398" s="5" t="s">
        <v>28</v>
      </c>
      <c r="G398" s="5" t="s">
        <v>24</v>
      </c>
      <c r="H398" s="5">
        <v>1144</v>
      </c>
      <c r="I398" s="5">
        <v>0</v>
      </c>
      <c r="J398" s="6">
        <f t="shared" si="6"/>
        <v>1144</v>
      </c>
    </row>
    <row r="399" spans="1:10">
      <c r="A399" s="5">
        <v>194148</v>
      </c>
      <c r="B399" s="5" t="s">
        <v>16</v>
      </c>
      <c r="C399" s="5" t="s">
        <v>34</v>
      </c>
      <c r="D399" s="5" t="s">
        <v>26</v>
      </c>
      <c r="E399" s="5" t="s">
        <v>19</v>
      </c>
      <c r="F399" s="5" t="s">
        <v>14</v>
      </c>
      <c r="G399" s="5" t="s">
        <v>24</v>
      </c>
      <c r="H399" s="5">
        <v>19039</v>
      </c>
      <c r="I399" s="5">
        <v>678</v>
      </c>
      <c r="J399" s="6">
        <f t="shared" si="6"/>
        <v>18361</v>
      </c>
    </row>
    <row r="400" spans="1:10">
      <c r="A400" s="5">
        <v>165016</v>
      </c>
      <c r="B400" s="5" t="s">
        <v>16</v>
      </c>
      <c r="C400" s="5" t="s">
        <v>17</v>
      </c>
      <c r="D400" s="5" t="s">
        <v>21</v>
      </c>
      <c r="E400" s="5" t="s">
        <v>19</v>
      </c>
      <c r="F400" s="5" t="s">
        <v>14</v>
      </c>
      <c r="G400" s="5" t="s">
        <v>24</v>
      </c>
      <c r="H400" s="5">
        <v>31289</v>
      </c>
      <c r="I400" s="5">
        <v>308</v>
      </c>
      <c r="J400" s="6">
        <f t="shared" si="6"/>
        <v>30981</v>
      </c>
    </row>
    <row r="401" spans="1:10">
      <c r="A401" s="5">
        <v>57633</v>
      </c>
      <c r="B401" s="5" t="s">
        <v>16</v>
      </c>
      <c r="C401" s="5" t="s">
        <v>11</v>
      </c>
      <c r="D401" s="5" t="s">
        <v>36</v>
      </c>
      <c r="E401" s="5" t="s">
        <v>13</v>
      </c>
      <c r="F401" s="5" t="s">
        <v>14</v>
      </c>
      <c r="G401" s="5" t="s">
        <v>24</v>
      </c>
      <c r="H401" s="5">
        <v>12492</v>
      </c>
      <c r="I401" s="5">
        <v>47</v>
      </c>
      <c r="J401" s="6">
        <f t="shared" si="6"/>
        <v>12445</v>
      </c>
    </row>
    <row r="402" spans="1:10">
      <c r="A402" s="5">
        <v>251900</v>
      </c>
      <c r="B402" s="5" t="s">
        <v>10</v>
      </c>
      <c r="C402" s="5" t="s">
        <v>25</v>
      </c>
      <c r="D402" s="5" t="s">
        <v>26</v>
      </c>
      <c r="E402" s="5" t="s">
        <v>19</v>
      </c>
      <c r="F402" s="5" t="s">
        <v>28</v>
      </c>
      <c r="G402" s="5" t="s">
        <v>24</v>
      </c>
      <c r="H402" s="5">
        <v>34940</v>
      </c>
      <c r="I402" s="5">
        <v>225</v>
      </c>
      <c r="J402" s="6">
        <f t="shared" si="6"/>
        <v>34715</v>
      </c>
    </row>
    <row r="403" spans="1:10">
      <c r="A403" s="5">
        <v>143187</v>
      </c>
      <c r="B403" s="5" t="s">
        <v>10</v>
      </c>
      <c r="C403" s="5" t="s">
        <v>38</v>
      </c>
      <c r="D403" s="5" t="s">
        <v>21</v>
      </c>
      <c r="E403" s="5" t="s">
        <v>13</v>
      </c>
      <c r="F403" s="5" t="s">
        <v>28</v>
      </c>
      <c r="G403" s="5" t="s">
        <v>15</v>
      </c>
      <c r="H403" s="5">
        <v>14743</v>
      </c>
      <c r="I403" s="5">
        <v>0</v>
      </c>
      <c r="J403" s="6">
        <f t="shared" si="6"/>
        <v>14743</v>
      </c>
    </row>
    <row r="404" spans="1:10">
      <c r="A404" s="5">
        <v>237902</v>
      </c>
      <c r="B404" s="5" t="s">
        <v>10</v>
      </c>
      <c r="C404" s="5" t="s">
        <v>22</v>
      </c>
      <c r="D404" s="5" t="s">
        <v>29</v>
      </c>
      <c r="E404" s="5" t="s">
        <v>13</v>
      </c>
      <c r="F404" s="5" t="s">
        <v>14</v>
      </c>
      <c r="G404" s="5" t="s">
        <v>24</v>
      </c>
      <c r="H404" s="5">
        <v>59661</v>
      </c>
      <c r="I404" s="5">
        <v>1843</v>
      </c>
      <c r="J404" s="6">
        <f t="shared" si="6"/>
        <v>57818</v>
      </c>
    </row>
    <row r="405" spans="1:10">
      <c r="A405" s="5">
        <v>171585</v>
      </c>
      <c r="B405" s="5" t="s">
        <v>16</v>
      </c>
      <c r="C405" s="5" t="s">
        <v>31</v>
      </c>
      <c r="D405" s="5" t="s">
        <v>21</v>
      </c>
      <c r="E405" s="5" t="s">
        <v>19</v>
      </c>
      <c r="F405" s="5" t="s">
        <v>14</v>
      </c>
      <c r="G405" s="5" t="s">
        <v>24</v>
      </c>
      <c r="H405" s="5">
        <v>37787</v>
      </c>
      <c r="I405" s="5">
        <v>0</v>
      </c>
      <c r="J405" s="6">
        <f t="shared" si="6"/>
        <v>37787</v>
      </c>
    </row>
    <row r="406" spans="1:10">
      <c r="A406" s="5">
        <v>132046</v>
      </c>
      <c r="B406" s="5" t="s">
        <v>16</v>
      </c>
      <c r="C406" s="5" t="s">
        <v>25</v>
      </c>
      <c r="D406" s="5" t="s">
        <v>33</v>
      </c>
      <c r="E406" s="5" t="s">
        <v>19</v>
      </c>
      <c r="F406" s="5" t="s">
        <v>14</v>
      </c>
      <c r="G406" s="5" t="s">
        <v>15</v>
      </c>
      <c r="H406" s="5">
        <v>67807</v>
      </c>
      <c r="I406" s="5">
        <v>1266</v>
      </c>
      <c r="J406" s="6">
        <f t="shared" si="6"/>
        <v>66541</v>
      </c>
    </row>
    <row r="407" spans="1:10">
      <c r="A407" s="5">
        <v>196833</v>
      </c>
      <c r="B407" s="5" t="s">
        <v>16</v>
      </c>
      <c r="C407" s="5" t="s">
        <v>11</v>
      </c>
      <c r="D407" s="5" t="s">
        <v>33</v>
      </c>
      <c r="E407" s="5" t="s">
        <v>13</v>
      </c>
      <c r="F407" s="5" t="s">
        <v>14</v>
      </c>
      <c r="G407" s="5" t="s">
        <v>15</v>
      </c>
      <c r="H407" s="5">
        <v>66885</v>
      </c>
      <c r="I407" s="5">
        <v>2920</v>
      </c>
      <c r="J407" s="6">
        <f t="shared" si="6"/>
        <v>63965</v>
      </c>
    </row>
    <row r="408" spans="1:10">
      <c r="A408" s="5">
        <v>116001</v>
      </c>
      <c r="B408" s="5" t="s">
        <v>16</v>
      </c>
      <c r="C408" s="5" t="s">
        <v>25</v>
      </c>
      <c r="D408" s="5" t="s">
        <v>30</v>
      </c>
      <c r="E408" s="5" t="s">
        <v>13</v>
      </c>
      <c r="F408" s="5" t="s">
        <v>14</v>
      </c>
      <c r="G408" s="5" t="s">
        <v>24</v>
      </c>
      <c r="H408" s="5">
        <v>32101</v>
      </c>
      <c r="I408" s="5">
        <v>375</v>
      </c>
      <c r="J408" s="6">
        <f t="shared" si="6"/>
        <v>31726</v>
      </c>
    </row>
    <row r="409" spans="1:10">
      <c r="A409" s="5">
        <v>123013</v>
      </c>
      <c r="B409" s="5" t="s">
        <v>10</v>
      </c>
      <c r="C409" s="5" t="s">
        <v>25</v>
      </c>
      <c r="D409" s="5" t="s">
        <v>26</v>
      </c>
      <c r="E409" s="5" t="s">
        <v>19</v>
      </c>
      <c r="F409" s="5" t="s">
        <v>14</v>
      </c>
      <c r="G409" s="5" t="s">
        <v>24</v>
      </c>
      <c r="H409" s="5">
        <v>73390</v>
      </c>
      <c r="I409" s="5">
        <v>7469</v>
      </c>
      <c r="J409" s="6">
        <f t="shared" si="6"/>
        <v>65921</v>
      </c>
    </row>
    <row r="410" spans="1:10">
      <c r="A410" s="5">
        <v>152663</v>
      </c>
      <c r="B410" s="5" t="s">
        <v>16</v>
      </c>
      <c r="C410" s="5" t="s">
        <v>22</v>
      </c>
      <c r="D410" s="5" t="s">
        <v>12</v>
      </c>
      <c r="E410" s="5" t="s">
        <v>13</v>
      </c>
      <c r="F410" s="5" t="s">
        <v>14</v>
      </c>
      <c r="G410" s="5" t="s">
        <v>15</v>
      </c>
      <c r="H410" s="5">
        <v>61922</v>
      </c>
      <c r="I410" s="5">
        <v>2084</v>
      </c>
      <c r="J410" s="6">
        <f t="shared" si="6"/>
        <v>59838</v>
      </c>
    </row>
    <row r="411" spans="1:10">
      <c r="A411" s="5">
        <v>84840</v>
      </c>
      <c r="B411" s="5" t="s">
        <v>10</v>
      </c>
      <c r="C411" s="5" t="s">
        <v>11</v>
      </c>
      <c r="D411" s="5" t="s">
        <v>12</v>
      </c>
      <c r="E411" s="5" t="s">
        <v>13</v>
      </c>
      <c r="F411" s="5" t="s">
        <v>14</v>
      </c>
      <c r="G411" s="5" t="s">
        <v>15</v>
      </c>
      <c r="H411" s="5">
        <v>215808</v>
      </c>
      <c r="I411" s="5">
        <v>1447</v>
      </c>
      <c r="J411" s="6">
        <f t="shared" si="6"/>
        <v>214361</v>
      </c>
    </row>
    <row r="412" spans="1:10">
      <c r="A412" s="5">
        <v>236789</v>
      </c>
      <c r="B412" s="5" t="s">
        <v>16</v>
      </c>
      <c r="C412" s="5" t="s">
        <v>17</v>
      </c>
      <c r="D412" s="5" t="s">
        <v>21</v>
      </c>
      <c r="E412" s="5" t="s">
        <v>19</v>
      </c>
      <c r="F412" s="5" t="s">
        <v>28</v>
      </c>
      <c r="G412" s="5" t="s">
        <v>24</v>
      </c>
      <c r="H412" s="5">
        <v>9150</v>
      </c>
      <c r="I412" s="5">
        <v>135</v>
      </c>
      <c r="J412" s="6">
        <f t="shared" si="6"/>
        <v>9015</v>
      </c>
    </row>
    <row r="413" spans="1:10">
      <c r="A413" s="5">
        <v>178503</v>
      </c>
      <c r="B413" s="5" t="s">
        <v>16</v>
      </c>
      <c r="C413" s="5" t="s">
        <v>22</v>
      </c>
      <c r="D413" s="5" t="s">
        <v>30</v>
      </c>
      <c r="E413" s="5" t="s">
        <v>19</v>
      </c>
      <c r="F413" s="5" t="s">
        <v>28</v>
      </c>
      <c r="G413" s="5" t="s">
        <v>24</v>
      </c>
      <c r="H413" s="5">
        <v>56215</v>
      </c>
      <c r="I413" s="5">
        <v>1479</v>
      </c>
      <c r="J413" s="6">
        <f t="shared" si="6"/>
        <v>54736</v>
      </c>
    </row>
    <row r="414" spans="1:10">
      <c r="A414" s="5">
        <v>116627</v>
      </c>
      <c r="B414" s="5" t="s">
        <v>10</v>
      </c>
      <c r="C414" s="5" t="s">
        <v>27</v>
      </c>
      <c r="D414" s="5" t="s">
        <v>36</v>
      </c>
      <c r="E414" s="5" t="s">
        <v>13</v>
      </c>
      <c r="F414" s="5" t="s">
        <v>14</v>
      </c>
      <c r="G414" s="5" t="s">
        <v>24</v>
      </c>
      <c r="H414" s="5">
        <v>45100</v>
      </c>
      <c r="I414" s="5">
        <v>1343</v>
      </c>
      <c r="J414" s="6">
        <f t="shared" si="6"/>
        <v>43757</v>
      </c>
    </row>
    <row r="415" spans="1:10">
      <c r="A415" s="5">
        <v>130432</v>
      </c>
      <c r="B415" s="5" t="s">
        <v>10</v>
      </c>
      <c r="C415" s="5" t="s">
        <v>25</v>
      </c>
      <c r="D415" s="5" t="s">
        <v>23</v>
      </c>
      <c r="E415" s="5" t="s">
        <v>19</v>
      </c>
      <c r="F415" s="5" t="s">
        <v>28</v>
      </c>
      <c r="G415" s="5" t="s">
        <v>15</v>
      </c>
      <c r="H415" s="5">
        <v>57408</v>
      </c>
      <c r="I415" s="5">
        <v>2133</v>
      </c>
      <c r="J415" s="6">
        <f t="shared" si="6"/>
        <v>55275</v>
      </c>
    </row>
    <row r="416" spans="1:10">
      <c r="A416" s="5">
        <v>16946</v>
      </c>
      <c r="B416" s="5" t="s">
        <v>10</v>
      </c>
      <c r="C416" s="5" t="s">
        <v>11</v>
      </c>
      <c r="D416" s="5" t="s">
        <v>33</v>
      </c>
      <c r="E416" s="5" t="s">
        <v>13</v>
      </c>
      <c r="F416" s="5" t="s">
        <v>14</v>
      </c>
      <c r="G416" s="5" t="s">
        <v>15</v>
      </c>
      <c r="H416" s="5">
        <v>72575</v>
      </c>
      <c r="I416" s="5">
        <v>2319</v>
      </c>
      <c r="J416" s="6">
        <f t="shared" si="6"/>
        <v>70256</v>
      </c>
    </row>
    <row r="417" spans="1:10">
      <c r="A417" s="5">
        <v>156832</v>
      </c>
      <c r="B417" s="5" t="s">
        <v>16</v>
      </c>
      <c r="C417" s="5" t="s">
        <v>25</v>
      </c>
      <c r="D417" s="5" t="s">
        <v>36</v>
      </c>
      <c r="E417" s="5" t="s">
        <v>13</v>
      </c>
      <c r="F417" s="5" t="s">
        <v>14</v>
      </c>
      <c r="G417" s="5" t="s">
        <v>24</v>
      </c>
      <c r="H417" s="5">
        <v>7581</v>
      </c>
      <c r="I417" s="5">
        <v>0</v>
      </c>
      <c r="J417" s="6">
        <f t="shared" si="6"/>
        <v>7581</v>
      </c>
    </row>
    <row r="418" spans="1:10">
      <c r="A418" s="5">
        <v>7881</v>
      </c>
      <c r="B418" s="5" t="s">
        <v>16</v>
      </c>
      <c r="C418" s="5" t="s">
        <v>37</v>
      </c>
      <c r="D418" s="5" t="s">
        <v>36</v>
      </c>
      <c r="E418" s="5" t="s">
        <v>13</v>
      </c>
      <c r="F418" s="5" t="s">
        <v>14</v>
      </c>
      <c r="G418" s="5" t="s">
        <v>15</v>
      </c>
      <c r="H418" s="5">
        <v>12457</v>
      </c>
      <c r="I418" s="5">
        <v>1625</v>
      </c>
      <c r="J418" s="6">
        <f t="shared" si="6"/>
        <v>10832</v>
      </c>
    </row>
    <row r="419" spans="1:10">
      <c r="A419" s="5">
        <v>79667</v>
      </c>
      <c r="B419" s="5" t="s">
        <v>16</v>
      </c>
      <c r="C419" s="5" t="s">
        <v>38</v>
      </c>
      <c r="D419" s="5" t="s">
        <v>30</v>
      </c>
      <c r="E419" s="5" t="s">
        <v>13</v>
      </c>
      <c r="F419" s="5" t="s">
        <v>14</v>
      </c>
      <c r="G419" s="5" t="s">
        <v>15</v>
      </c>
      <c r="H419" s="5">
        <v>60686</v>
      </c>
      <c r="I419" s="5">
        <v>766</v>
      </c>
      <c r="J419" s="6">
        <f t="shared" si="6"/>
        <v>59920</v>
      </c>
    </row>
    <row r="420" spans="1:10">
      <c r="A420" s="5">
        <v>246133</v>
      </c>
      <c r="B420" s="5" t="s">
        <v>10</v>
      </c>
      <c r="C420" s="5" t="s">
        <v>22</v>
      </c>
      <c r="D420" s="5" t="s">
        <v>12</v>
      </c>
      <c r="E420" s="5" t="s">
        <v>19</v>
      </c>
      <c r="F420" s="5" t="s">
        <v>14</v>
      </c>
      <c r="G420" s="5" t="s">
        <v>24</v>
      </c>
      <c r="H420" s="5">
        <v>65324</v>
      </c>
      <c r="I420" s="5">
        <v>3664</v>
      </c>
      <c r="J420" s="6">
        <f t="shared" si="6"/>
        <v>61660</v>
      </c>
    </row>
    <row r="421" spans="1:10">
      <c r="A421" s="5">
        <v>8786</v>
      </c>
      <c r="B421" s="5" t="s">
        <v>10</v>
      </c>
      <c r="C421" s="5" t="s">
        <v>37</v>
      </c>
      <c r="D421" s="5" t="s">
        <v>12</v>
      </c>
      <c r="E421" s="5" t="s">
        <v>13</v>
      </c>
      <c r="F421" s="5" t="s">
        <v>14</v>
      </c>
      <c r="G421" s="5" t="s">
        <v>24</v>
      </c>
      <c r="H421" s="5">
        <v>84938</v>
      </c>
      <c r="I421" s="5">
        <v>3891</v>
      </c>
      <c r="J421" s="6">
        <f t="shared" si="6"/>
        <v>81047</v>
      </c>
    </row>
    <row r="422" spans="1:10">
      <c r="A422" s="5">
        <v>152511</v>
      </c>
      <c r="B422" s="5" t="s">
        <v>16</v>
      </c>
      <c r="C422" s="5" t="s">
        <v>22</v>
      </c>
      <c r="D422" s="5" t="s">
        <v>21</v>
      </c>
      <c r="E422" s="5" t="s">
        <v>13</v>
      </c>
      <c r="F422" s="5" t="s">
        <v>28</v>
      </c>
      <c r="G422" s="5" t="s">
        <v>15</v>
      </c>
      <c r="H422" s="5">
        <v>55</v>
      </c>
      <c r="I422" s="5">
        <v>0</v>
      </c>
      <c r="J422" s="6">
        <f t="shared" si="6"/>
        <v>55</v>
      </c>
    </row>
    <row r="423" spans="1:10">
      <c r="A423" s="5">
        <v>87445</v>
      </c>
      <c r="B423" s="5" t="s">
        <v>16</v>
      </c>
      <c r="C423" s="5" t="s">
        <v>38</v>
      </c>
      <c r="D423" s="5" t="s">
        <v>33</v>
      </c>
      <c r="E423" s="5" t="s">
        <v>19</v>
      </c>
      <c r="F423" s="5" t="s">
        <v>14</v>
      </c>
      <c r="G423" s="5" t="s">
        <v>24</v>
      </c>
      <c r="H423" s="5">
        <v>33227</v>
      </c>
      <c r="I423" s="5">
        <v>601</v>
      </c>
      <c r="J423" s="6">
        <f t="shared" si="6"/>
        <v>32626</v>
      </c>
    </row>
    <row r="424" spans="1:10">
      <c r="A424" s="5">
        <v>42275</v>
      </c>
      <c r="B424" s="5" t="s">
        <v>16</v>
      </c>
      <c r="C424" s="5" t="s">
        <v>35</v>
      </c>
      <c r="D424" s="5" t="s">
        <v>21</v>
      </c>
      <c r="E424" s="5" t="s">
        <v>13</v>
      </c>
      <c r="F424" s="5" t="s">
        <v>14</v>
      </c>
      <c r="G424" s="5" t="s">
        <v>15</v>
      </c>
      <c r="H424" s="5">
        <v>259130</v>
      </c>
      <c r="I424" s="5">
        <v>2767</v>
      </c>
      <c r="J424" s="6">
        <f t="shared" si="6"/>
        <v>256363</v>
      </c>
    </row>
    <row r="425" spans="1:10">
      <c r="A425" s="5">
        <v>17240</v>
      </c>
      <c r="B425" s="5" t="s">
        <v>10</v>
      </c>
      <c r="C425" s="5" t="s">
        <v>34</v>
      </c>
      <c r="D425" s="5" t="s">
        <v>23</v>
      </c>
      <c r="E425" s="5" t="s">
        <v>19</v>
      </c>
      <c r="F425" s="5" t="s">
        <v>14</v>
      </c>
      <c r="G425" s="5" t="s">
        <v>15</v>
      </c>
      <c r="H425" s="5">
        <v>19372</v>
      </c>
      <c r="I425" s="5">
        <v>285</v>
      </c>
      <c r="J425" s="6">
        <f t="shared" si="6"/>
        <v>19087</v>
      </c>
    </row>
    <row r="426" spans="1:10">
      <c r="A426" s="5">
        <v>185176</v>
      </c>
      <c r="B426" s="5" t="s">
        <v>16</v>
      </c>
      <c r="C426" s="5" t="s">
        <v>11</v>
      </c>
      <c r="D426" s="5" t="s">
        <v>21</v>
      </c>
      <c r="E426" s="5" t="s">
        <v>13</v>
      </c>
      <c r="F426" s="5" t="s">
        <v>28</v>
      </c>
      <c r="G426" s="5" t="s">
        <v>15</v>
      </c>
      <c r="H426" s="5">
        <v>34027</v>
      </c>
      <c r="I426" s="5">
        <v>1431</v>
      </c>
      <c r="J426" s="6">
        <f t="shared" si="6"/>
        <v>32596</v>
      </c>
    </row>
    <row r="427" spans="1:10">
      <c r="A427" s="5">
        <v>141860</v>
      </c>
      <c r="B427" s="5" t="s">
        <v>16</v>
      </c>
      <c r="C427" s="5" t="s">
        <v>22</v>
      </c>
      <c r="D427" s="5" t="s">
        <v>26</v>
      </c>
      <c r="E427" s="5" t="s">
        <v>19</v>
      </c>
      <c r="F427" s="5" t="s">
        <v>28</v>
      </c>
      <c r="G427" s="5" t="s">
        <v>24</v>
      </c>
      <c r="H427" s="5">
        <v>11742</v>
      </c>
      <c r="I427" s="5">
        <v>0</v>
      </c>
      <c r="J427" s="6">
        <f t="shared" si="6"/>
        <v>11742</v>
      </c>
    </row>
    <row r="428" spans="1:10">
      <c r="A428" s="5">
        <v>211654</v>
      </c>
      <c r="B428" s="5" t="s">
        <v>16</v>
      </c>
      <c r="C428" s="5" t="s">
        <v>38</v>
      </c>
      <c r="D428" s="5" t="s">
        <v>36</v>
      </c>
      <c r="E428" s="5" t="s">
        <v>19</v>
      </c>
      <c r="F428" s="5" t="s">
        <v>14</v>
      </c>
      <c r="G428" s="5" t="s">
        <v>24</v>
      </c>
      <c r="H428" s="5">
        <v>47796</v>
      </c>
      <c r="I428" s="5">
        <v>670</v>
      </c>
      <c r="J428" s="6">
        <f t="shared" si="6"/>
        <v>47126</v>
      </c>
    </row>
    <row r="429" spans="1:10">
      <c r="A429" s="5">
        <v>190387</v>
      </c>
      <c r="B429" s="5" t="s">
        <v>10</v>
      </c>
      <c r="C429" s="5" t="s">
        <v>38</v>
      </c>
      <c r="D429" s="5" t="s">
        <v>30</v>
      </c>
      <c r="E429" s="5" t="s">
        <v>13</v>
      </c>
      <c r="F429" s="5" t="s">
        <v>14</v>
      </c>
      <c r="G429" s="5" t="s">
        <v>15</v>
      </c>
      <c r="H429" s="5">
        <v>177360</v>
      </c>
      <c r="I429" s="5">
        <v>521</v>
      </c>
      <c r="J429" s="6">
        <f t="shared" si="6"/>
        <v>176839</v>
      </c>
    </row>
    <row r="430" spans="1:10">
      <c r="A430" s="5">
        <v>38387</v>
      </c>
      <c r="B430" s="5" t="s">
        <v>16</v>
      </c>
      <c r="C430" s="5" t="s">
        <v>35</v>
      </c>
      <c r="D430" s="5" t="s">
        <v>30</v>
      </c>
      <c r="E430" s="5" t="s">
        <v>19</v>
      </c>
      <c r="F430" s="5" t="s">
        <v>14</v>
      </c>
      <c r="G430" s="5" t="s">
        <v>24</v>
      </c>
      <c r="H430" s="5">
        <v>103878</v>
      </c>
      <c r="I430" s="5">
        <v>6942</v>
      </c>
      <c r="J430" s="6">
        <f t="shared" si="6"/>
        <v>96936</v>
      </c>
    </row>
    <row r="431" spans="1:10">
      <c r="A431" s="5">
        <v>152262</v>
      </c>
      <c r="B431" s="5" t="s">
        <v>16</v>
      </c>
      <c r="C431" s="5" t="s">
        <v>22</v>
      </c>
      <c r="D431" s="5" t="s">
        <v>30</v>
      </c>
      <c r="E431" s="5" t="s">
        <v>19</v>
      </c>
      <c r="F431" s="5" t="s">
        <v>14</v>
      </c>
      <c r="G431" s="5" t="s">
        <v>24</v>
      </c>
      <c r="H431" s="5">
        <v>63636</v>
      </c>
      <c r="I431" s="5">
        <v>1077</v>
      </c>
      <c r="J431" s="6">
        <f t="shared" si="6"/>
        <v>62559</v>
      </c>
    </row>
    <row r="432" spans="1:10">
      <c r="A432" s="5">
        <v>183499</v>
      </c>
      <c r="B432" s="5" t="s">
        <v>16</v>
      </c>
      <c r="C432" s="5" t="s">
        <v>37</v>
      </c>
      <c r="D432" s="5" t="s">
        <v>33</v>
      </c>
      <c r="E432" s="5" t="s">
        <v>19</v>
      </c>
      <c r="F432" s="5" t="s">
        <v>28</v>
      </c>
      <c r="G432" s="5" t="s">
        <v>24</v>
      </c>
      <c r="H432" s="5">
        <v>38585</v>
      </c>
      <c r="I432" s="5">
        <v>737</v>
      </c>
      <c r="J432" s="6">
        <f t="shared" si="6"/>
        <v>37848</v>
      </c>
    </row>
    <row r="433" spans="1:10">
      <c r="A433" s="5">
        <v>198647</v>
      </c>
      <c r="B433" s="5" t="s">
        <v>16</v>
      </c>
      <c r="C433" s="5" t="s">
        <v>34</v>
      </c>
      <c r="D433" s="5" t="s">
        <v>33</v>
      </c>
      <c r="E433" s="5" t="s">
        <v>13</v>
      </c>
      <c r="F433" s="5" t="s">
        <v>14</v>
      </c>
      <c r="G433" s="5" t="s">
        <v>15</v>
      </c>
      <c r="H433" s="5">
        <v>13962</v>
      </c>
      <c r="I433" s="5">
        <v>99</v>
      </c>
      <c r="J433" s="6">
        <f t="shared" si="6"/>
        <v>13863</v>
      </c>
    </row>
    <row r="434" spans="1:10">
      <c r="A434" s="5">
        <v>221411</v>
      </c>
      <c r="B434" s="5" t="s">
        <v>16</v>
      </c>
      <c r="C434" s="5" t="s">
        <v>25</v>
      </c>
      <c r="D434" s="5" t="s">
        <v>12</v>
      </c>
      <c r="E434" s="5" t="s">
        <v>19</v>
      </c>
      <c r="F434" s="5" t="s">
        <v>14</v>
      </c>
      <c r="G434" s="5" t="s">
        <v>24</v>
      </c>
      <c r="H434" s="5">
        <v>34362</v>
      </c>
      <c r="I434" s="5">
        <v>3949</v>
      </c>
      <c r="J434" s="6">
        <f t="shared" si="6"/>
        <v>30413</v>
      </c>
    </row>
    <row r="435" spans="1:10">
      <c r="A435" s="5">
        <v>257043</v>
      </c>
      <c r="B435" s="5" t="s">
        <v>10</v>
      </c>
      <c r="C435" s="5" t="s">
        <v>17</v>
      </c>
      <c r="D435" s="5" t="s">
        <v>18</v>
      </c>
      <c r="E435" s="5" t="s">
        <v>19</v>
      </c>
      <c r="F435" s="5" t="s">
        <v>14</v>
      </c>
      <c r="G435" s="5" t="s">
        <v>15</v>
      </c>
      <c r="H435" s="5">
        <v>23269</v>
      </c>
      <c r="I435" s="5">
        <v>0</v>
      </c>
      <c r="J435" s="6">
        <f t="shared" si="6"/>
        <v>23269</v>
      </c>
    </row>
    <row r="436" spans="1:10">
      <c r="A436" s="5">
        <v>52701</v>
      </c>
      <c r="B436" s="5" t="s">
        <v>16</v>
      </c>
      <c r="C436" s="5" t="s">
        <v>35</v>
      </c>
      <c r="D436" s="5" t="s">
        <v>36</v>
      </c>
      <c r="E436" s="5" t="s">
        <v>19</v>
      </c>
      <c r="F436" s="5" t="s">
        <v>14</v>
      </c>
      <c r="G436" s="5" t="s">
        <v>15</v>
      </c>
      <c r="H436" s="5">
        <v>81530</v>
      </c>
      <c r="I436" s="5">
        <v>3849</v>
      </c>
      <c r="J436" s="6">
        <f t="shared" si="6"/>
        <v>77681</v>
      </c>
    </row>
    <row r="437" spans="1:10">
      <c r="A437" s="5">
        <v>129521</v>
      </c>
      <c r="B437" s="5" t="s">
        <v>10</v>
      </c>
      <c r="C437" s="5" t="s">
        <v>22</v>
      </c>
      <c r="D437" s="5" t="s">
        <v>12</v>
      </c>
      <c r="E437" s="5" t="s">
        <v>13</v>
      </c>
      <c r="F437" s="5" t="s">
        <v>14</v>
      </c>
      <c r="G437" s="5" t="s">
        <v>15</v>
      </c>
      <c r="H437" s="5">
        <v>87487</v>
      </c>
      <c r="I437" s="5">
        <v>159</v>
      </c>
      <c r="J437" s="6">
        <f t="shared" si="6"/>
        <v>87328</v>
      </c>
    </row>
    <row r="438" spans="1:10">
      <c r="A438" s="5">
        <v>135983</v>
      </c>
      <c r="B438" s="5" t="s">
        <v>10</v>
      </c>
      <c r="C438" s="5" t="s">
        <v>22</v>
      </c>
      <c r="D438" s="5" t="s">
        <v>26</v>
      </c>
      <c r="E438" s="5" t="s">
        <v>13</v>
      </c>
      <c r="F438" s="5" t="s">
        <v>14</v>
      </c>
      <c r="G438" s="5" t="s">
        <v>15</v>
      </c>
      <c r="H438" s="5">
        <v>84164</v>
      </c>
      <c r="I438" s="5">
        <v>2486</v>
      </c>
      <c r="J438" s="6">
        <f t="shared" si="6"/>
        <v>81678</v>
      </c>
    </row>
    <row r="439" spans="1:10">
      <c r="A439" s="5">
        <v>203631</v>
      </c>
      <c r="B439" s="5" t="s">
        <v>16</v>
      </c>
      <c r="C439" s="5" t="s">
        <v>37</v>
      </c>
      <c r="D439" s="5" t="s">
        <v>36</v>
      </c>
      <c r="E439" s="5" t="s">
        <v>19</v>
      </c>
      <c r="F439" s="5" t="s">
        <v>14</v>
      </c>
      <c r="G439" s="5" t="s">
        <v>24</v>
      </c>
      <c r="H439" s="5">
        <v>19278</v>
      </c>
      <c r="I439" s="5">
        <v>4388</v>
      </c>
      <c r="J439" s="6">
        <f t="shared" si="6"/>
        <v>14890</v>
      </c>
    </row>
    <row r="440" spans="1:10">
      <c r="A440" s="5">
        <v>45511</v>
      </c>
      <c r="B440" s="5" t="s">
        <v>16</v>
      </c>
      <c r="C440" s="5" t="s">
        <v>11</v>
      </c>
      <c r="D440" s="5" t="s">
        <v>32</v>
      </c>
      <c r="E440" s="5" t="s">
        <v>13</v>
      </c>
      <c r="F440" s="5" t="s">
        <v>14</v>
      </c>
      <c r="G440" s="5" t="s">
        <v>15</v>
      </c>
      <c r="H440" s="5">
        <v>28460</v>
      </c>
      <c r="I440" s="5">
        <v>0</v>
      </c>
      <c r="J440" s="6">
        <f t="shared" si="6"/>
        <v>28460</v>
      </c>
    </row>
    <row r="441" spans="1:10">
      <c r="A441" s="5">
        <v>12027</v>
      </c>
      <c r="B441" s="5" t="s">
        <v>16</v>
      </c>
      <c r="C441" s="5" t="s">
        <v>34</v>
      </c>
      <c r="D441" s="5" t="s">
        <v>33</v>
      </c>
      <c r="E441" s="5" t="s">
        <v>13</v>
      </c>
      <c r="F441" s="5" t="s">
        <v>14</v>
      </c>
      <c r="G441" s="5" t="s">
        <v>24</v>
      </c>
      <c r="H441" s="5">
        <v>20102</v>
      </c>
      <c r="I441" s="5">
        <v>265</v>
      </c>
      <c r="J441" s="6">
        <f t="shared" si="6"/>
        <v>19837</v>
      </c>
    </row>
    <row r="442" spans="1:10">
      <c r="A442" s="5">
        <v>177224</v>
      </c>
      <c r="B442" s="5" t="s">
        <v>16</v>
      </c>
      <c r="C442" s="5" t="s">
        <v>25</v>
      </c>
      <c r="D442" s="5" t="s">
        <v>33</v>
      </c>
      <c r="E442" s="5" t="s">
        <v>19</v>
      </c>
      <c r="F442" s="5" t="s">
        <v>14</v>
      </c>
      <c r="G442" s="5" t="s">
        <v>15</v>
      </c>
      <c r="H442" s="5">
        <v>86061</v>
      </c>
      <c r="I442" s="5">
        <v>7967</v>
      </c>
      <c r="J442" s="6">
        <f t="shared" si="6"/>
        <v>78094</v>
      </c>
    </row>
    <row r="443" spans="1:10">
      <c r="A443" s="5">
        <v>193137</v>
      </c>
      <c r="B443" s="5" t="s">
        <v>16</v>
      </c>
      <c r="C443" s="5" t="s">
        <v>11</v>
      </c>
      <c r="D443" s="5" t="s">
        <v>33</v>
      </c>
      <c r="E443" s="5" t="s">
        <v>13</v>
      </c>
      <c r="F443" s="5" t="s">
        <v>14</v>
      </c>
      <c r="G443" s="5" t="s">
        <v>24</v>
      </c>
      <c r="H443" s="5">
        <v>34008</v>
      </c>
      <c r="I443" s="5">
        <v>409</v>
      </c>
      <c r="J443" s="6">
        <f t="shared" si="6"/>
        <v>33599</v>
      </c>
    </row>
    <row r="444" spans="1:10">
      <c r="A444" s="5">
        <v>74519</v>
      </c>
      <c r="B444" s="5" t="s">
        <v>16</v>
      </c>
      <c r="C444" s="5" t="s">
        <v>27</v>
      </c>
      <c r="D444" s="5" t="s">
        <v>30</v>
      </c>
      <c r="E444" s="5" t="s">
        <v>13</v>
      </c>
      <c r="F444" s="5" t="s">
        <v>14</v>
      </c>
      <c r="G444" s="5" t="s">
        <v>15</v>
      </c>
      <c r="H444" s="5">
        <v>65604</v>
      </c>
      <c r="I444" s="5">
        <v>15205</v>
      </c>
      <c r="J444" s="6">
        <f t="shared" si="6"/>
        <v>50399</v>
      </c>
    </row>
    <row r="445" spans="1:10">
      <c r="A445" s="5">
        <v>26341</v>
      </c>
      <c r="B445" s="5" t="s">
        <v>16</v>
      </c>
      <c r="C445" s="5" t="s">
        <v>20</v>
      </c>
      <c r="D445" s="5" t="s">
        <v>32</v>
      </c>
      <c r="E445" s="5" t="s">
        <v>13</v>
      </c>
      <c r="F445" s="5" t="s">
        <v>28</v>
      </c>
      <c r="G445" s="5" t="s">
        <v>24</v>
      </c>
      <c r="H445" s="5">
        <v>23041</v>
      </c>
      <c r="I445" s="5">
        <v>0</v>
      </c>
      <c r="J445" s="6">
        <f t="shared" si="6"/>
        <v>23041</v>
      </c>
    </row>
    <row r="446" spans="1:10">
      <c r="A446" s="5">
        <v>166089</v>
      </c>
      <c r="B446" s="5" t="s">
        <v>10</v>
      </c>
      <c r="C446" s="5" t="s">
        <v>27</v>
      </c>
      <c r="D446" s="5" t="s">
        <v>23</v>
      </c>
      <c r="E446" s="5" t="s">
        <v>19</v>
      </c>
      <c r="F446" s="5" t="s">
        <v>28</v>
      </c>
      <c r="G446" s="5" t="s">
        <v>15</v>
      </c>
      <c r="H446" s="5">
        <v>49826</v>
      </c>
      <c r="I446" s="5">
        <v>257</v>
      </c>
      <c r="J446" s="6">
        <f t="shared" si="6"/>
        <v>49569</v>
      </c>
    </row>
    <row r="447" spans="1:10">
      <c r="A447" s="5">
        <v>121980</v>
      </c>
      <c r="B447" s="5" t="s">
        <v>16</v>
      </c>
      <c r="C447" s="5" t="s">
        <v>22</v>
      </c>
      <c r="D447" s="5" t="s">
        <v>33</v>
      </c>
      <c r="E447" s="5" t="s">
        <v>19</v>
      </c>
      <c r="F447" s="5" t="s">
        <v>14</v>
      </c>
      <c r="G447" s="5" t="s">
        <v>15</v>
      </c>
      <c r="H447" s="5">
        <v>53978</v>
      </c>
      <c r="I447" s="5">
        <v>3983</v>
      </c>
      <c r="J447" s="6">
        <f t="shared" si="6"/>
        <v>49995</v>
      </c>
    </row>
    <row r="448" spans="1:10">
      <c r="A448" s="5">
        <v>71975</v>
      </c>
      <c r="B448" s="5" t="s">
        <v>16</v>
      </c>
      <c r="C448" s="5" t="s">
        <v>27</v>
      </c>
      <c r="D448" s="5" t="s">
        <v>30</v>
      </c>
      <c r="E448" s="5" t="s">
        <v>19</v>
      </c>
      <c r="F448" s="5" t="s">
        <v>28</v>
      </c>
      <c r="G448" s="5" t="s">
        <v>15</v>
      </c>
      <c r="H448" s="5">
        <v>45598</v>
      </c>
      <c r="I448" s="5">
        <v>4271</v>
      </c>
      <c r="J448" s="6">
        <f t="shared" si="6"/>
        <v>41327</v>
      </c>
    </row>
    <row r="449" spans="1:10">
      <c r="A449" s="5">
        <v>46864</v>
      </c>
      <c r="B449" s="5" t="s">
        <v>16</v>
      </c>
      <c r="C449" s="5" t="s">
        <v>34</v>
      </c>
      <c r="D449" s="5" t="s">
        <v>12</v>
      </c>
      <c r="E449" s="5" t="s">
        <v>19</v>
      </c>
      <c r="F449" s="5" t="s">
        <v>14</v>
      </c>
      <c r="G449" s="5" t="s">
        <v>15</v>
      </c>
      <c r="H449" s="5">
        <v>16347</v>
      </c>
      <c r="I449" s="5">
        <v>0</v>
      </c>
      <c r="J449" s="6">
        <f t="shared" si="6"/>
        <v>16347</v>
      </c>
    </row>
    <row r="450" spans="1:10">
      <c r="A450" s="5">
        <v>234024</v>
      </c>
      <c r="B450" s="5" t="s">
        <v>16</v>
      </c>
      <c r="C450" s="5" t="s">
        <v>17</v>
      </c>
      <c r="D450" s="5" t="s">
        <v>21</v>
      </c>
      <c r="E450" s="5" t="s">
        <v>13</v>
      </c>
      <c r="F450" s="5" t="s">
        <v>28</v>
      </c>
      <c r="G450" s="5" t="s">
        <v>24</v>
      </c>
      <c r="H450" s="5">
        <v>52820</v>
      </c>
      <c r="I450" s="5">
        <v>1692</v>
      </c>
      <c r="J450" s="6">
        <f t="shared" ref="J450:J513" si="7">H450-I450</f>
        <v>51128</v>
      </c>
    </row>
    <row r="451" spans="1:10">
      <c r="A451" s="5">
        <v>94855</v>
      </c>
      <c r="B451" s="5" t="s">
        <v>10</v>
      </c>
      <c r="C451" s="5" t="s">
        <v>37</v>
      </c>
      <c r="D451" s="5" t="s">
        <v>12</v>
      </c>
      <c r="E451" s="5" t="s">
        <v>13</v>
      </c>
      <c r="F451" s="5" t="s">
        <v>28</v>
      </c>
      <c r="G451" s="5" t="s">
        <v>15</v>
      </c>
      <c r="H451" s="5">
        <v>196896</v>
      </c>
      <c r="I451" s="5">
        <v>2282</v>
      </c>
      <c r="J451" s="6">
        <f t="shared" si="7"/>
        <v>194614</v>
      </c>
    </row>
    <row r="452" spans="1:10">
      <c r="A452" s="5">
        <v>72779</v>
      </c>
      <c r="B452" s="5" t="s">
        <v>10</v>
      </c>
      <c r="C452" s="5" t="s">
        <v>27</v>
      </c>
      <c r="D452" s="5" t="s">
        <v>23</v>
      </c>
      <c r="E452" s="5" t="s">
        <v>13</v>
      </c>
      <c r="F452" s="5" t="s">
        <v>14</v>
      </c>
      <c r="G452" s="5" t="s">
        <v>15</v>
      </c>
      <c r="H452" s="5">
        <v>68475</v>
      </c>
      <c r="I452" s="5">
        <v>1263</v>
      </c>
      <c r="J452" s="6">
        <f t="shared" si="7"/>
        <v>67212</v>
      </c>
    </row>
    <row r="453" spans="1:10">
      <c r="A453" s="5">
        <v>223660</v>
      </c>
      <c r="B453" s="5" t="s">
        <v>16</v>
      </c>
      <c r="C453" s="5" t="s">
        <v>25</v>
      </c>
      <c r="D453" s="5" t="s">
        <v>18</v>
      </c>
      <c r="E453" s="5" t="s">
        <v>19</v>
      </c>
      <c r="F453" s="5" t="s">
        <v>14</v>
      </c>
      <c r="G453" s="5" t="s">
        <v>24</v>
      </c>
      <c r="H453" s="5">
        <v>22999</v>
      </c>
      <c r="I453" s="5">
        <v>105</v>
      </c>
      <c r="J453" s="6">
        <f t="shared" si="7"/>
        <v>22894</v>
      </c>
    </row>
    <row r="454" spans="1:10">
      <c r="A454" s="5">
        <v>127595</v>
      </c>
      <c r="B454" s="5" t="s">
        <v>10</v>
      </c>
      <c r="C454" s="5" t="s">
        <v>34</v>
      </c>
      <c r="D454" s="5" t="s">
        <v>30</v>
      </c>
      <c r="E454" s="5" t="s">
        <v>13</v>
      </c>
      <c r="F454" s="5" t="s">
        <v>28</v>
      </c>
      <c r="G454" s="5" t="s">
        <v>15</v>
      </c>
      <c r="H454" s="5">
        <v>112532</v>
      </c>
      <c r="I454" s="5">
        <v>2038</v>
      </c>
      <c r="J454" s="6">
        <f t="shared" si="7"/>
        <v>110494</v>
      </c>
    </row>
    <row r="455" spans="1:10">
      <c r="A455" s="5">
        <v>183779</v>
      </c>
      <c r="B455" s="5" t="s">
        <v>10</v>
      </c>
      <c r="C455" s="5" t="s">
        <v>37</v>
      </c>
      <c r="D455" s="5" t="s">
        <v>36</v>
      </c>
      <c r="E455" s="5" t="s">
        <v>19</v>
      </c>
      <c r="F455" s="5" t="s">
        <v>14</v>
      </c>
      <c r="G455" s="5" t="s">
        <v>24</v>
      </c>
      <c r="H455" s="5">
        <v>70096</v>
      </c>
      <c r="I455" s="5">
        <v>1626</v>
      </c>
      <c r="J455" s="6">
        <f t="shared" si="7"/>
        <v>68470</v>
      </c>
    </row>
    <row r="456" spans="1:10">
      <c r="A456" s="5">
        <v>236263</v>
      </c>
      <c r="B456" s="5" t="s">
        <v>10</v>
      </c>
      <c r="C456" s="5" t="s">
        <v>17</v>
      </c>
      <c r="D456" s="5" t="s">
        <v>36</v>
      </c>
      <c r="E456" s="5" t="s">
        <v>19</v>
      </c>
      <c r="F456" s="5" t="s">
        <v>28</v>
      </c>
      <c r="G456" s="5" t="s">
        <v>24</v>
      </c>
      <c r="H456" s="5">
        <v>51388</v>
      </c>
      <c r="I456" s="5">
        <v>0</v>
      </c>
      <c r="J456" s="6">
        <f t="shared" si="7"/>
        <v>51388</v>
      </c>
    </row>
    <row r="457" spans="1:10">
      <c r="A457" s="5">
        <v>218730</v>
      </c>
      <c r="B457" s="5" t="s">
        <v>10</v>
      </c>
      <c r="C457" s="5" t="s">
        <v>34</v>
      </c>
      <c r="D457" s="5" t="s">
        <v>33</v>
      </c>
      <c r="E457" s="5" t="s">
        <v>13</v>
      </c>
      <c r="F457" s="5" t="s">
        <v>14</v>
      </c>
      <c r="G457" s="5" t="s">
        <v>24</v>
      </c>
      <c r="H457" s="5">
        <v>80691</v>
      </c>
      <c r="I457" s="5">
        <v>1091</v>
      </c>
      <c r="J457" s="6">
        <f t="shared" si="7"/>
        <v>79600</v>
      </c>
    </row>
    <row r="458" spans="1:10">
      <c r="A458" s="5">
        <v>244216</v>
      </c>
      <c r="B458" s="5" t="s">
        <v>16</v>
      </c>
      <c r="C458" s="5" t="s">
        <v>35</v>
      </c>
      <c r="D458" s="5" t="s">
        <v>32</v>
      </c>
      <c r="E458" s="5" t="s">
        <v>13</v>
      </c>
      <c r="F458" s="5" t="s">
        <v>14</v>
      </c>
      <c r="G458" s="5" t="s">
        <v>24</v>
      </c>
      <c r="H458" s="5">
        <v>12875</v>
      </c>
      <c r="I458" s="5">
        <v>0</v>
      </c>
      <c r="J458" s="6">
        <f t="shared" si="7"/>
        <v>12875</v>
      </c>
    </row>
    <row r="459" spans="1:10">
      <c r="A459" s="5">
        <v>175921</v>
      </c>
      <c r="B459" s="5" t="s">
        <v>16</v>
      </c>
      <c r="C459" s="5" t="s">
        <v>25</v>
      </c>
      <c r="D459" s="5" t="s">
        <v>30</v>
      </c>
      <c r="E459" s="5" t="s">
        <v>13</v>
      </c>
      <c r="F459" s="5" t="s">
        <v>28</v>
      </c>
      <c r="G459" s="5" t="s">
        <v>15</v>
      </c>
      <c r="H459" s="5">
        <v>66797</v>
      </c>
      <c r="I459" s="5">
        <v>1379</v>
      </c>
      <c r="J459" s="6">
        <f t="shared" si="7"/>
        <v>65418</v>
      </c>
    </row>
    <row r="460" spans="1:10">
      <c r="A460" s="5">
        <v>169547</v>
      </c>
      <c r="B460" s="5" t="s">
        <v>10</v>
      </c>
      <c r="C460" s="5" t="s">
        <v>35</v>
      </c>
      <c r="D460" s="5" t="s">
        <v>29</v>
      </c>
      <c r="E460" s="5" t="s">
        <v>13</v>
      </c>
      <c r="F460" s="5" t="s">
        <v>28</v>
      </c>
      <c r="G460" s="5" t="s">
        <v>15</v>
      </c>
      <c r="H460" s="5">
        <v>60159</v>
      </c>
      <c r="I460" s="5">
        <v>0</v>
      </c>
      <c r="J460" s="6">
        <f t="shared" si="7"/>
        <v>60159</v>
      </c>
    </row>
    <row r="461" spans="1:10">
      <c r="A461" s="5">
        <v>149381</v>
      </c>
      <c r="B461" s="5" t="s">
        <v>10</v>
      </c>
      <c r="C461" s="5" t="s">
        <v>25</v>
      </c>
      <c r="D461" s="5" t="s">
        <v>18</v>
      </c>
      <c r="E461" s="5" t="s">
        <v>19</v>
      </c>
      <c r="F461" s="5" t="s">
        <v>14</v>
      </c>
      <c r="G461" s="5" t="s">
        <v>24</v>
      </c>
      <c r="H461" s="5">
        <v>2731</v>
      </c>
      <c r="I461" s="5">
        <v>0</v>
      </c>
      <c r="J461" s="6">
        <f t="shared" si="7"/>
        <v>2731</v>
      </c>
    </row>
    <row r="462" spans="1:10">
      <c r="A462" s="5">
        <v>87906</v>
      </c>
      <c r="B462" s="5" t="s">
        <v>16</v>
      </c>
      <c r="C462" s="5" t="s">
        <v>39</v>
      </c>
      <c r="D462" s="5" t="s">
        <v>36</v>
      </c>
      <c r="E462" s="5" t="s">
        <v>19</v>
      </c>
      <c r="F462" s="5" t="s">
        <v>14</v>
      </c>
      <c r="G462" s="5" t="s">
        <v>15</v>
      </c>
      <c r="H462" s="5">
        <v>60031</v>
      </c>
      <c r="I462" s="5">
        <v>3018</v>
      </c>
      <c r="J462" s="6">
        <f t="shared" si="7"/>
        <v>57013</v>
      </c>
    </row>
    <row r="463" spans="1:10">
      <c r="A463" s="5">
        <v>78327</v>
      </c>
      <c r="B463" s="5" t="s">
        <v>16</v>
      </c>
      <c r="C463" s="5" t="s">
        <v>27</v>
      </c>
      <c r="D463" s="5" t="s">
        <v>36</v>
      </c>
      <c r="E463" s="5" t="s">
        <v>19</v>
      </c>
      <c r="F463" s="5" t="s">
        <v>14</v>
      </c>
      <c r="G463" s="5" t="s">
        <v>24</v>
      </c>
      <c r="H463" s="5">
        <v>39657</v>
      </c>
      <c r="I463" s="5">
        <v>864</v>
      </c>
      <c r="J463" s="6">
        <f t="shared" si="7"/>
        <v>38793</v>
      </c>
    </row>
    <row r="464" spans="1:10">
      <c r="A464" s="5">
        <v>31266</v>
      </c>
      <c r="B464" s="5" t="s">
        <v>10</v>
      </c>
      <c r="C464" s="5" t="s">
        <v>11</v>
      </c>
      <c r="D464" s="5" t="s">
        <v>30</v>
      </c>
      <c r="E464" s="5" t="s">
        <v>19</v>
      </c>
      <c r="F464" s="5" t="s">
        <v>28</v>
      </c>
      <c r="G464" s="5" t="s">
        <v>15</v>
      </c>
      <c r="H464" s="5">
        <v>45622</v>
      </c>
      <c r="I464" s="5">
        <v>19379</v>
      </c>
      <c r="J464" s="6">
        <f t="shared" si="7"/>
        <v>26243</v>
      </c>
    </row>
    <row r="465" spans="1:10">
      <c r="A465" s="5">
        <v>26718</v>
      </c>
      <c r="B465" s="5" t="s">
        <v>16</v>
      </c>
      <c r="C465" s="5" t="s">
        <v>34</v>
      </c>
      <c r="D465" s="5" t="s">
        <v>30</v>
      </c>
      <c r="E465" s="5" t="s">
        <v>13</v>
      </c>
      <c r="F465" s="5" t="s">
        <v>14</v>
      </c>
      <c r="G465" s="5" t="s">
        <v>24</v>
      </c>
      <c r="H465" s="5">
        <v>76989</v>
      </c>
      <c r="I465" s="5">
        <v>1290</v>
      </c>
      <c r="J465" s="6">
        <f t="shared" si="7"/>
        <v>75699</v>
      </c>
    </row>
    <row r="466" spans="1:10">
      <c r="A466" s="5">
        <v>185729</v>
      </c>
      <c r="B466" s="5" t="s">
        <v>16</v>
      </c>
      <c r="C466" s="5" t="s">
        <v>39</v>
      </c>
      <c r="D466" s="5" t="s">
        <v>32</v>
      </c>
      <c r="E466" s="5" t="s">
        <v>19</v>
      </c>
      <c r="F466" s="5" t="s">
        <v>28</v>
      </c>
      <c r="G466" s="5" t="s">
        <v>24</v>
      </c>
      <c r="H466" s="5">
        <v>3687</v>
      </c>
      <c r="I466" s="5">
        <v>0</v>
      </c>
      <c r="J466" s="6">
        <f t="shared" si="7"/>
        <v>3687</v>
      </c>
    </row>
    <row r="467" spans="1:10">
      <c r="A467" s="5">
        <v>77260</v>
      </c>
      <c r="B467" s="5" t="s">
        <v>16</v>
      </c>
      <c r="C467" s="5" t="s">
        <v>34</v>
      </c>
      <c r="D467" s="5" t="s">
        <v>36</v>
      </c>
      <c r="E467" s="5" t="s">
        <v>19</v>
      </c>
      <c r="F467" s="5" t="s">
        <v>28</v>
      </c>
      <c r="G467" s="5" t="s">
        <v>24</v>
      </c>
      <c r="H467" s="5">
        <v>43819</v>
      </c>
      <c r="I467" s="5">
        <v>472</v>
      </c>
      <c r="J467" s="6">
        <f t="shared" si="7"/>
        <v>43347</v>
      </c>
    </row>
    <row r="468" spans="1:10">
      <c r="A468" s="5">
        <v>73894</v>
      </c>
      <c r="B468" s="5" t="s">
        <v>10</v>
      </c>
      <c r="C468" s="5" t="s">
        <v>27</v>
      </c>
      <c r="D468" s="5" t="s">
        <v>36</v>
      </c>
      <c r="E468" s="5" t="s">
        <v>19</v>
      </c>
      <c r="F468" s="5" t="s">
        <v>14</v>
      </c>
      <c r="G468" s="5" t="s">
        <v>24</v>
      </c>
      <c r="H468" s="5">
        <v>77295</v>
      </c>
      <c r="I468" s="5">
        <v>2441</v>
      </c>
      <c r="J468" s="6">
        <f t="shared" si="7"/>
        <v>74854</v>
      </c>
    </row>
    <row r="469" spans="1:10">
      <c r="A469" s="5">
        <v>249048</v>
      </c>
      <c r="B469" s="5" t="s">
        <v>10</v>
      </c>
      <c r="C469" s="5" t="s">
        <v>17</v>
      </c>
      <c r="D469" s="5" t="s">
        <v>26</v>
      </c>
      <c r="E469" s="5" t="s">
        <v>19</v>
      </c>
      <c r="F469" s="5" t="s">
        <v>28</v>
      </c>
      <c r="G469" s="5" t="s">
        <v>15</v>
      </c>
      <c r="H469" s="5">
        <v>57962</v>
      </c>
      <c r="I469" s="5">
        <v>4307</v>
      </c>
      <c r="J469" s="6">
        <f t="shared" si="7"/>
        <v>53655</v>
      </c>
    </row>
    <row r="470" spans="1:10">
      <c r="A470" s="5">
        <v>37325</v>
      </c>
      <c r="B470" s="5" t="s">
        <v>10</v>
      </c>
      <c r="C470" s="5" t="s">
        <v>35</v>
      </c>
      <c r="D470" s="5" t="s">
        <v>23</v>
      </c>
      <c r="E470" s="5" t="s">
        <v>13</v>
      </c>
      <c r="F470" s="5" t="s">
        <v>14</v>
      </c>
      <c r="G470" s="5" t="s">
        <v>15</v>
      </c>
      <c r="H470" s="5">
        <v>81639</v>
      </c>
      <c r="I470" s="5">
        <v>3385</v>
      </c>
      <c r="J470" s="6">
        <f t="shared" si="7"/>
        <v>78254</v>
      </c>
    </row>
    <row r="471" spans="1:10">
      <c r="A471" s="5">
        <v>187821</v>
      </c>
      <c r="B471" s="5" t="s">
        <v>10</v>
      </c>
      <c r="C471" s="5" t="s">
        <v>20</v>
      </c>
      <c r="D471" s="5" t="s">
        <v>32</v>
      </c>
      <c r="E471" s="5" t="s">
        <v>13</v>
      </c>
      <c r="F471" s="5" t="s">
        <v>14</v>
      </c>
      <c r="G471" s="5" t="s">
        <v>15</v>
      </c>
      <c r="H471" s="5">
        <v>8764</v>
      </c>
      <c r="I471" s="5">
        <v>0</v>
      </c>
      <c r="J471" s="6">
        <f t="shared" si="7"/>
        <v>8764</v>
      </c>
    </row>
    <row r="472" spans="1:10">
      <c r="A472" s="5">
        <v>15987</v>
      </c>
      <c r="B472" s="5" t="s">
        <v>10</v>
      </c>
      <c r="C472" s="5" t="s">
        <v>11</v>
      </c>
      <c r="D472" s="5" t="s">
        <v>36</v>
      </c>
      <c r="E472" s="5" t="s">
        <v>13</v>
      </c>
      <c r="F472" s="5" t="s">
        <v>14</v>
      </c>
      <c r="G472" s="5" t="s">
        <v>15</v>
      </c>
      <c r="H472" s="5">
        <v>144106</v>
      </c>
      <c r="I472" s="5">
        <v>7641</v>
      </c>
      <c r="J472" s="6">
        <f t="shared" si="7"/>
        <v>136465</v>
      </c>
    </row>
    <row r="473" spans="1:10">
      <c r="A473" s="5">
        <v>6290</v>
      </c>
      <c r="B473" s="5" t="s">
        <v>10</v>
      </c>
      <c r="C473" s="5" t="s">
        <v>38</v>
      </c>
      <c r="D473" s="5" t="s">
        <v>32</v>
      </c>
      <c r="E473" s="5" t="s">
        <v>19</v>
      </c>
      <c r="F473" s="5" t="s">
        <v>14</v>
      </c>
      <c r="G473" s="5" t="s">
        <v>15</v>
      </c>
      <c r="H473" s="5">
        <v>21902</v>
      </c>
      <c r="I473" s="5">
        <v>0</v>
      </c>
      <c r="J473" s="6">
        <f t="shared" si="7"/>
        <v>21902</v>
      </c>
    </row>
    <row r="474" spans="1:10">
      <c r="A474" s="5">
        <v>75024</v>
      </c>
      <c r="B474" s="5" t="s">
        <v>16</v>
      </c>
      <c r="C474" s="5" t="s">
        <v>27</v>
      </c>
      <c r="D474" s="5" t="s">
        <v>36</v>
      </c>
      <c r="E474" s="5" t="s">
        <v>19</v>
      </c>
      <c r="F474" s="5" t="s">
        <v>14</v>
      </c>
      <c r="G474" s="5" t="s">
        <v>24</v>
      </c>
      <c r="H474" s="5">
        <v>38707</v>
      </c>
      <c r="I474" s="5">
        <v>1531</v>
      </c>
      <c r="J474" s="6">
        <f t="shared" si="7"/>
        <v>37176</v>
      </c>
    </row>
    <row r="475" spans="1:10">
      <c r="A475" s="5">
        <v>40281</v>
      </c>
      <c r="B475" s="5" t="s">
        <v>10</v>
      </c>
      <c r="C475" s="5" t="s">
        <v>35</v>
      </c>
      <c r="D475" s="5" t="s">
        <v>12</v>
      </c>
      <c r="E475" s="5" t="s">
        <v>13</v>
      </c>
      <c r="F475" s="5" t="s">
        <v>14</v>
      </c>
      <c r="G475" s="5" t="s">
        <v>24</v>
      </c>
      <c r="H475" s="5">
        <v>67891</v>
      </c>
      <c r="I475" s="5">
        <v>2932</v>
      </c>
      <c r="J475" s="6">
        <f t="shared" si="7"/>
        <v>64959</v>
      </c>
    </row>
    <row r="476" spans="1:10">
      <c r="A476" s="5">
        <v>220032</v>
      </c>
      <c r="B476" s="5" t="s">
        <v>16</v>
      </c>
      <c r="C476" s="5" t="s">
        <v>22</v>
      </c>
      <c r="D476" s="5" t="s">
        <v>30</v>
      </c>
      <c r="E476" s="5" t="s">
        <v>19</v>
      </c>
      <c r="F476" s="5" t="s">
        <v>28</v>
      </c>
      <c r="G476" s="5" t="s">
        <v>15</v>
      </c>
      <c r="H476" s="5">
        <v>144994</v>
      </c>
      <c r="I476" s="5">
        <v>5530</v>
      </c>
      <c r="J476" s="6">
        <f t="shared" si="7"/>
        <v>139464</v>
      </c>
    </row>
    <row r="477" spans="1:10">
      <c r="A477" s="5">
        <v>46724</v>
      </c>
      <c r="B477" s="5" t="s">
        <v>16</v>
      </c>
      <c r="C477" s="5" t="s">
        <v>35</v>
      </c>
      <c r="D477" s="5" t="s">
        <v>36</v>
      </c>
      <c r="E477" s="5" t="s">
        <v>13</v>
      </c>
      <c r="F477" s="5" t="s">
        <v>14</v>
      </c>
      <c r="G477" s="5" t="s">
        <v>24</v>
      </c>
      <c r="H477" s="5">
        <v>39871</v>
      </c>
      <c r="I477" s="5">
        <v>8274</v>
      </c>
      <c r="J477" s="6">
        <f t="shared" si="7"/>
        <v>31597</v>
      </c>
    </row>
    <row r="478" spans="1:10">
      <c r="A478" s="5">
        <v>139387</v>
      </c>
      <c r="B478" s="5" t="s">
        <v>10</v>
      </c>
      <c r="C478" s="5" t="s">
        <v>25</v>
      </c>
      <c r="D478" s="5" t="s">
        <v>23</v>
      </c>
      <c r="E478" s="5" t="s">
        <v>19</v>
      </c>
      <c r="F478" s="5" t="s">
        <v>28</v>
      </c>
      <c r="G478" s="5" t="s">
        <v>15</v>
      </c>
      <c r="H478" s="5">
        <v>97853</v>
      </c>
      <c r="I478" s="5">
        <v>576</v>
      </c>
      <c r="J478" s="6">
        <f t="shared" si="7"/>
        <v>97277</v>
      </c>
    </row>
    <row r="479" spans="1:10">
      <c r="A479" s="5">
        <v>99351</v>
      </c>
      <c r="B479" s="5" t="s">
        <v>10</v>
      </c>
      <c r="C479" s="5" t="s">
        <v>34</v>
      </c>
      <c r="D479" s="5" t="s">
        <v>29</v>
      </c>
      <c r="E479" s="5" t="s">
        <v>13</v>
      </c>
      <c r="F479" s="5" t="s">
        <v>14</v>
      </c>
      <c r="G479" s="5" t="s">
        <v>24</v>
      </c>
      <c r="H479" s="5">
        <v>60979</v>
      </c>
      <c r="I479" s="5">
        <v>1805</v>
      </c>
      <c r="J479" s="6">
        <f t="shared" si="7"/>
        <v>59174</v>
      </c>
    </row>
    <row r="480" spans="1:10">
      <c r="A480" s="5">
        <v>79595</v>
      </c>
      <c r="B480" s="5" t="s">
        <v>10</v>
      </c>
      <c r="C480" s="5" t="s">
        <v>39</v>
      </c>
      <c r="D480" s="5" t="s">
        <v>26</v>
      </c>
      <c r="E480" s="5" t="s">
        <v>13</v>
      </c>
      <c r="F480" s="5" t="s">
        <v>14</v>
      </c>
      <c r="G480" s="5" t="s">
        <v>15</v>
      </c>
      <c r="H480" s="5">
        <v>87680</v>
      </c>
      <c r="I480" s="5">
        <v>750</v>
      </c>
      <c r="J480" s="6">
        <f t="shared" si="7"/>
        <v>86930</v>
      </c>
    </row>
    <row r="481" spans="1:10">
      <c r="A481" s="5">
        <v>206957</v>
      </c>
      <c r="B481" s="5" t="s">
        <v>10</v>
      </c>
      <c r="C481" s="5" t="s">
        <v>38</v>
      </c>
      <c r="D481" s="5" t="s">
        <v>12</v>
      </c>
      <c r="E481" s="5" t="s">
        <v>13</v>
      </c>
      <c r="F481" s="5" t="s">
        <v>14</v>
      </c>
      <c r="G481" s="5" t="s">
        <v>15</v>
      </c>
      <c r="H481" s="5">
        <v>92333</v>
      </c>
      <c r="I481" s="5">
        <v>6486</v>
      </c>
      <c r="J481" s="6">
        <f t="shared" si="7"/>
        <v>85847</v>
      </c>
    </row>
    <row r="482" spans="1:10">
      <c r="A482" s="5">
        <v>29576</v>
      </c>
      <c r="B482" s="5" t="s">
        <v>10</v>
      </c>
      <c r="C482" s="5" t="s">
        <v>35</v>
      </c>
      <c r="D482" s="5" t="s">
        <v>23</v>
      </c>
      <c r="E482" s="5" t="s">
        <v>13</v>
      </c>
      <c r="F482" s="5" t="s">
        <v>28</v>
      </c>
      <c r="G482" s="5" t="s">
        <v>24</v>
      </c>
      <c r="H482" s="5">
        <v>72324</v>
      </c>
      <c r="I482" s="5">
        <v>5444</v>
      </c>
      <c r="J482" s="6">
        <f t="shared" si="7"/>
        <v>66880</v>
      </c>
    </row>
    <row r="483" spans="1:10">
      <c r="A483" s="5">
        <v>114135</v>
      </c>
      <c r="B483" s="5" t="s">
        <v>10</v>
      </c>
      <c r="C483" s="5" t="s">
        <v>22</v>
      </c>
      <c r="D483" s="5" t="s">
        <v>26</v>
      </c>
      <c r="E483" s="5" t="s">
        <v>19</v>
      </c>
      <c r="F483" s="5" t="s">
        <v>28</v>
      </c>
      <c r="G483" s="5" t="s">
        <v>24</v>
      </c>
      <c r="H483" s="5">
        <v>34884</v>
      </c>
      <c r="I483" s="5">
        <v>999</v>
      </c>
      <c r="J483" s="6">
        <f t="shared" si="7"/>
        <v>33885</v>
      </c>
    </row>
    <row r="484" spans="1:10">
      <c r="A484" s="5">
        <v>223583</v>
      </c>
      <c r="B484" s="5" t="s">
        <v>10</v>
      </c>
      <c r="C484" s="5" t="s">
        <v>25</v>
      </c>
      <c r="D484" s="5" t="s">
        <v>30</v>
      </c>
      <c r="E484" s="5" t="s">
        <v>19</v>
      </c>
      <c r="F484" s="5" t="s">
        <v>14</v>
      </c>
      <c r="G484" s="5" t="s">
        <v>15</v>
      </c>
      <c r="H484" s="5">
        <v>78906</v>
      </c>
      <c r="I484" s="5">
        <v>244</v>
      </c>
      <c r="J484" s="6">
        <f t="shared" si="7"/>
        <v>78662</v>
      </c>
    </row>
    <row r="485" spans="1:10">
      <c r="A485" s="5">
        <v>90156</v>
      </c>
      <c r="B485" s="5" t="s">
        <v>16</v>
      </c>
      <c r="C485" s="5" t="s">
        <v>38</v>
      </c>
      <c r="D485" s="5" t="s">
        <v>32</v>
      </c>
      <c r="E485" s="5" t="s">
        <v>13</v>
      </c>
      <c r="F485" s="5" t="s">
        <v>28</v>
      </c>
      <c r="G485" s="5" t="s">
        <v>24</v>
      </c>
      <c r="H485" s="5">
        <v>8035</v>
      </c>
      <c r="I485" s="5">
        <v>0</v>
      </c>
      <c r="J485" s="6">
        <f t="shared" si="7"/>
        <v>8035</v>
      </c>
    </row>
    <row r="486" spans="1:10">
      <c r="A486" s="5">
        <v>24234</v>
      </c>
      <c r="B486" s="5" t="s">
        <v>16</v>
      </c>
      <c r="C486" s="5" t="s">
        <v>11</v>
      </c>
      <c r="D486" s="5" t="s">
        <v>30</v>
      </c>
      <c r="E486" s="5" t="s">
        <v>13</v>
      </c>
      <c r="F486" s="5" t="s">
        <v>14</v>
      </c>
      <c r="G486" s="5" t="s">
        <v>15</v>
      </c>
      <c r="H486" s="5">
        <v>34772</v>
      </c>
      <c r="I486" s="5">
        <v>3448</v>
      </c>
      <c r="J486" s="6">
        <f t="shared" si="7"/>
        <v>31324</v>
      </c>
    </row>
    <row r="487" spans="1:10">
      <c r="A487" s="5">
        <v>5389</v>
      </c>
      <c r="B487" s="5" t="s">
        <v>16</v>
      </c>
      <c r="C487" s="5" t="s">
        <v>37</v>
      </c>
      <c r="D487" s="5" t="s">
        <v>26</v>
      </c>
      <c r="E487" s="5" t="s">
        <v>13</v>
      </c>
      <c r="F487" s="5" t="s">
        <v>14</v>
      </c>
      <c r="G487" s="5" t="s">
        <v>24</v>
      </c>
      <c r="H487" s="5">
        <v>51584</v>
      </c>
      <c r="I487" s="5">
        <v>1079</v>
      </c>
      <c r="J487" s="6">
        <f t="shared" si="7"/>
        <v>50505</v>
      </c>
    </row>
    <row r="488" spans="1:10">
      <c r="A488" s="5">
        <v>86248</v>
      </c>
      <c r="B488" s="5" t="s">
        <v>10</v>
      </c>
      <c r="C488" s="5" t="s">
        <v>39</v>
      </c>
      <c r="D488" s="5" t="s">
        <v>12</v>
      </c>
      <c r="E488" s="5" t="s">
        <v>13</v>
      </c>
      <c r="F488" s="5" t="s">
        <v>14</v>
      </c>
      <c r="G488" s="5" t="s">
        <v>24</v>
      </c>
      <c r="H488" s="5">
        <v>43261</v>
      </c>
      <c r="I488" s="5">
        <v>0</v>
      </c>
      <c r="J488" s="6">
        <f t="shared" si="7"/>
        <v>43261</v>
      </c>
    </row>
    <row r="489" spans="1:10">
      <c r="A489" s="5">
        <v>102378</v>
      </c>
      <c r="B489" s="5" t="s">
        <v>16</v>
      </c>
      <c r="C489" s="5" t="s">
        <v>34</v>
      </c>
      <c r="D489" s="5" t="s">
        <v>30</v>
      </c>
      <c r="E489" s="5" t="s">
        <v>13</v>
      </c>
      <c r="F489" s="5" t="s">
        <v>28</v>
      </c>
      <c r="G489" s="5" t="s">
        <v>15</v>
      </c>
      <c r="H489" s="5">
        <v>65772</v>
      </c>
      <c r="I489" s="5">
        <v>856</v>
      </c>
      <c r="J489" s="6">
        <f t="shared" si="7"/>
        <v>64916</v>
      </c>
    </row>
    <row r="490" spans="1:10">
      <c r="A490" s="5">
        <v>117780</v>
      </c>
      <c r="B490" s="5" t="s">
        <v>10</v>
      </c>
      <c r="C490" s="5" t="s">
        <v>27</v>
      </c>
      <c r="D490" s="5" t="s">
        <v>30</v>
      </c>
      <c r="E490" s="5" t="s">
        <v>13</v>
      </c>
      <c r="F490" s="5" t="s">
        <v>14</v>
      </c>
      <c r="G490" s="5" t="s">
        <v>15</v>
      </c>
      <c r="H490" s="5">
        <v>133661</v>
      </c>
      <c r="I490" s="5">
        <v>6493</v>
      </c>
      <c r="J490" s="6">
        <f t="shared" si="7"/>
        <v>127168</v>
      </c>
    </row>
    <row r="491" spans="1:10">
      <c r="A491" s="5">
        <v>26057</v>
      </c>
      <c r="B491" s="5" t="s">
        <v>16</v>
      </c>
      <c r="C491" s="5" t="s">
        <v>11</v>
      </c>
      <c r="D491" s="5" t="s">
        <v>30</v>
      </c>
      <c r="E491" s="5" t="s">
        <v>19</v>
      </c>
      <c r="F491" s="5" t="s">
        <v>14</v>
      </c>
      <c r="G491" s="5" t="s">
        <v>15</v>
      </c>
      <c r="H491" s="5">
        <v>77401</v>
      </c>
      <c r="I491" s="5">
        <v>1806</v>
      </c>
      <c r="J491" s="6">
        <f t="shared" si="7"/>
        <v>75595</v>
      </c>
    </row>
    <row r="492" spans="1:10">
      <c r="A492" s="5">
        <v>106196</v>
      </c>
      <c r="B492" s="5" t="s">
        <v>16</v>
      </c>
      <c r="C492" s="5" t="s">
        <v>17</v>
      </c>
      <c r="D492" s="5" t="s">
        <v>23</v>
      </c>
      <c r="E492" s="5" t="s">
        <v>19</v>
      </c>
      <c r="F492" s="5" t="s">
        <v>28</v>
      </c>
      <c r="G492" s="5" t="s">
        <v>15</v>
      </c>
      <c r="H492" s="5">
        <v>12723</v>
      </c>
      <c r="I492" s="5">
        <v>132</v>
      </c>
      <c r="J492" s="6">
        <f t="shared" si="7"/>
        <v>12591</v>
      </c>
    </row>
    <row r="493" spans="1:10">
      <c r="A493" s="5">
        <v>7825</v>
      </c>
      <c r="B493" s="5" t="s">
        <v>16</v>
      </c>
      <c r="C493" s="5" t="s">
        <v>37</v>
      </c>
      <c r="D493" s="5" t="s">
        <v>12</v>
      </c>
      <c r="E493" s="5" t="s">
        <v>13</v>
      </c>
      <c r="F493" s="5" t="s">
        <v>14</v>
      </c>
      <c r="G493" s="5" t="s">
        <v>24</v>
      </c>
      <c r="H493" s="5">
        <v>29394</v>
      </c>
      <c r="I493" s="5">
        <v>1053</v>
      </c>
      <c r="J493" s="6">
        <f t="shared" si="7"/>
        <v>28341</v>
      </c>
    </row>
    <row r="494" spans="1:10">
      <c r="A494" s="5">
        <v>155591</v>
      </c>
      <c r="B494" s="5" t="s">
        <v>16</v>
      </c>
      <c r="C494" s="5" t="s">
        <v>31</v>
      </c>
      <c r="D494" s="5" t="s">
        <v>36</v>
      </c>
      <c r="E494" s="5" t="s">
        <v>19</v>
      </c>
      <c r="F494" s="5" t="s">
        <v>28</v>
      </c>
      <c r="G494" s="5" t="s">
        <v>15</v>
      </c>
      <c r="H494" s="5">
        <v>39927</v>
      </c>
      <c r="I494" s="5">
        <v>0</v>
      </c>
      <c r="J494" s="6">
        <f t="shared" si="7"/>
        <v>39927</v>
      </c>
    </row>
    <row r="495" spans="1:10">
      <c r="A495" s="5">
        <v>39078</v>
      </c>
      <c r="B495" s="5" t="s">
        <v>10</v>
      </c>
      <c r="C495" s="5" t="s">
        <v>35</v>
      </c>
      <c r="D495" s="5" t="s">
        <v>23</v>
      </c>
      <c r="E495" s="5" t="s">
        <v>13</v>
      </c>
      <c r="F495" s="5" t="s">
        <v>28</v>
      </c>
      <c r="G495" s="5" t="s">
        <v>15</v>
      </c>
      <c r="H495" s="5">
        <v>130740</v>
      </c>
      <c r="I495" s="5">
        <v>893</v>
      </c>
      <c r="J495" s="6">
        <f t="shared" si="7"/>
        <v>129847</v>
      </c>
    </row>
    <row r="496" spans="1:10">
      <c r="A496" s="5">
        <v>205166</v>
      </c>
      <c r="B496" s="5" t="s">
        <v>16</v>
      </c>
      <c r="C496" s="5" t="s">
        <v>34</v>
      </c>
      <c r="D496" s="5" t="s">
        <v>21</v>
      </c>
      <c r="E496" s="5" t="s">
        <v>13</v>
      </c>
      <c r="F496" s="5" t="s">
        <v>28</v>
      </c>
      <c r="G496" s="5" t="s">
        <v>24</v>
      </c>
      <c r="H496" s="5">
        <v>46461</v>
      </c>
      <c r="I496" s="5">
        <v>274</v>
      </c>
      <c r="J496" s="6">
        <f t="shared" si="7"/>
        <v>46187</v>
      </c>
    </row>
    <row r="497" spans="1:10">
      <c r="A497" s="5">
        <v>212188</v>
      </c>
      <c r="B497" s="5" t="s">
        <v>16</v>
      </c>
      <c r="C497" s="5" t="s">
        <v>37</v>
      </c>
      <c r="D497" s="5" t="s">
        <v>33</v>
      </c>
      <c r="E497" s="5" t="s">
        <v>19</v>
      </c>
      <c r="F497" s="5" t="s">
        <v>14</v>
      </c>
      <c r="G497" s="5" t="s">
        <v>24</v>
      </c>
      <c r="H497" s="5">
        <v>67632</v>
      </c>
      <c r="I497" s="5">
        <v>281</v>
      </c>
      <c r="J497" s="6">
        <f t="shared" si="7"/>
        <v>67351</v>
      </c>
    </row>
    <row r="498" spans="1:10">
      <c r="A498" s="5">
        <v>22419</v>
      </c>
      <c r="B498" s="5" t="s">
        <v>10</v>
      </c>
      <c r="C498" s="5" t="s">
        <v>11</v>
      </c>
      <c r="D498" s="5" t="s">
        <v>32</v>
      </c>
      <c r="E498" s="5" t="s">
        <v>13</v>
      </c>
      <c r="F498" s="5" t="s">
        <v>14</v>
      </c>
      <c r="G498" s="5" t="s">
        <v>15</v>
      </c>
      <c r="H498" s="5">
        <v>110728</v>
      </c>
      <c r="I498" s="5">
        <v>0</v>
      </c>
      <c r="J498" s="6">
        <f t="shared" si="7"/>
        <v>110728</v>
      </c>
    </row>
    <row r="499" spans="1:10">
      <c r="A499" s="5">
        <v>82244</v>
      </c>
      <c r="B499" s="5" t="s">
        <v>10</v>
      </c>
      <c r="C499" s="5" t="s">
        <v>37</v>
      </c>
      <c r="D499" s="5" t="s">
        <v>32</v>
      </c>
      <c r="E499" s="5" t="s">
        <v>19</v>
      </c>
      <c r="F499" s="5" t="s">
        <v>14</v>
      </c>
      <c r="G499" s="5" t="s">
        <v>24</v>
      </c>
      <c r="H499" s="5">
        <v>2364</v>
      </c>
      <c r="I499" s="5">
        <v>201</v>
      </c>
      <c r="J499" s="6">
        <f t="shared" si="7"/>
        <v>2163</v>
      </c>
    </row>
    <row r="500" spans="1:10">
      <c r="A500" s="5">
        <v>75618</v>
      </c>
      <c r="B500" s="5" t="s">
        <v>16</v>
      </c>
      <c r="C500" s="5" t="s">
        <v>27</v>
      </c>
      <c r="D500" s="5" t="s">
        <v>12</v>
      </c>
      <c r="E500" s="5" t="s">
        <v>13</v>
      </c>
      <c r="F500" s="5" t="s">
        <v>14</v>
      </c>
      <c r="G500" s="5" t="s">
        <v>15</v>
      </c>
      <c r="H500" s="5">
        <v>75547</v>
      </c>
      <c r="I500" s="5">
        <v>630</v>
      </c>
      <c r="J500" s="6">
        <f t="shared" si="7"/>
        <v>74917</v>
      </c>
    </row>
    <row r="501" spans="1:10">
      <c r="A501" s="5">
        <v>217563</v>
      </c>
      <c r="B501" s="5" t="s">
        <v>10</v>
      </c>
      <c r="C501" s="5" t="s">
        <v>38</v>
      </c>
      <c r="D501" s="5" t="s">
        <v>33</v>
      </c>
      <c r="E501" s="5" t="s">
        <v>13</v>
      </c>
      <c r="F501" s="5" t="s">
        <v>14</v>
      </c>
      <c r="G501" s="5" t="s">
        <v>15</v>
      </c>
      <c r="H501" s="5">
        <v>45100</v>
      </c>
      <c r="I501" s="5">
        <v>273</v>
      </c>
      <c r="J501" s="6">
        <f t="shared" si="7"/>
        <v>44827</v>
      </c>
    </row>
    <row r="502" spans="1:10">
      <c r="A502" s="5">
        <v>227714</v>
      </c>
      <c r="B502" s="5" t="s">
        <v>16</v>
      </c>
      <c r="C502" s="5" t="s">
        <v>17</v>
      </c>
      <c r="D502" s="5" t="s">
        <v>12</v>
      </c>
      <c r="E502" s="5" t="s">
        <v>19</v>
      </c>
      <c r="F502" s="5" t="s">
        <v>14</v>
      </c>
      <c r="G502" s="5" t="s">
        <v>15</v>
      </c>
      <c r="H502" s="5">
        <v>51449</v>
      </c>
      <c r="I502" s="5">
        <v>5316</v>
      </c>
      <c r="J502" s="6">
        <f t="shared" si="7"/>
        <v>46133</v>
      </c>
    </row>
    <row r="503" spans="1:10">
      <c r="A503" s="5">
        <v>40627</v>
      </c>
      <c r="B503" s="5" t="s">
        <v>10</v>
      </c>
      <c r="C503" s="5" t="s">
        <v>35</v>
      </c>
      <c r="D503" s="5" t="s">
        <v>29</v>
      </c>
      <c r="E503" s="5" t="s">
        <v>13</v>
      </c>
      <c r="F503" s="5" t="s">
        <v>14</v>
      </c>
      <c r="G503" s="5" t="s">
        <v>15</v>
      </c>
      <c r="H503" s="5">
        <v>111011</v>
      </c>
      <c r="I503" s="5">
        <v>160</v>
      </c>
      <c r="J503" s="6">
        <f t="shared" si="7"/>
        <v>110851</v>
      </c>
    </row>
    <row r="504" spans="1:10">
      <c r="A504" s="5">
        <v>198644</v>
      </c>
      <c r="B504" s="5" t="s">
        <v>10</v>
      </c>
      <c r="C504" s="5" t="s">
        <v>38</v>
      </c>
      <c r="D504" s="5" t="s">
        <v>29</v>
      </c>
      <c r="E504" s="5" t="s">
        <v>19</v>
      </c>
      <c r="F504" s="5" t="s">
        <v>14</v>
      </c>
      <c r="G504" s="5" t="s">
        <v>24</v>
      </c>
      <c r="H504" s="5">
        <v>99465</v>
      </c>
      <c r="I504" s="5">
        <v>15802</v>
      </c>
      <c r="J504" s="6">
        <f t="shared" si="7"/>
        <v>83663</v>
      </c>
    </row>
    <row r="505" spans="1:10">
      <c r="A505" s="5">
        <v>194736</v>
      </c>
      <c r="B505" s="5" t="s">
        <v>16</v>
      </c>
      <c r="C505" s="5" t="s">
        <v>37</v>
      </c>
      <c r="D505" s="5" t="s">
        <v>12</v>
      </c>
      <c r="E505" s="5" t="s">
        <v>19</v>
      </c>
      <c r="F505" s="5" t="s">
        <v>14</v>
      </c>
      <c r="G505" s="5" t="s">
        <v>15</v>
      </c>
      <c r="H505" s="5">
        <v>43529</v>
      </c>
      <c r="I505" s="5">
        <v>1919</v>
      </c>
      <c r="J505" s="6">
        <f t="shared" si="7"/>
        <v>41610</v>
      </c>
    </row>
    <row r="506" spans="1:10">
      <c r="A506" s="5">
        <v>93695</v>
      </c>
      <c r="B506" s="5" t="s">
        <v>10</v>
      </c>
      <c r="C506" s="5" t="s">
        <v>20</v>
      </c>
      <c r="D506" s="5" t="s">
        <v>32</v>
      </c>
      <c r="E506" s="5" t="s">
        <v>13</v>
      </c>
      <c r="F506" s="5" t="s">
        <v>14</v>
      </c>
      <c r="G506" s="5" t="s">
        <v>15</v>
      </c>
      <c r="H506" s="5">
        <v>57321</v>
      </c>
      <c r="I506" s="5">
        <v>1352</v>
      </c>
      <c r="J506" s="6">
        <f t="shared" si="7"/>
        <v>55969</v>
      </c>
    </row>
    <row r="507" spans="1:10">
      <c r="A507" s="5">
        <v>177062</v>
      </c>
      <c r="B507" s="5" t="s">
        <v>16</v>
      </c>
      <c r="C507" s="5" t="s">
        <v>25</v>
      </c>
      <c r="D507" s="5" t="s">
        <v>30</v>
      </c>
      <c r="E507" s="5" t="s">
        <v>13</v>
      </c>
      <c r="F507" s="5" t="s">
        <v>28</v>
      </c>
      <c r="G507" s="5" t="s">
        <v>24</v>
      </c>
      <c r="H507" s="5">
        <v>96524</v>
      </c>
      <c r="I507" s="5">
        <v>235</v>
      </c>
      <c r="J507" s="6">
        <f t="shared" si="7"/>
        <v>96289</v>
      </c>
    </row>
    <row r="508" spans="1:10">
      <c r="A508" s="5">
        <v>28691</v>
      </c>
      <c r="B508" s="5" t="s">
        <v>16</v>
      </c>
      <c r="C508" s="5" t="s">
        <v>35</v>
      </c>
      <c r="D508" s="5" t="s">
        <v>33</v>
      </c>
      <c r="E508" s="5" t="s">
        <v>13</v>
      </c>
      <c r="F508" s="5" t="s">
        <v>14</v>
      </c>
      <c r="G508" s="5" t="s">
        <v>24</v>
      </c>
      <c r="H508" s="5">
        <v>74897</v>
      </c>
      <c r="I508" s="5">
        <v>11511</v>
      </c>
      <c r="J508" s="6">
        <f t="shared" si="7"/>
        <v>63386</v>
      </c>
    </row>
    <row r="509" spans="1:10">
      <c r="A509" s="5">
        <v>216619</v>
      </c>
      <c r="B509" s="5" t="s">
        <v>10</v>
      </c>
      <c r="C509" s="5" t="s">
        <v>34</v>
      </c>
      <c r="D509" s="5" t="s">
        <v>29</v>
      </c>
      <c r="E509" s="5" t="s">
        <v>13</v>
      </c>
      <c r="F509" s="5" t="s">
        <v>14</v>
      </c>
      <c r="G509" s="5" t="s">
        <v>24</v>
      </c>
      <c r="H509" s="5">
        <v>84918</v>
      </c>
      <c r="I509" s="5">
        <v>4984</v>
      </c>
      <c r="J509" s="6">
        <f t="shared" si="7"/>
        <v>79934</v>
      </c>
    </row>
    <row r="510" spans="1:10">
      <c r="A510" s="5">
        <v>187319</v>
      </c>
      <c r="B510" s="5" t="s">
        <v>16</v>
      </c>
      <c r="C510" s="5" t="s">
        <v>20</v>
      </c>
      <c r="D510" s="5" t="s">
        <v>32</v>
      </c>
      <c r="E510" s="5" t="s">
        <v>19</v>
      </c>
      <c r="F510" s="5" t="s">
        <v>14</v>
      </c>
      <c r="G510" s="5" t="s">
        <v>15</v>
      </c>
      <c r="H510" s="5">
        <v>32111</v>
      </c>
      <c r="I510" s="5">
        <v>190</v>
      </c>
      <c r="J510" s="6">
        <f t="shared" si="7"/>
        <v>31921</v>
      </c>
    </row>
    <row r="511" spans="1:10">
      <c r="A511" s="5">
        <v>238726</v>
      </c>
      <c r="B511" s="5" t="s">
        <v>16</v>
      </c>
      <c r="C511" s="5" t="s">
        <v>17</v>
      </c>
      <c r="D511" s="5" t="s">
        <v>33</v>
      </c>
      <c r="E511" s="5" t="s">
        <v>19</v>
      </c>
      <c r="F511" s="5" t="s">
        <v>14</v>
      </c>
      <c r="G511" s="5" t="s">
        <v>24</v>
      </c>
      <c r="H511" s="5">
        <v>103097</v>
      </c>
      <c r="I511" s="5">
        <v>318</v>
      </c>
      <c r="J511" s="6">
        <f t="shared" si="7"/>
        <v>102779</v>
      </c>
    </row>
    <row r="512" spans="1:10">
      <c r="A512" s="5">
        <v>245866</v>
      </c>
      <c r="B512" s="5" t="s">
        <v>10</v>
      </c>
      <c r="C512" s="5" t="s">
        <v>17</v>
      </c>
      <c r="D512" s="5" t="s">
        <v>29</v>
      </c>
      <c r="E512" s="5" t="s">
        <v>19</v>
      </c>
      <c r="F512" s="5" t="s">
        <v>28</v>
      </c>
      <c r="G512" s="5" t="s">
        <v>24</v>
      </c>
      <c r="H512" s="5">
        <v>41222</v>
      </c>
      <c r="I512" s="5">
        <v>323</v>
      </c>
      <c r="J512" s="6">
        <f t="shared" si="7"/>
        <v>40899</v>
      </c>
    </row>
    <row r="513" spans="1:10">
      <c r="A513" s="5">
        <v>112478</v>
      </c>
      <c r="B513" s="5" t="s">
        <v>16</v>
      </c>
      <c r="C513" s="5" t="s">
        <v>22</v>
      </c>
      <c r="D513" s="5" t="s">
        <v>33</v>
      </c>
      <c r="E513" s="5" t="s">
        <v>13</v>
      </c>
      <c r="F513" s="5" t="s">
        <v>14</v>
      </c>
      <c r="G513" s="5" t="s">
        <v>15</v>
      </c>
      <c r="H513" s="5">
        <v>15263</v>
      </c>
      <c r="I513" s="5">
        <v>384</v>
      </c>
      <c r="J513" s="6">
        <f t="shared" si="7"/>
        <v>14879</v>
      </c>
    </row>
    <row r="514" spans="1:10">
      <c r="A514" s="5">
        <v>18289</v>
      </c>
      <c r="B514" s="5" t="s">
        <v>16</v>
      </c>
      <c r="C514" s="5" t="s">
        <v>11</v>
      </c>
      <c r="D514" s="5" t="s">
        <v>36</v>
      </c>
      <c r="E514" s="5" t="s">
        <v>13</v>
      </c>
      <c r="F514" s="5" t="s">
        <v>14</v>
      </c>
      <c r="G514" s="5" t="s">
        <v>24</v>
      </c>
      <c r="H514" s="5">
        <v>34985</v>
      </c>
      <c r="I514" s="5">
        <v>3365</v>
      </c>
      <c r="J514" s="6">
        <f t="shared" ref="J514:J577" si="8">H514-I514</f>
        <v>31620</v>
      </c>
    </row>
    <row r="515" spans="1:10">
      <c r="A515" s="5">
        <v>250653</v>
      </c>
      <c r="B515" s="5" t="s">
        <v>16</v>
      </c>
      <c r="C515" s="5" t="s">
        <v>17</v>
      </c>
      <c r="D515" s="5" t="s">
        <v>33</v>
      </c>
      <c r="E515" s="5" t="s">
        <v>19</v>
      </c>
      <c r="F515" s="5" t="s">
        <v>28</v>
      </c>
      <c r="G515" s="5" t="s">
        <v>15</v>
      </c>
      <c r="H515" s="5">
        <v>55677</v>
      </c>
      <c r="I515" s="5">
        <v>22</v>
      </c>
      <c r="J515" s="6">
        <f t="shared" si="8"/>
        <v>55655</v>
      </c>
    </row>
    <row r="516" spans="1:10">
      <c r="A516" s="5">
        <v>206747</v>
      </c>
      <c r="B516" s="5" t="s">
        <v>10</v>
      </c>
      <c r="C516" s="5" t="s">
        <v>11</v>
      </c>
      <c r="D516" s="5" t="s">
        <v>29</v>
      </c>
      <c r="E516" s="5" t="s">
        <v>19</v>
      </c>
      <c r="F516" s="5" t="s">
        <v>14</v>
      </c>
      <c r="G516" s="5" t="s">
        <v>24</v>
      </c>
      <c r="H516" s="5">
        <v>32695</v>
      </c>
      <c r="I516" s="5">
        <v>322</v>
      </c>
      <c r="J516" s="6">
        <f t="shared" si="8"/>
        <v>32373</v>
      </c>
    </row>
    <row r="517" spans="1:10">
      <c r="A517" s="5">
        <v>161848</v>
      </c>
      <c r="B517" s="5" t="s">
        <v>16</v>
      </c>
      <c r="C517" s="5" t="s">
        <v>25</v>
      </c>
      <c r="D517" s="5" t="s">
        <v>32</v>
      </c>
      <c r="E517" s="5" t="s">
        <v>13</v>
      </c>
      <c r="F517" s="5" t="s">
        <v>14</v>
      </c>
      <c r="G517" s="5" t="s">
        <v>15</v>
      </c>
      <c r="H517" s="5">
        <v>214767</v>
      </c>
      <c r="I517" s="5">
        <v>0</v>
      </c>
      <c r="J517" s="6">
        <f t="shared" si="8"/>
        <v>214767</v>
      </c>
    </row>
    <row r="518" spans="1:10">
      <c r="A518" s="5">
        <v>51805</v>
      </c>
      <c r="B518" s="5" t="s">
        <v>10</v>
      </c>
      <c r="C518" s="5" t="s">
        <v>35</v>
      </c>
      <c r="D518" s="5" t="s">
        <v>12</v>
      </c>
      <c r="E518" s="5" t="s">
        <v>19</v>
      </c>
      <c r="F518" s="5" t="s">
        <v>14</v>
      </c>
      <c r="G518" s="5" t="s">
        <v>24</v>
      </c>
      <c r="H518" s="5">
        <v>35588</v>
      </c>
      <c r="I518" s="5">
        <v>1600</v>
      </c>
      <c r="J518" s="6">
        <f t="shared" si="8"/>
        <v>33988</v>
      </c>
    </row>
    <row r="519" spans="1:10">
      <c r="A519" s="5">
        <v>134073</v>
      </c>
      <c r="B519" s="5" t="s">
        <v>16</v>
      </c>
      <c r="C519" s="5" t="s">
        <v>31</v>
      </c>
      <c r="D519" s="5" t="s">
        <v>33</v>
      </c>
      <c r="E519" s="5" t="s">
        <v>19</v>
      </c>
      <c r="F519" s="5" t="s">
        <v>14</v>
      </c>
      <c r="G519" s="5" t="s">
        <v>24</v>
      </c>
      <c r="H519" s="5">
        <v>38729</v>
      </c>
      <c r="I519" s="5">
        <v>0</v>
      </c>
      <c r="J519" s="6">
        <f t="shared" si="8"/>
        <v>38729</v>
      </c>
    </row>
    <row r="520" spans="1:10">
      <c r="A520" s="5">
        <v>114901</v>
      </c>
      <c r="B520" s="5" t="s">
        <v>10</v>
      </c>
      <c r="C520" s="5" t="s">
        <v>22</v>
      </c>
      <c r="D520" s="5" t="s">
        <v>32</v>
      </c>
      <c r="E520" s="5" t="s">
        <v>19</v>
      </c>
      <c r="F520" s="5" t="s">
        <v>14</v>
      </c>
      <c r="G520" s="5" t="s">
        <v>24</v>
      </c>
      <c r="H520" s="5">
        <v>19963</v>
      </c>
      <c r="I520" s="5">
        <v>0</v>
      </c>
      <c r="J520" s="6">
        <f t="shared" si="8"/>
        <v>19963</v>
      </c>
    </row>
    <row r="521" spans="1:10">
      <c r="A521" s="5">
        <v>24578</v>
      </c>
      <c r="B521" s="5" t="s">
        <v>16</v>
      </c>
      <c r="C521" s="5" t="s">
        <v>11</v>
      </c>
      <c r="D521" s="5" t="s">
        <v>32</v>
      </c>
      <c r="E521" s="5" t="s">
        <v>13</v>
      </c>
      <c r="F521" s="5" t="s">
        <v>14</v>
      </c>
      <c r="G521" s="5" t="s">
        <v>15</v>
      </c>
      <c r="H521" s="5">
        <v>33963</v>
      </c>
      <c r="I521" s="5">
        <v>0</v>
      </c>
      <c r="J521" s="6">
        <f t="shared" si="8"/>
        <v>33963</v>
      </c>
    </row>
    <row r="522" spans="1:10">
      <c r="A522" s="5">
        <v>78551</v>
      </c>
      <c r="B522" s="5" t="s">
        <v>16</v>
      </c>
      <c r="C522" s="5" t="s">
        <v>20</v>
      </c>
      <c r="D522" s="5" t="s">
        <v>21</v>
      </c>
      <c r="E522" s="5" t="s">
        <v>13</v>
      </c>
      <c r="F522" s="5" t="s">
        <v>14</v>
      </c>
      <c r="G522" s="5" t="s">
        <v>15</v>
      </c>
      <c r="H522" s="5">
        <v>-192</v>
      </c>
      <c r="I522" s="5">
        <v>0</v>
      </c>
      <c r="J522" s="6">
        <f t="shared" si="8"/>
        <v>-192</v>
      </c>
    </row>
    <row r="523" spans="1:10">
      <c r="A523" s="5">
        <v>210996</v>
      </c>
      <c r="B523" s="5" t="s">
        <v>10</v>
      </c>
      <c r="C523" s="5" t="s">
        <v>38</v>
      </c>
      <c r="D523" s="5" t="s">
        <v>23</v>
      </c>
      <c r="E523" s="5" t="s">
        <v>13</v>
      </c>
      <c r="F523" s="5" t="s">
        <v>14</v>
      </c>
      <c r="G523" s="5" t="s">
        <v>15</v>
      </c>
      <c r="H523" s="5">
        <v>87649</v>
      </c>
      <c r="I523" s="5">
        <v>1265</v>
      </c>
      <c r="J523" s="6">
        <f t="shared" si="8"/>
        <v>86384</v>
      </c>
    </row>
    <row r="524" spans="1:10">
      <c r="A524" s="5">
        <v>173575</v>
      </c>
      <c r="B524" s="5" t="s">
        <v>10</v>
      </c>
      <c r="C524" s="5" t="s">
        <v>27</v>
      </c>
      <c r="D524" s="5" t="s">
        <v>32</v>
      </c>
      <c r="E524" s="5" t="s">
        <v>13</v>
      </c>
      <c r="F524" s="5" t="s">
        <v>14</v>
      </c>
      <c r="G524" s="5" t="s">
        <v>15</v>
      </c>
      <c r="H524" s="5">
        <v>74993</v>
      </c>
      <c r="I524" s="5">
        <v>69</v>
      </c>
      <c r="J524" s="6">
        <f t="shared" si="8"/>
        <v>74924</v>
      </c>
    </row>
    <row r="525" spans="1:10">
      <c r="A525" s="5">
        <v>35088</v>
      </c>
      <c r="B525" s="5" t="s">
        <v>16</v>
      </c>
      <c r="C525" s="5" t="s">
        <v>35</v>
      </c>
      <c r="D525" s="5" t="s">
        <v>32</v>
      </c>
      <c r="E525" s="5" t="s">
        <v>13</v>
      </c>
      <c r="F525" s="5" t="s">
        <v>14</v>
      </c>
      <c r="G525" s="5" t="s">
        <v>15</v>
      </c>
      <c r="H525" s="5">
        <v>33402</v>
      </c>
      <c r="I525" s="5">
        <v>0</v>
      </c>
      <c r="J525" s="6">
        <f t="shared" si="8"/>
        <v>33402</v>
      </c>
    </row>
    <row r="526" spans="1:10">
      <c r="A526" s="5">
        <v>185786</v>
      </c>
      <c r="B526" s="5" t="s">
        <v>10</v>
      </c>
      <c r="C526" s="5" t="s">
        <v>39</v>
      </c>
      <c r="D526" s="5" t="s">
        <v>33</v>
      </c>
      <c r="E526" s="5" t="s">
        <v>13</v>
      </c>
      <c r="F526" s="5" t="s">
        <v>14</v>
      </c>
      <c r="G526" s="5" t="s">
        <v>15</v>
      </c>
      <c r="H526" s="5">
        <v>39656</v>
      </c>
      <c r="I526" s="5">
        <v>344</v>
      </c>
      <c r="J526" s="6">
        <f t="shared" si="8"/>
        <v>39312</v>
      </c>
    </row>
    <row r="527" spans="1:10">
      <c r="A527" s="5">
        <v>164270</v>
      </c>
      <c r="B527" s="5" t="s">
        <v>16</v>
      </c>
      <c r="C527" s="5" t="s">
        <v>25</v>
      </c>
      <c r="D527" s="5" t="s">
        <v>30</v>
      </c>
      <c r="E527" s="5" t="s">
        <v>19</v>
      </c>
      <c r="F527" s="5" t="s">
        <v>14</v>
      </c>
      <c r="G527" s="5" t="s">
        <v>24</v>
      </c>
      <c r="H527" s="5">
        <v>67007</v>
      </c>
      <c r="I527" s="5">
        <v>693</v>
      </c>
      <c r="J527" s="6">
        <f t="shared" si="8"/>
        <v>66314</v>
      </c>
    </row>
    <row r="528" spans="1:10">
      <c r="A528" s="5">
        <v>224088</v>
      </c>
      <c r="B528" s="5" t="s">
        <v>10</v>
      </c>
      <c r="C528" s="5" t="s">
        <v>25</v>
      </c>
      <c r="D528" s="5" t="s">
        <v>23</v>
      </c>
      <c r="E528" s="5" t="s">
        <v>13</v>
      </c>
      <c r="F528" s="5" t="s">
        <v>14</v>
      </c>
      <c r="G528" s="5" t="s">
        <v>15</v>
      </c>
      <c r="H528" s="5">
        <v>75178</v>
      </c>
      <c r="I528" s="5">
        <v>902</v>
      </c>
      <c r="J528" s="6">
        <f t="shared" si="8"/>
        <v>74276</v>
      </c>
    </row>
    <row r="529" spans="1:10">
      <c r="A529" s="5">
        <v>187047</v>
      </c>
      <c r="B529" s="5" t="s">
        <v>16</v>
      </c>
      <c r="C529" s="5" t="s">
        <v>38</v>
      </c>
      <c r="D529" s="5" t="s">
        <v>33</v>
      </c>
      <c r="E529" s="5" t="s">
        <v>13</v>
      </c>
      <c r="F529" s="5" t="s">
        <v>14</v>
      </c>
      <c r="G529" s="5" t="s">
        <v>15</v>
      </c>
      <c r="H529" s="5">
        <v>13433</v>
      </c>
      <c r="I529" s="5">
        <v>0</v>
      </c>
      <c r="J529" s="6">
        <f t="shared" si="8"/>
        <v>13433</v>
      </c>
    </row>
    <row r="530" spans="1:10">
      <c r="A530" s="5">
        <v>93720</v>
      </c>
      <c r="B530" s="5" t="s">
        <v>10</v>
      </c>
      <c r="C530" s="5" t="s">
        <v>20</v>
      </c>
      <c r="D530" s="5" t="s">
        <v>32</v>
      </c>
      <c r="E530" s="5" t="s">
        <v>13</v>
      </c>
      <c r="F530" s="5" t="s">
        <v>14</v>
      </c>
      <c r="G530" s="5" t="s">
        <v>15</v>
      </c>
      <c r="H530" s="5">
        <v>17622</v>
      </c>
      <c r="I530" s="5">
        <v>603</v>
      </c>
      <c r="J530" s="6">
        <f t="shared" si="8"/>
        <v>17019</v>
      </c>
    </row>
    <row r="531" spans="1:10">
      <c r="A531" s="5">
        <v>244437</v>
      </c>
      <c r="B531" s="5" t="s">
        <v>10</v>
      </c>
      <c r="C531" s="5" t="s">
        <v>17</v>
      </c>
      <c r="D531" s="5" t="s">
        <v>23</v>
      </c>
      <c r="E531" s="5" t="s">
        <v>19</v>
      </c>
      <c r="F531" s="5" t="s">
        <v>14</v>
      </c>
      <c r="G531" s="5" t="s">
        <v>24</v>
      </c>
      <c r="H531" s="5">
        <v>17979</v>
      </c>
      <c r="I531" s="5">
        <v>759</v>
      </c>
      <c r="J531" s="6">
        <f t="shared" si="8"/>
        <v>17220</v>
      </c>
    </row>
    <row r="532" spans="1:10">
      <c r="A532" s="5">
        <v>18498</v>
      </c>
      <c r="B532" s="5" t="s">
        <v>10</v>
      </c>
      <c r="C532" s="5" t="s">
        <v>11</v>
      </c>
      <c r="D532" s="5" t="s">
        <v>32</v>
      </c>
      <c r="E532" s="5" t="s">
        <v>13</v>
      </c>
      <c r="F532" s="5" t="s">
        <v>14</v>
      </c>
      <c r="G532" s="5" t="s">
        <v>15</v>
      </c>
      <c r="H532" s="5">
        <v>23328</v>
      </c>
      <c r="I532" s="5">
        <v>413</v>
      </c>
      <c r="J532" s="6">
        <f t="shared" si="8"/>
        <v>22915</v>
      </c>
    </row>
    <row r="533" spans="1:10">
      <c r="A533" s="5">
        <v>243191</v>
      </c>
      <c r="B533" s="5" t="s">
        <v>16</v>
      </c>
      <c r="C533" s="5" t="s">
        <v>11</v>
      </c>
      <c r="D533" s="5" t="s">
        <v>12</v>
      </c>
      <c r="E533" s="5" t="s">
        <v>13</v>
      </c>
      <c r="F533" s="5" t="s">
        <v>14</v>
      </c>
      <c r="G533" s="5" t="s">
        <v>24</v>
      </c>
      <c r="H533" s="5">
        <v>69146</v>
      </c>
      <c r="I533" s="5">
        <v>344</v>
      </c>
      <c r="J533" s="6">
        <f t="shared" si="8"/>
        <v>68802</v>
      </c>
    </row>
    <row r="534" spans="1:10">
      <c r="A534" s="5">
        <v>209392</v>
      </c>
      <c r="B534" s="5" t="s">
        <v>10</v>
      </c>
      <c r="C534" s="5" t="s">
        <v>38</v>
      </c>
      <c r="D534" s="5" t="s">
        <v>30</v>
      </c>
      <c r="E534" s="5" t="s">
        <v>13</v>
      </c>
      <c r="F534" s="5" t="s">
        <v>28</v>
      </c>
      <c r="G534" s="5" t="s">
        <v>15</v>
      </c>
      <c r="H534" s="5">
        <v>57304</v>
      </c>
      <c r="I534" s="5">
        <v>453</v>
      </c>
      <c r="J534" s="6">
        <f t="shared" si="8"/>
        <v>56851</v>
      </c>
    </row>
    <row r="535" spans="1:10">
      <c r="A535" s="5">
        <v>88731</v>
      </c>
      <c r="B535" s="5" t="s">
        <v>10</v>
      </c>
      <c r="C535" s="5" t="s">
        <v>20</v>
      </c>
      <c r="D535" s="5" t="s">
        <v>32</v>
      </c>
      <c r="E535" s="5" t="s">
        <v>13</v>
      </c>
      <c r="F535" s="5" t="s">
        <v>14</v>
      </c>
      <c r="G535" s="5" t="s">
        <v>15</v>
      </c>
      <c r="H535" s="5">
        <v>5908</v>
      </c>
      <c r="I535" s="5">
        <v>0</v>
      </c>
      <c r="J535" s="6">
        <f t="shared" si="8"/>
        <v>5908</v>
      </c>
    </row>
    <row r="536" spans="1:10">
      <c r="A536" s="5">
        <v>237983</v>
      </c>
      <c r="B536" s="5" t="s">
        <v>16</v>
      </c>
      <c r="C536" s="5" t="s">
        <v>25</v>
      </c>
      <c r="D536" s="5" t="s">
        <v>12</v>
      </c>
      <c r="E536" s="5" t="s">
        <v>19</v>
      </c>
      <c r="F536" s="5" t="s">
        <v>28</v>
      </c>
      <c r="G536" s="5" t="s">
        <v>15</v>
      </c>
      <c r="H536" s="5">
        <v>44531</v>
      </c>
      <c r="I536" s="5">
        <v>434</v>
      </c>
      <c r="J536" s="6">
        <f t="shared" si="8"/>
        <v>44097</v>
      </c>
    </row>
    <row r="537" spans="1:10">
      <c r="A537" s="5">
        <v>190555</v>
      </c>
      <c r="B537" s="5" t="s">
        <v>16</v>
      </c>
      <c r="C537" s="5" t="s">
        <v>34</v>
      </c>
      <c r="D537" s="5" t="s">
        <v>12</v>
      </c>
      <c r="E537" s="5" t="s">
        <v>13</v>
      </c>
      <c r="F537" s="5" t="s">
        <v>14</v>
      </c>
      <c r="G537" s="5" t="s">
        <v>15</v>
      </c>
      <c r="H537" s="5">
        <v>19884</v>
      </c>
      <c r="I537" s="5">
        <v>0</v>
      </c>
      <c r="J537" s="6">
        <f t="shared" si="8"/>
        <v>19884</v>
      </c>
    </row>
    <row r="538" spans="1:10">
      <c r="A538" s="5">
        <v>108809</v>
      </c>
      <c r="B538" s="5" t="s">
        <v>10</v>
      </c>
      <c r="C538" s="5" t="s">
        <v>17</v>
      </c>
      <c r="D538" s="5" t="s">
        <v>21</v>
      </c>
      <c r="E538" s="5" t="s">
        <v>19</v>
      </c>
      <c r="F538" s="5" t="s">
        <v>14</v>
      </c>
      <c r="G538" s="5" t="s">
        <v>24</v>
      </c>
      <c r="H538" s="5">
        <v>38875</v>
      </c>
      <c r="I538" s="5">
        <v>0</v>
      </c>
      <c r="J538" s="6">
        <f t="shared" si="8"/>
        <v>38875</v>
      </c>
    </row>
    <row r="539" spans="1:10">
      <c r="A539" s="5">
        <v>186195</v>
      </c>
      <c r="B539" s="5" t="s">
        <v>10</v>
      </c>
      <c r="C539" s="5" t="s">
        <v>20</v>
      </c>
      <c r="D539" s="5" t="s">
        <v>32</v>
      </c>
      <c r="E539" s="5" t="s">
        <v>13</v>
      </c>
      <c r="F539" s="5" t="s">
        <v>14</v>
      </c>
      <c r="G539" s="5" t="s">
        <v>15</v>
      </c>
      <c r="H539" s="5">
        <v>32784</v>
      </c>
      <c r="I539" s="5">
        <v>4378</v>
      </c>
      <c r="J539" s="6">
        <f t="shared" si="8"/>
        <v>28406</v>
      </c>
    </row>
    <row r="540" spans="1:10">
      <c r="A540" s="5">
        <v>130105</v>
      </c>
      <c r="B540" s="5" t="s">
        <v>16</v>
      </c>
      <c r="C540" s="5" t="s">
        <v>22</v>
      </c>
      <c r="D540" s="5" t="s">
        <v>36</v>
      </c>
      <c r="E540" s="5" t="s">
        <v>13</v>
      </c>
      <c r="F540" s="5" t="s">
        <v>14</v>
      </c>
      <c r="G540" s="5" t="s">
        <v>24</v>
      </c>
      <c r="H540" s="5">
        <v>1866</v>
      </c>
      <c r="I540" s="5">
        <v>0</v>
      </c>
      <c r="J540" s="6">
        <f t="shared" si="8"/>
        <v>1866</v>
      </c>
    </row>
    <row r="541" spans="1:10">
      <c r="A541" s="5">
        <v>30113</v>
      </c>
      <c r="B541" s="5" t="s">
        <v>16</v>
      </c>
      <c r="C541" s="5" t="s">
        <v>35</v>
      </c>
      <c r="D541" s="5" t="s">
        <v>12</v>
      </c>
      <c r="E541" s="5" t="s">
        <v>19</v>
      </c>
      <c r="F541" s="5" t="s">
        <v>14</v>
      </c>
      <c r="G541" s="5" t="s">
        <v>15</v>
      </c>
      <c r="H541" s="5">
        <v>81416</v>
      </c>
      <c r="I541" s="5">
        <v>7752</v>
      </c>
      <c r="J541" s="6">
        <f t="shared" si="8"/>
        <v>73664</v>
      </c>
    </row>
    <row r="542" spans="1:10">
      <c r="A542" s="5">
        <v>180305</v>
      </c>
      <c r="B542" s="5" t="s">
        <v>10</v>
      </c>
      <c r="C542" s="5" t="s">
        <v>31</v>
      </c>
      <c r="D542" s="5" t="s">
        <v>33</v>
      </c>
      <c r="E542" s="5" t="s">
        <v>19</v>
      </c>
      <c r="F542" s="5" t="s">
        <v>14</v>
      </c>
      <c r="G542" s="5" t="s">
        <v>24</v>
      </c>
      <c r="H542" s="5">
        <v>18203</v>
      </c>
      <c r="I542" s="5">
        <v>0</v>
      </c>
      <c r="J542" s="6">
        <f t="shared" si="8"/>
        <v>18203</v>
      </c>
    </row>
    <row r="543" spans="1:10">
      <c r="A543" s="5">
        <v>21972</v>
      </c>
      <c r="B543" s="5" t="s">
        <v>16</v>
      </c>
      <c r="C543" s="5" t="s">
        <v>11</v>
      </c>
      <c r="D543" s="5" t="s">
        <v>12</v>
      </c>
      <c r="E543" s="5" t="s">
        <v>13</v>
      </c>
      <c r="F543" s="5" t="s">
        <v>14</v>
      </c>
      <c r="G543" s="5" t="s">
        <v>15</v>
      </c>
      <c r="H543" s="5">
        <v>74260</v>
      </c>
      <c r="I543" s="5">
        <v>773</v>
      </c>
      <c r="J543" s="6">
        <f t="shared" si="8"/>
        <v>73487</v>
      </c>
    </row>
    <row r="544" spans="1:10">
      <c r="A544" s="5">
        <v>53320</v>
      </c>
      <c r="B544" s="5" t="s">
        <v>16</v>
      </c>
      <c r="C544" s="5" t="s">
        <v>35</v>
      </c>
      <c r="D544" s="5" t="s">
        <v>30</v>
      </c>
      <c r="E544" s="5" t="s">
        <v>13</v>
      </c>
      <c r="F544" s="5" t="s">
        <v>14</v>
      </c>
      <c r="G544" s="5" t="s">
        <v>15</v>
      </c>
      <c r="H544" s="5">
        <v>81360</v>
      </c>
      <c r="I544" s="5">
        <v>5743</v>
      </c>
      <c r="J544" s="6">
        <f t="shared" si="8"/>
        <v>75617</v>
      </c>
    </row>
    <row r="545" spans="1:10">
      <c r="A545" s="5">
        <v>252182</v>
      </c>
      <c r="B545" s="5" t="s">
        <v>10</v>
      </c>
      <c r="C545" s="5" t="s">
        <v>17</v>
      </c>
      <c r="D545" s="5" t="s">
        <v>21</v>
      </c>
      <c r="E545" s="5" t="s">
        <v>19</v>
      </c>
      <c r="F545" s="5" t="s">
        <v>14</v>
      </c>
      <c r="G545" s="5" t="s">
        <v>24</v>
      </c>
      <c r="H545" s="5">
        <v>73807</v>
      </c>
      <c r="I545" s="5">
        <v>4124</v>
      </c>
      <c r="J545" s="6">
        <f t="shared" si="8"/>
        <v>69683</v>
      </c>
    </row>
    <row r="546" spans="1:10">
      <c r="A546" s="5">
        <v>54439</v>
      </c>
      <c r="B546" s="5" t="s">
        <v>10</v>
      </c>
      <c r="C546" s="5" t="s">
        <v>35</v>
      </c>
      <c r="D546" s="5" t="s">
        <v>36</v>
      </c>
      <c r="E546" s="5" t="s">
        <v>13</v>
      </c>
      <c r="F546" s="5" t="s">
        <v>28</v>
      </c>
      <c r="G546" s="5" t="s">
        <v>24</v>
      </c>
      <c r="H546" s="5">
        <v>80476</v>
      </c>
      <c r="I546" s="5">
        <v>5412</v>
      </c>
      <c r="J546" s="6">
        <f t="shared" si="8"/>
        <v>75064</v>
      </c>
    </row>
    <row r="547" spans="1:10">
      <c r="A547" s="5">
        <v>76780</v>
      </c>
      <c r="B547" s="5" t="s">
        <v>16</v>
      </c>
      <c r="C547" s="5" t="s">
        <v>37</v>
      </c>
      <c r="D547" s="5" t="s">
        <v>12</v>
      </c>
      <c r="E547" s="5" t="s">
        <v>13</v>
      </c>
      <c r="F547" s="5" t="s">
        <v>14</v>
      </c>
      <c r="G547" s="5" t="s">
        <v>15</v>
      </c>
      <c r="H547" s="5">
        <v>69025</v>
      </c>
      <c r="I547" s="5">
        <v>576</v>
      </c>
      <c r="J547" s="6">
        <f t="shared" si="8"/>
        <v>68449</v>
      </c>
    </row>
    <row r="548" spans="1:10">
      <c r="A548" s="5">
        <v>143797</v>
      </c>
      <c r="B548" s="5" t="s">
        <v>10</v>
      </c>
      <c r="C548" s="5" t="s">
        <v>27</v>
      </c>
      <c r="D548" s="5" t="s">
        <v>30</v>
      </c>
      <c r="E548" s="5" t="s">
        <v>13</v>
      </c>
      <c r="F548" s="5" t="s">
        <v>14</v>
      </c>
      <c r="G548" s="5" t="s">
        <v>15</v>
      </c>
      <c r="H548" s="5">
        <v>185032</v>
      </c>
      <c r="I548" s="5">
        <v>14037</v>
      </c>
      <c r="J548" s="6">
        <f t="shared" si="8"/>
        <v>170995</v>
      </c>
    </row>
    <row r="549" spans="1:10">
      <c r="A549" s="5">
        <v>311</v>
      </c>
      <c r="B549" s="5" t="s">
        <v>10</v>
      </c>
      <c r="C549" s="5" t="s">
        <v>38</v>
      </c>
      <c r="D549" s="5" t="s">
        <v>26</v>
      </c>
      <c r="E549" s="5" t="s">
        <v>13</v>
      </c>
      <c r="F549" s="5" t="s">
        <v>14</v>
      </c>
      <c r="G549" s="5" t="s">
        <v>24</v>
      </c>
      <c r="H549" s="5">
        <v>17583</v>
      </c>
      <c r="I549" s="5">
        <v>0</v>
      </c>
      <c r="J549" s="6">
        <f t="shared" si="8"/>
        <v>17583</v>
      </c>
    </row>
    <row r="550" spans="1:10">
      <c r="A550" s="5">
        <v>132251</v>
      </c>
      <c r="B550" s="5" t="s">
        <v>10</v>
      </c>
      <c r="C550" s="5" t="s">
        <v>17</v>
      </c>
      <c r="D550" s="5" t="s">
        <v>21</v>
      </c>
      <c r="E550" s="5" t="s">
        <v>19</v>
      </c>
      <c r="F550" s="5" t="s">
        <v>14</v>
      </c>
      <c r="G550" s="5" t="s">
        <v>24</v>
      </c>
      <c r="H550" s="5">
        <v>29235</v>
      </c>
      <c r="I550" s="5">
        <v>8680</v>
      </c>
      <c r="J550" s="6">
        <f t="shared" si="8"/>
        <v>20555</v>
      </c>
    </row>
    <row r="551" spans="1:10">
      <c r="A551" s="5">
        <v>243415</v>
      </c>
      <c r="B551" s="5" t="s">
        <v>16</v>
      </c>
      <c r="C551" s="5" t="s">
        <v>25</v>
      </c>
      <c r="D551" s="5" t="s">
        <v>21</v>
      </c>
      <c r="E551" s="5" t="s">
        <v>19</v>
      </c>
      <c r="F551" s="5" t="s">
        <v>28</v>
      </c>
      <c r="G551" s="5" t="s">
        <v>24</v>
      </c>
      <c r="H551" s="5">
        <v>33514</v>
      </c>
      <c r="I551" s="5">
        <v>218</v>
      </c>
      <c r="J551" s="6">
        <f t="shared" si="8"/>
        <v>33296</v>
      </c>
    </row>
    <row r="552" spans="1:10">
      <c r="A552" s="5">
        <v>68976</v>
      </c>
      <c r="B552" s="5" t="s">
        <v>10</v>
      </c>
      <c r="C552" s="5" t="s">
        <v>27</v>
      </c>
      <c r="D552" s="5" t="s">
        <v>29</v>
      </c>
      <c r="E552" s="5" t="s">
        <v>13</v>
      </c>
      <c r="F552" s="5" t="s">
        <v>14</v>
      </c>
      <c r="G552" s="5" t="s">
        <v>24</v>
      </c>
      <c r="H552" s="5">
        <v>54436</v>
      </c>
      <c r="I552" s="5">
        <v>541</v>
      </c>
      <c r="J552" s="6">
        <f t="shared" si="8"/>
        <v>53895</v>
      </c>
    </row>
    <row r="553" spans="1:10">
      <c r="A553" s="5">
        <v>53435</v>
      </c>
      <c r="B553" s="5" t="s">
        <v>10</v>
      </c>
      <c r="C553" s="5" t="s">
        <v>35</v>
      </c>
      <c r="D553" s="5" t="s">
        <v>12</v>
      </c>
      <c r="E553" s="5" t="s">
        <v>19</v>
      </c>
      <c r="F553" s="5" t="s">
        <v>14</v>
      </c>
      <c r="G553" s="5" t="s">
        <v>24</v>
      </c>
      <c r="H553" s="5">
        <v>72866</v>
      </c>
      <c r="I553" s="5">
        <v>732</v>
      </c>
      <c r="J553" s="6">
        <f t="shared" si="8"/>
        <v>72134</v>
      </c>
    </row>
    <row r="554" spans="1:10">
      <c r="A554" s="5">
        <v>233092</v>
      </c>
      <c r="B554" s="5" t="s">
        <v>10</v>
      </c>
      <c r="C554" s="5" t="s">
        <v>22</v>
      </c>
      <c r="D554" s="5" t="s">
        <v>32</v>
      </c>
      <c r="E554" s="5" t="s">
        <v>13</v>
      </c>
      <c r="F554" s="5" t="s">
        <v>14</v>
      </c>
      <c r="G554" s="5" t="s">
        <v>15</v>
      </c>
      <c r="H554" s="5">
        <v>56080</v>
      </c>
      <c r="I554" s="5">
        <v>19</v>
      </c>
      <c r="J554" s="6">
        <f t="shared" si="8"/>
        <v>56061</v>
      </c>
    </row>
    <row r="555" spans="1:10">
      <c r="A555" s="5">
        <v>89886</v>
      </c>
      <c r="B555" s="5" t="s">
        <v>10</v>
      </c>
      <c r="C555" s="5" t="s">
        <v>39</v>
      </c>
      <c r="D555" s="5" t="s">
        <v>23</v>
      </c>
      <c r="E555" s="5" t="s">
        <v>13</v>
      </c>
      <c r="F555" s="5" t="s">
        <v>14</v>
      </c>
      <c r="G555" s="5" t="s">
        <v>24</v>
      </c>
      <c r="H555" s="5">
        <v>92216</v>
      </c>
      <c r="I555" s="5">
        <v>445</v>
      </c>
      <c r="J555" s="6">
        <f t="shared" si="8"/>
        <v>91771</v>
      </c>
    </row>
    <row r="556" spans="1:10">
      <c r="A556" s="5">
        <v>199563</v>
      </c>
      <c r="B556" s="5" t="s">
        <v>10</v>
      </c>
      <c r="C556" s="5" t="s">
        <v>38</v>
      </c>
      <c r="D556" s="5" t="s">
        <v>33</v>
      </c>
      <c r="E556" s="5" t="s">
        <v>13</v>
      </c>
      <c r="F556" s="5" t="s">
        <v>14</v>
      </c>
      <c r="G556" s="5" t="s">
        <v>15</v>
      </c>
      <c r="H556" s="5">
        <v>101435</v>
      </c>
      <c r="I556" s="5">
        <v>582</v>
      </c>
      <c r="J556" s="6">
        <f t="shared" si="8"/>
        <v>100853</v>
      </c>
    </row>
    <row r="557" spans="1:10">
      <c r="A557" s="5">
        <v>66419</v>
      </c>
      <c r="B557" s="5" t="s">
        <v>16</v>
      </c>
      <c r="C557" s="5" t="s">
        <v>27</v>
      </c>
      <c r="D557" s="5" t="s">
        <v>12</v>
      </c>
      <c r="E557" s="5" t="s">
        <v>19</v>
      </c>
      <c r="F557" s="5" t="s">
        <v>14</v>
      </c>
      <c r="G557" s="5" t="s">
        <v>24</v>
      </c>
      <c r="H557" s="5">
        <v>47949</v>
      </c>
      <c r="I557" s="5">
        <v>1474</v>
      </c>
      <c r="J557" s="6">
        <f t="shared" si="8"/>
        <v>46475</v>
      </c>
    </row>
    <row r="558" spans="1:10">
      <c r="A558" s="5">
        <v>112035</v>
      </c>
      <c r="B558" s="5" t="s">
        <v>10</v>
      </c>
      <c r="C558" s="5" t="s">
        <v>17</v>
      </c>
      <c r="D558" s="5" t="s">
        <v>32</v>
      </c>
      <c r="E558" s="5" t="s">
        <v>19</v>
      </c>
      <c r="F558" s="5" t="s">
        <v>14</v>
      </c>
      <c r="G558" s="5" t="s">
        <v>24</v>
      </c>
      <c r="H558" s="5">
        <v>41048</v>
      </c>
      <c r="I558" s="5">
        <v>0</v>
      </c>
      <c r="J558" s="6">
        <f t="shared" si="8"/>
        <v>41048</v>
      </c>
    </row>
    <row r="559" spans="1:10">
      <c r="A559" s="5">
        <v>11311</v>
      </c>
      <c r="B559" s="5" t="s">
        <v>10</v>
      </c>
      <c r="C559" s="5" t="s">
        <v>20</v>
      </c>
      <c r="D559" s="5" t="s">
        <v>32</v>
      </c>
      <c r="E559" s="5" t="s">
        <v>13</v>
      </c>
      <c r="F559" s="5" t="s">
        <v>14</v>
      </c>
      <c r="G559" s="5" t="s">
        <v>15</v>
      </c>
      <c r="H559" s="5">
        <v>22108</v>
      </c>
      <c r="I559" s="5">
        <v>585</v>
      </c>
      <c r="J559" s="6">
        <f t="shared" si="8"/>
        <v>21523</v>
      </c>
    </row>
    <row r="560" spans="1:10">
      <c r="A560" s="5">
        <v>197314</v>
      </c>
      <c r="B560" s="5" t="s">
        <v>16</v>
      </c>
      <c r="C560" s="5" t="s">
        <v>22</v>
      </c>
      <c r="D560" s="5" t="s">
        <v>18</v>
      </c>
      <c r="E560" s="5" t="s">
        <v>13</v>
      </c>
      <c r="F560" s="5" t="s">
        <v>14</v>
      </c>
      <c r="G560" s="5" t="s">
        <v>15</v>
      </c>
      <c r="H560" s="5">
        <v>106867</v>
      </c>
      <c r="I560" s="5">
        <v>378</v>
      </c>
      <c r="J560" s="6">
        <f t="shared" si="8"/>
        <v>106489</v>
      </c>
    </row>
    <row r="561" spans="1:10">
      <c r="A561" s="5">
        <v>131871</v>
      </c>
      <c r="B561" s="5" t="s">
        <v>10</v>
      </c>
      <c r="C561" s="5" t="s">
        <v>35</v>
      </c>
      <c r="D561" s="5" t="s">
        <v>26</v>
      </c>
      <c r="E561" s="5" t="s">
        <v>13</v>
      </c>
      <c r="F561" s="5" t="s">
        <v>14</v>
      </c>
      <c r="G561" s="5" t="s">
        <v>24</v>
      </c>
      <c r="H561" s="5">
        <v>13695</v>
      </c>
      <c r="I561" s="5">
        <v>0</v>
      </c>
      <c r="J561" s="6">
        <f t="shared" si="8"/>
        <v>13695</v>
      </c>
    </row>
    <row r="562" spans="1:10">
      <c r="A562" s="5">
        <v>187322</v>
      </c>
      <c r="B562" s="5" t="s">
        <v>10</v>
      </c>
      <c r="C562" s="5" t="s">
        <v>39</v>
      </c>
      <c r="D562" s="5" t="s">
        <v>32</v>
      </c>
      <c r="E562" s="5" t="s">
        <v>13</v>
      </c>
      <c r="F562" s="5" t="s">
        <v>14</v>
      </c>
      <c r="G562" s="5" t="s">
        <v>24</v>
      </c>
      <c r="H562" s="5">
        <v>29608</v>
      </c>
      <c r="I562" s="5">
        <v>1642</v>
      </c>
      <c r="J562" s="6">
        <f t="shared" si="8"/>
        <v>27966</v>
      </c>
    </row>
    <row r="563" spans="1:10">
      <c r="A563" s="5">
        <v>85203</v>
      </c>
      <c r="B563" s="5" t="s">
        <v>10</v>
      </c>
      <c r="C563" s="5" t="s">
        <v>34</v>
      </c>
      <c r="D563" s="5" t="s">
        <v>12</v>
      </c>
      <c r="E563" s="5" t="s">
        <v>13</v>
      </c>
      <c r="F563" s="5" t="s">
        <v>14</v>
      </c>
      <c r="G563" s="5" t="s">
        <v>15</v>
      </c>
      <c r="H563" s="5">
        <v>135187</v>
      </c>
      <c r="I563" s="5">
        <v>1483</v>
      </c>
      <c r="J563" s="6">
        <f t="shared" si="8"/>
        <v>133704</v>
      </c>
    </row>
    <row r="564" spans="1:10">
      <c r="A564" s="5">
        <v>224455</v>
      </c>
      <c r="B564" s="5" t="s">
        <v>16</v>
      </c>
      <c r="C564" s="5" t="s">
        <v>11</v>
      </c>
      <c r="D564" s="5" t="s">
        <v>36</v>
      </c>
      <c r="E564" s="5" t="s">
        <v>13</v>
      </c>
      <c r="F564" s="5" t="s">
        <v>14</v>
      </c>
      <c r="G564" s="5" t="s">
        <v>15</v>
      </c>
      <c r="H564" s="5">
        <v>5448</v>
      </c>
      <c r="I564" s="5">
        <v>0</v>
      </c>
      <c r="J564" s="6">
        <f t="shared" si="8"/>
        <v>5448</v>
      </c>
    </row>
    <row r="565" spans="1:10">
      <c r="A565" s="5">
        <v>21467</v>
      </c>
      <c r="B565" s="5" t="s">
        <v>16</v>
      </c>
      <c r="C565" s="5" t="s">
        <v>11</v>
      </c>
      <c r="D565" s="5" t="s">
        <v>12</v>
      </c>
      <c r="E565" s="5" t="s">
        <v>13</v>
      </c>
      <c r="F565" s="5" t="s">
        <v>14</v>
      </c>
      <c r="G565" s="5" t="s">
        <v>15</v>
      </c>
      <c r="H565" s="5">
        <v>57626</v>
      </c>
      <c r="I565" s="5">
        <v>1361</v>
      </c>
      <c r="J565" s="6">
        <f t="shared" si="8"/>
        <v>56265</v>
      </c>
    </row>
    <row r="566" spans="1:10">
      <c r="A566" s="5">
        <v>243829</v>
      </c>
      <c r="B566" s="5" t="s">
        <v>10</v>
      </c>
      <c r="C566" s="5" t="s">
        <v>25</v>
      </c>
      <c r="D566" s="5" t="s">
        <v>23</v>
      </c>
      <c r="E566" s="5" t="s">
        <v>19</v>
      </c>
      <c r="F566" s="5" t="s">
        <v>14</v>
      </c>
      <c r="G566" s="5" t="s">
        <v>24</v>
      </c>
      <c r="H566" s="5">
        <v>21353</v>
      </c>
      <c r="I566" s="5">
        <v>318</v>
      </c>
      <c r="J566" s="6">
        <f t="shared" si="8"/>
        <v>21035</v>
      </c>
    </row>
    <row r="567" spans="1:10">
      <c r="A567" s="5">
        <v>144949</v>
      </c>
      <c r="B567" s="5" t="s">
        <v>16</v>
      </c>
      <c r="C567" s="5" t="s">
        <v>22</v>
      </c>
      <c r="D567" s="5" t="s">
        <v>33</v>
      </c>
      <c r="E567" s="5" t="s">
        <v>19</v>
      </c>
      <c r="F567" s="5" t="s">
        <v>14</v>
      </c>
      <c r="G567" s="5" t="s">
        <v>24</v>
      </c>
      <c r="H567" s="5">
        <v>40308</v>
      </c>
      <c r="I567" s="5">
        <v>4473</v>
      </c>
      <c r="J567" s="6">
        <f t="shared" si="8"/>
        <v>35835</v>
      </c>
    </row>
    <row r="568" spans="1:10">
      <c r="A568" s="5">
        <v>235712</v>
      </c>
      <c r="B568" s="5" t="s">
        <v>16</v>
      </c>
      <c r="C568" s="5" t="s">
        <v>17</v>
      </c>
      <c r="D568" s="5" t="s">
        <v>33</v>
      </c>
      <c r="E568" s="5" t="s">
        <v>19</v>
      </c>
      <c r="F568" s="5" t="s">
        <v>14</v>
      </c>
      <c r="G568" s="5" t="s">
        <v>15</v>
      </c>
      <c r="H568" s="5">
        <v>59108</v>
      </c>
      <c r="I568" s="5">
        <v>2907</v>
      </c>
      <c r="J568" s="6">
        <f t="shared" si="8"/>
        <v>56201</v>
      </c>
    </row>
    <row r="569" spans="1:10">
      <c r="A569" s="5">
        <v>147336</v>
      </c>
      <c r="B569" s="5" t="s">
        <v>16</v>
      </c>
      <c r="C569" s="5" t="s">
        <v>25</v>
      </c>
      <c r="D569" s="5" t="s">
        <v>18</v>
      </c>
      <c r="E569" s="5" t="s">
        <v>13</v>
      </c>
      <c r="F569" s="5" t="s">
        <v>14</v>
      </c>
      <c r="G569" s="5" t="s">
        <v>24</v>
      </c>
      <c r="H569" s="5">
        <v>30611</v>
      </c>
      <c r="I569" s="5">
        <v>330</v>
      </c>
      <c r="J569" s="6">
        <f t="shared" si="8"/>
        <v>30281</v>
      </c>
    </row>
    <row r="570" spans="1:10">
      <c r="A570" s="5">
        <v>121735</v>
      </c>
      <c r="B570" s="5" t="s">
        <v>16</v>
      </c>
      <c r="C570" s="5" t="s">
        <v>11</v>
      </c>
      <c r="D570" s="5" t="s">
        <v>33</v>
      </c>
      <c r="E570" s="5" t="s">
        <v>13</v>
      </c>
      <c r="F570" s="5" t="s">
        <v>14</v>
      </c>
      <c r="G570" s="5" t="s">
        <v>15</v>
      </c>
      <c r="H570" s="5">
        <v>63198</v>
      </c>
      <c r="I570" s="5">
        <v>1036</v>
      </c>
      <c r="J570" s="6">
        <f t="shared" si="8"/>
        <v>62162</v>
      </c>
    </row>
    <row r="571" spans="1:10">
      <c r="A571" s="5">
        <v>212466</v>
      </c>
      <c r="B571" s="5" t="s">
        <v>16</v>
      </c>
      <c r="C571" s="5" t="s">
        <v>34</v>
      </c>
      <c r="D571" s="5" t="s">
        <v>26</v>
      </c>
      <c r="E571" s="5" t="s">
        <v>13</v>
      </c>
      <c r="F571" s="5" t="s">
        <v>28</v>
      </c>
      <c r="G571" s="5" t="s">
        <v>15</v>
      </c>
      <c r="H571" s="5">
        <v>19465</v>
      </c>
      <c r="I571" s="5">
        <v>340</v>
      </c>
      <c r="J571" s="6">
        <f t="shared" si="8"/>
        <v>19125</v>
      </c>
    </row>
    <row r="572" spans="1:10">
      <c r="A572" s="5">
        <v>254634</v>
      </c>
      <c r="B572" s="5" t="s">
        <v>10</v>
      </c>
      <c r="C572" s="5" t="s">
        <v>25</v>
      </c>
      <c r="D572" s="5" t="s">
        <v>30</v>
      </c>
      <c r="E572" s="5" t="s">
        <v>19</v>
      </c>
      <c r="F572" s="5" t="s">
        <v>14</v>
      </c>
      <c r="G572" s="5" t="s">
        <v>24</v>
      </c>
      <c r="H572" s="5">
        <v>42883</v>
      </c>
      <c r="I572" s="5">
        <v>3280</v>
      </c>
      <c r="J572" s="6">
        <f t="shared" si="8"/>
        <v>39603</v>
      </c>
    </row>
    <row r="573" spans="1:10">
      <c r="A573" s="5">
        <v>122603</v>
      </c>
      <c r="B573" s="5" t="s">
        <v>10</v>
      </c>
      <c r="C573" s="5" t="s">
        <v>25</v>
      </c>
      <c r="D573" s="5" t="s">
        <v>23</v>
      </c>
      <c r="E573" s="5" t="s">
        <v>19</v>
      </c>
      <c r="F573" s="5" t="s">
        <v>14</v>
      </c>
      <c r="G573" s="5" t="s">
        <v>15</v>
      </c>
      <c r="H573" s="5">
        <v>119172</v>
      </c>
      <c r="I573" s="5">
        <v>1221</v>
      </c>
      <c r="J573" s="6">
        <f t="shared" si="8"/>
        <v>117951</v>
      </c>
    </row>
    <row r="574" spans="1:10">
      <c r="A574" s="5">
        <v>243100</v>
      </c>
      <c r="B574" s="5" t="s">
        <v>16</v>
      </c>
      <c r="C574" s="5" t="s">
        <v>35</v>
      </c>
      <c r="D574" s="5" t="s">
        <v>12</v>
      </c>
      <c r="E574" s="5" t="s">
        <v>13</v>
      </c>
      <c r="F574" s="5" t="s">
        <v>14</v>
      </c>
      <c r="G574" s="5" t="s">
        <v>15</v>
      </c>
      <c r="H574" s="5">
        <v>66396</v>
      </c>
      <c r="I574" s="5">
        <v>2218</v>
      </c>
      <c r="J574" s="6">
        <f t="shared" si="8"/>
        <v>64178</v>
      </c>
    </row>
    <row r="575" spans="1:10">
      <c r="A575" s="5">
        <v>61103</v>
      </c>
      <c r="B575" s="5" t="s">
        <v>10</v>
      </c>
      <c r="C575" s="5" t="s">
        <v>27</v>
      </c>
      <c r="D575" s="5" t="s">
        <v>12</v>
      </c>
      <c r="E575" s="5" t="s">
        <v>13</v>
      </c>
      <c r="F575" s="5" t="s">
        <v>14</v>
      </c>
      <c r="G575" s="5" t="s">
        <v>15</v>
      </c>
      <c r="H575" s="5">
        <v>137693</v>
      </c>
      <c r="I575" s="5">
        <v>13658</v>
      </c>
      <c r="J575" s="6">
        <f t="shared" si="8"/>
        <v>124035</v>
      </c>
    </row>
    <row r="576" spans="1:10">
      <c r="A576" s="5">
        <v>205433</v>
      </c>
      <c r="B576" s="5" t="s">
        <v>10</v>
      </c>
      <c r="C576" s="5" t="s">
        <v>34</v>
      </c>
      <c r="D576" s="5" t="s">
        <v>18</v>
      </c>
      <c r="E576" s="5" t="s">
        <v>13</v>
      </c>
      <c r="F576" s="5" t="s">
        <v>14</v>
      </c>
      <c r="G576" s="5" t="s">
        <v>15</v>
      </c>
      <c r="H576" s="5">
        <v>87853</v>
      </c>
      <c r="I576" s="5">
        <v>9952</v>
      </c>
      <c r="J576" s="6">
        <f t="shared" si="8"/>
        <v>77901</v>
      </c>
    </row>
    <row r="577" spans="1:10">
      <c r="A577" s="5">
        <v>201186</v>
      </c>
      <c r="B577" s="5" t="s">
        <v>10</v>
      </c>
      <c r="C577" s="5" t="s">
        <v>38</v>
      </c>
      <c r="D577" s="5" t="s">
        <v>18</v>
      </c>
      <c r="E577" s="5" t="s">
        <v>19</v>
      </c>
      <c r="F577" s="5" t="s">
        <v>14</v>
      </c>
      <c r="G577" s="5" t="s">
        <v>15</v>
      </c>
      <c r="H577" s="5">
        <v>9631</v>
      </c>
      <c r="I577" s="5">
        <v>1085</v>
      </c>
      <c r="J577" s="6">
        <f t="shared" si="8"/>
        <v>8546</v>
      </c>
    </row>
    <row r="578" spans="1:10">
      <c r="A578" s="5">
        <v>193407</v>
      </c>
      <c r="B578" s="5" t="s">
        <v>10</v>
      </c>
      <c r="C578" s="5" t="s">
        <v>34</v>
      </c>
      <c r="D578" s="5" t="s">
        <v>29</v>
      </c>
      <c r="E578" s="5" t="s">
        <v>13</v>
      </c>
      <c r="F578" s="5" t="s">
        <v>14</v>
      </c>
      <c r="G578" s="5" t="s">
        <v>24</v>
      </c>
      <c r="H578" s="5">
        <v>80250</v>
      </c>
      <c r="I578" s="5">
        <v>20903</v>
      </c>
      <c r="J578" s="6">
        <f t="shared" ref="J578:J641" si="9">H578-I578</f>
        <v>59347</v>
      </c>
    </row>
    <row r="579" spans="1:10">
      <c r="A579" s="5">
        <v>1849</v>
      </c>
      <c r="B579" s="5" t="s">
        <v>10</v>
      </c>
      <c r="C579" s="5" t="s">
        <v>39</v>
      </c>
      <c r="D579" s="5" t="s">
        <v>23</v>
      </c>
      <c r="E579" s="5" t="s">
        <v>13</v>
      </c>
      <c r="F579" s="5" t="s">
        <v>14</v>
      </c>
      <c r="G579" s="5" t="s">
        <v>15</v>
      </c>
      <c r="H579" s="5">
        <v>34933</v>
      </c>
      <c r="I579" s="5">
        <v>1920</v>
      </c>
      <c r="J579" s="6">
        <f t="shared" si="9"/>
        <v>33013</v>
      </c>
    </row>
    <row r="580" spans="1:10">
      <c r="A580" s="5">
        <v>29995</v>
      </c>
      <c r="B580" s="5" t="s">
        <v>16</v>
      </c>
      <c r="C580" s="5" t="s">
        <v>35</v>
      </c>
      <c r="D580" s="5" t="s">
        <v>33</v>
      </c>
      <c r="E580" s="5" t="s">
        <v>13</v>
      </c>
      <c r="F580" s="5" t="s">
        <v>14</v>
      </c>
      <c r="G580" s="5" t="s">
        <v>15</v>
      </c>
      <c r="H580" s="5">
        <v>237801</v>
      </c>
      <c r="I580" s="5">
        <v>832</v>
      </c>
      <c r="J580" s="6">
        <f t="shared" si="9"/>
        <v>236969</v>
      </c>
    </row>
    <row r="581" spans="1:10">
      <c r="A581" s="5">
        <v>167309</v>
      </c>
      <c r="B581" s="5" t="s">
        <v>16</v>
      </c>
      <c r="C581" s="5" t="s">
        <v>22</v>
      </c>
      <c r="D581" s="5" t="s">
        <v>33</v>
      </c>
      <c r="E581" s="5" t="s">
        <v>13</v>
      </c>
      <c r="F581" s="5" t="s">
        <v>14</v>
      </c>
      <c r="G581" s="5" t="s">
        <v>15</v>
      </c>
      <c r="H581" s="5">
        <v>81663</v>
      </c>
      <c r="I581" s="5">
        <v>1090</v>
      </c>
      <c r="J581" s="6">
        <f t="shared" si="9"/>
        <v>80573</v>
      </c>
    </row>
    <row r="582" spans="1:10">
      <c r="A582" s="5">
        <v>184813</v>
      </c>
      <c r="B582" s="5" t="s">
        <v>10</v>
      </c>
      <c r="C582" s="5" t="s">
        <v>34</v>
      </c>
      <c r="D582" s="5" t="s">
        <v>32</v>
      </c>
      <c r="E582" s="5" t="s">
        <v>19</v>
      </c>
      <c r="F582" s="5" t="s">
        <v>14</v>
      </c>
      <c r="G582" s="5" t="s">
        <v>15</v>
      </c>
      <c r="H582" s="5">
        <v>91021</v>
      </c>
      <c r="I582" s="5">
        <v>865</v>
      </c>
      <c r="J582" s="6">
        <f t="shared" si="9"/>
        <v>90156</v>
      </c>
    </row>
    <row r="583" spans="1:10">
      <c r="A583" s="5">
        <v>169601</v>
      </c>
      <c r="B583" s="5" t="s">
        <v>16</v>
      </c>
      <c r="C583" s="5" t="s">
        <v>34</v>
      </c>
      <c r="D583" s="5" t="s">
        <v>32</v>
      </c>
      <c r="E583" s="5" t="s">
        <v>19</v>
      </c>
      <c r="F583" s="5" t="s">
        <v>14</v>
      </c>
      <c r="G583" s="5" t="s">
        <v>15</v>
      </c>
      <c r="H583" s="5">
        <v>4044</v>
      </c>
      <c r="I583" s="5">
        <v>378</v>
      </c>
      <c r="J583" s="6">
        <f t="shared" si="9"/>
        <v>3666</v>
      </c>
    </row>
    <row r="584" spans="1:10">
      <c r="A584" s="5">
        <v>54095</v>
      </c>
      <c r="B584" s="5" t="s">
        <v>16</v>
      </c>
      <c r="C584" s="5" t="s">
        <v>35</v>
      </c>
      <c r="D584" s="5" t="s">
        <v>33</v>
      </c>
      <c r="E584" s="5" t="s">
        <v>13</v>
      </c>
      <c r="F584" s="5" t="s">
        <v>14</v>
      </c>
      <c r="G584" s="5" t="s">
        <v>15</v>
      </c>
      <c r="H584" s="5">
        <v>5990</v>
      </c>
      <c r="I584" s="5">
        <v>271</v>
      </c>
      <c r="J584" s="6">
        <f t="shared" si="9"/>
        <v>5719</v>
      </c>
    </row>
    <row r="585" spans="1:10">
      <c r="A585" s="5">
        <v>169039</v>
      </c>
      <c r="B585" s="5" t="s">
        <v>10</v>
      </c>
      <c r="C585" s="5" t="s">
        <v>38</v>
      </c>
      <c r="D585" s="5" t="s">
        <v>21</v>
      </c>
      <c r="E585" s="5" t="s">
        <v>19</v>
      </c>
      <c r="F585" s="5" t="s">
        <v>14</v>
      </c>
      <c r="G585" s="5" t="s">
        <v>24</v>
      </c>
      <c r="H585" s="5">
        <v>62292</v>
      </c>
      <c r="I585" s="5">
        <v>896</v>
      </c>
      <c r="J585" s="6">
        <f t="shared" si="9"/>
        <v>61396</v>
      </c>
    </row>
    <row r="586" spans="1:10">
      <c r="A586" s="5">
        <v>204571</v>
      </c>
      <c r="B586" s="5" t="s">
        <v>16</v>
      </c>
      <c r="C586" s="5" t="s">
        <v>34</v>
      </c>
      <c r="D586" s="5" t="s">
        <v>30</v>
      </c>
      <c r="E586" s="5" t="s">
        <v>19</v>
      </c>
      <c r="F586" s="5" t="s">
        <v>14</v>
      </c>
      <c r="G586" s="5" t="s">
        <v>24</v>
      </c>
      <c r="H586" s="5">
        <v>105916</v>
      </c>
      <c r="I586" s="5">
        <v>2762</v>
      </c>
      <c r="J586" s="6">
        <f t="shared" si="9"/>
        <v>103154</v>
      </c>
    </row>
    <row r="587" spans="1:10">
      <c r="A587" s="5">
        <v>60814</v>
      </c>
      <c r="B587" s="5" t="s">
        <v>16</v>
      </c>
      <c r="C587" s="5" t="s">
        <v>11</v>
      </c>
      <c r="D587" s="5" t="s">
        <v>33</v>
      </c>
      <c r="E587" s="5" t="s">
        <v>13</v>
      </c>
      <c r="F587" s="5" t="s">
        <v>14</v>
      </c>
      <c r="G587" s="5" t="s">
        <v>15</v>
      </c>
      <c r="H587" s="5">
        <v>47672</v>
      </c>
      <c r="I587" s="5">
        <v>140</v>
      </c>
      <c r="J587" s="6">
        <f t="shared" si="9"/>
        <v>47532</v>
      </c>
    </row>
    <row r="588" spans="1:10">
      <c r="A588" s="5">
        <v>16942</v>
      </c>
      <c r="B588" s="5" t="s">
        <v>16</v>
      </c>
      <c r="C588" s="5" t="s">
        <v>20</v>
      </c>
      <c r="D588" s="5" t="s">
        <v>32</v>
      </c>
      <c r="E588" s="5" t="s">
        <v>13</v>
      </c>
      <c r="F588" s="5" t="s">
        <v>14</v>
      </c>
      <c r="G588" s="5" t="s">
        <v>15</v>
      </c>
      <c r="H588" s="5">
        <v>24936</v>
      </c>
      <c r="I588" s="5">
        <v>0</v>
      </c>
      <c r="J588" s="6">
        <f t="shared" si="9"/>
        <v>24936</v>
      </c>
    </row>
    <row r="589" spans="1:10">
      <c r="A589" s="5">
        <v>7186</v>
      </c>
      <c r="B589" s="5" t="s">
        <v>16</v>
      </c>
      <c r="C589" s="5" t="s">
        <v>38</v>
      </c>
      <c r="D589" s="5" t="s">
        <v>32</v>
      </c>
      <c r="E589" s="5" t="s">
        <v>13</v>
      </c>
      <c r="F589" s="5" t="s">
        <v>14</v>
      </c>
      <c r="G589" s="5" t="s">
        <v>15</v>
      </c>
      <c r="H589" s="5">
        <v>39321</v>
      </c>
      <c r="I589" s="5">
        <v>5554</v>
      </c>
      <c r="J589" s="6">
        <f t="shared" si="9"/>
        <v>33767</v>
      </c>
    </row>
    <row r="590" spans="1:10">
      <c r="A590" s="5">
        <v>70782</v>
      </c>
      <c r="B590" s="5" t="s">
        <v>16</v>
      </c>
      <c r="C590" s="5" t="s">
        <v>35</v>
      </c>
      <c r="D590" s="5" t="s">
        <v>32</v>
      </c>
      <c r="E590" s="5" t="s">
        <v>13</v>
      </c>
      <c r="F590" s="5" t="s">
        <v>14</v>
      </c>
      <c r="G590" s="5" t="s">
        <v>15</v>
      </c>
      <c r="H590" s="5">
        <v>31208</v>
      </c>
      <c r="I590" s="5">
        <v>0</v>
      </c>
      <c r="J590" s="6">
        <f t="shared" si="9"/>
        <v>31208</v>
      </c>
    </row>
    <row r="591" spans="1:10">
      <c r="A591" s="5">
        <v>215322</v>
      </c>
      <c r="B591" s="5" t="s">
        <v>10</v>
      </c>
      <c r="C591" s="5" t="s">
        <v>20</v>
      </c>
      <c r="D591" s="5" t="s">
        <v>32</v>
      </c>
      <c r="E591" s="5" t="s">
        <v>19</v>
      </c>
      <c r="F591" s="5" t="s">
        <v>28</v>
      </c>
      <c r="G591" s="5" t="s">
        <v>24</v>
      </c>
      <c r="H591" s="5">
        <v>821</v>
      </c>
      <c r="I591" s="5">
        <v>0</v>
      </c>
      <c r="J591" s="6">
        <f t="shared" si="9"/>
        <v>821</v>
      </c>
    </row>
    <row r="592" spans="1:10">
      <c r="A592" s="5">
        <v>234306</v>
      </c>
      <c r="B592" s="5" t="s">
        <v>16</v>
      </c>
      <c r="C592" s="5" t="s">
        <v>25</v>
      </c>
      <c r="D592" s="5" t="s">
        <v>30</v>
      </c>
      <c r="E592" s="5" t="s">
        <v>19</v>
      </c>
      <c r="F592" s="5" t="s">
        <v>28</v>
      </c>
      <c r="G592" s="5" t="s">
        <v>15</v>
      </c>
      <c r="H592" s="5">
        <v>54942</v>
      </c>
      <c r="I592" s="5">
        <v>4936</v>
      </c>
      <c r="J592" s="6">
        <f t="shared" si="9"/>
        <v>50006</v>
      </c>
    </row>
    <row r="593" spans="1:10">
      <c r="A593" s="5">
        <v>96703</v>
      </c>
      <c r="B593" s="5" t="s">
        <v>16</v>
      </c>
      <c r="C593" s="5" t="s">
        <v>37</v>
      </c>
      <c r="D593" s="5" t="s">
        <v>36</v>
      </c>
      <c r="E593" s="5" t="s">
        <v>13</v>
      </c>
      <c r="F593" s="5" t="s">
        <v>14</v>
      </c>
      <c r="G593" s="5" t="s">
        <v>15</v>
      </c>
      <c r="H593" s="5">
        <v>83915</v>
      </c>
      <c r="I593" s="5">
        <v>867</v>
      </c>
      <c r="J593" s="6">
        <f t="shared" si="9"/>
        <v>83048</v>
      </c>
    </row>
    <row r="594" spans="1:10">
      <c r="A594" s="5">
        <v>208085</v>
      </c>
      <c r="B594" s="5" t="s">
        <v>10</v>
      </c>
      <c r="C594" s="5" t="s">
        <v>38</v>
      </c>
      <c r="D594" s="5" t="s">
        <v>32</v>
      </c>
      <c r="E594" s="5" t="s">
        <v>19</v>
      </c>
      <c r="F594" s="5" t="s">
        <v>28</v>
      </c>
      <c r="G594" s="5" t="s">
        <v>24</v>
      </c>
      <c r="H594" s="5">
        <v>1681</v>
      </c>
      <c r="I594" s="5">
        <v>0</v>
      </c>
      <c r="J594" s="6">
        <f t="shared" si="9"/>
        <v>1681</v>
      </c>
    </row>
    <row r="595" spans="1:10">
      <c r="A595" s="5">
        <v>16984</v>
      </c>
      <c r="B595" s="5" t="s">
        <v>10</v>
      </c>
      <c r="C595" s="5" t="s">
        <v>11</v>
      </c>
      <c r="D595" s="5" t="s">
        <v>33</v>
      </c>
      <c r="E595" s="5" t="s">
        <v>13</v>
      </c>
      <c r="F595" s="5" t="s">
        <v>14</v>
      </c>
      <c r="G595" s="5" t="s">
        <v>15</v>
      </c>
      <c r="H595" s="5">
        <v>145000</v>
      </c>
      <c r="I595" s="5">
        <v>5396</v>
      </c>
      <c r="J595" s="6">
        <f t="shared" si="9"/>
        <v>139604</v>
      </c>
    </row>
    <row r="596" spans="1:10">
      <c r="A596" s="5">
        <v>237682</v>
      </c>
      <c r="B596" s="5" t="s">
        <v>10</v>
      </c>
      <c r="C596" s="5" t="s">
        <v>25</v>
      </c>
      <c r="D596" s="5" t="s">
        <v>23</v>
      </c>
      <c r="E596" s="5" t="s">
        <v>19</v>
      </c>
      <c r="F596" s="5" t="s">
        <v>14</v>
      </c>
      <c r="G596" s="5" t="s">
        <v>24</v>
      </c>
      <c r="H596" s="5">
        <v>48411</v>
      </c>
      <c r="I596" s="5">
        <v>5010</v>
      </c>
      <c r="J596" s="6">
        <f t="shared" si="9"/>
        <v>43401</v>
      </c>
    </row>
    <row r="597" spans="1:10">
      <c r="A597" s="5">
        <v>216659</v>
      </c>
      <c r="B597" s="5" t="s">
        <v>16</v>
      </c>
      <c r="C597" s="5" t="s">
        <v>34</v>
      </c>
      <c r="D597" s="5" t="s">
        <v>18</v>
      </c>
      <c r="E597" s="5" t="s">
        <v>13</v>
      </c>
      <c r="F597" s="5" t="s">
        <v>14</v>
      </c>
      <c r="G597" s="5" t="s">
        <v>15</v>
      </c>
      <c r="H597" s="5">
        <v>40311</v>
      </c>
      <c r="I597" s="5">
        <v>232</v>
      </c>
      <c r="J597" s="6">
        <f t="shared" si="9"/>
        <v>40079</v>
      </c>
    </row>
    <row r="598" spans="1:10">
      <c r="A598" s="5">
        <v>19279</v>
      </c>
      <c r="B598" s="5" t="s">
        <v>10</v>
      </c>
      <c r="C598" s="5" t="s">
        <v>11</v>
      </c>
      <c r="D598" s="5" t="s">
        <v>23</v>
      </c>
      <c r="E598" s="5" t="s">
        <v>13</v>
      </c>
      <c r="F598" s="5" t="s">
        <v>14</v>
      </c>
      <c r="G598" s="5" t="s">
        <v>24</v>
      </c>
      <c r="H598" s="5">
        <v>105741</v>
      </c>
      <c r="I598" s="5">
        <v>8422</v>
      </c>
      <c r="J598" s="6">
        <f t="shared" si="9"/>
        <v>97319</v>
      </c>
    </row>
    <row r="599" spans="1:10">
      <c r="A599" s="5">
        <v>133859</v>
      </c>
      <c r="B599" s="5" t="s">
        <v>10</v>
      </c>
      <c r="C599" s="5" t="s">
        <v>27</v>
      </c>
      <c r="D599" s="5" t="s">
        <v>26</v>
      </c>
      <c r="E599" s="5" t="s">
        <v>19</v>
      </c>
      <c r="F599" s="5" t="s">
        <v>14</v>
      </c>
      <c r="G599" s="5" t="s">
        <v>24</v>
      </c>
      <c r="H599" s="5">
        <v>33833</v>
      </c>
      <c r="I599" s="5">
        <v>5360</v>
      </c>
      <c r="J599" s="6">
        <f t="shared" si="9"/>
        <v>28473</v>
      </c>
    </row>
    <row r="600" spans="1:10">
      <c r="A600" s="5">
        <v>52974</v>
      </c>
      <c r="B600" s="5" t="s">
        <v>10</v>
      </c>
      <c r="C600" s="5" t="s">
        <v>22</v>
      </c>
      <c r="D600" s="5" t="s">
        <v>12</v>
      </c>
      <c r="E600" s="5" t="s">
        <v>19</v>
      </c>
      <c r="F600" s="5" t="s">
        <v>14</v>
      </c>
      <c r="G600" s="5" t="s">
        <v>15</v>
      </c>
      <c r="H600" s="5">
        <v>39456</v>
      </c>
      <c r="I600" s="5">
        <v>268</v>
      </c>
      <c r="J600" s="6">
        <f t="shared" si="9"/>
        <v>39188</v>
      </c>
    </row>
    <row r="601" spans="1:10">
      <c r="A601" s="5">
        <v>44024</v>
      </c>
      <c r="B601" s="5" t="s">
        <v>10</v>
      </c>
      <c r="C601" s="5" t="s">
        <v>35</v>
      </c>
      <c r="D601" s="5" t="s">
        <v>30</v>
      </c>
      <c r="E601" s="5" t="s">
        <v>13</v>
      </c>
      <c r="F601" s="5" t="s">
        <v>14</v>
      </c>
      <c r="G601" s="5" t="s">
        <v>15</v>
      </c>
      <c r="H601" s="5">
        <v>133990</v>
      </c>
      <c r="I601" s="5">
        <v>4877</v>
      </c>
      <c r="J601" s="6">
        <f t="shared" si="9"/>
        <v>129113</v>
      </c>
    </row>
    <row r="602" spans="1:10">
      <c r="A602" s="5">
        <v>18299</v>
      </c>
      <c r="B602" s="5" t="s">
        <v>16</v>
      </c>
      <c r="C602" s="5" t="s">
        <v>11</v>
      </c>
      <c r="D602" s="5" t="s">
        <v>18</v>
      </c>
      <c r="E602" s="5" t="s">
        <v>13</v>
      </c>
      <c r="F602" s="5" t="s">
        <v>28</v>
      </c>
      <c r="G602" s="5" t="s">
        <v>15</v>
      </c>
      <c r="H602" s="5">
        <v>22587</v>
      </c>
      <c r="I602" s="5">
        <v>704</v>
      </c>
      <c r="J602" s="6">
        <f t="shared" si="9"/>
        <v>21883</v>
      </c>
    </row>
    <row r="603" spans="1:10">
      <c r="A603" s="5">
        <v>195062</v>
      </c>
      <c r="B603" s="5" t="s">
        <v>16</v>
      </c>
      <c r="C603" s="5" t="s">
        <v>38</v>
      </c>
      <c r="D603" s="5" t="s">
        <v>32</v>
      </c>
      <c r="E603" s="5" t="s">
        <v>13</v>
      </c>
      <c r="F603" s="5" t="s">
        <v>14</v>
      </c>
      <c r="G603" s="5" t="s">
        <v>15</v>
      </c>
      <c r="H603" s="5">
        <v>4439</v>
      </c>
      <c r="I603" s="5">
        <v>406</v>
      </c>
      <c r="J603" s="6">
        <f t="shared" si="9"/>
        <v>4033</v>
      </c>
    </row>
    <row r="604" spans="1:10">
      <c r="A604" s="5">
        <v>55242</v>
      </c>
      <c r="B604" s="5" t="s">
        <v>10</v>
      </c>
      <c r="C604" s="5" t="s">
        <v>35</v>
      </c>
      <c r="D604" s="5" t="s">
        <v>30</v>
      </c>
      <c r="E604" s="5" t="s">
        <v>13</v>
      </c>
      <c r="F604" s="5" t="s">
        <v>14</v>
      </c>
      <c r="G604" s="5" t="s">
        <v>15</v>
      </c>
      <c r="H604" s="5">
        <v>88399</v>
      </c>
      <c r="I604" s="5">
        <v>4158</v>
      </c>
      <c r="J604" s="6">
        <f t="shared" si="9"/>
        <v>84241</v>
      </c>
    </row>
    <row r="605" spans="1:10">
      <c r="A605" s="5">
        <v>129342</v>
      </c>
      <c r="B605" s="5" t="s">
        <v>16</v>
      </c>
      <c r="C605" s="5" t="s">
        <v>22</v>
      </c>
      <c r="D605" s="5" t="s">
        <v>33</v>
      </c>
      <c r="E605" s="5" t="s">
        <v>19</v>
      </c>
      <c r="F605" s="5" t="s">
        <v>28</v>
      </c>
      <c r="G605" s="5" t="s">
        <v>15</v>
      </c>
      <c r="H605" s="5">
        <v>59934</v>
      </c>
      <c r="I605" s="5">
        <v>184</v>
      </c>
      <c r="J605" s="6">
        <f t="shared" si="9"/>
        <v>59750</v>
      </c>
    </row>
    <row r="606" spans="1:10">
      <c r="A606" s="5">
        <v>137262</v>
      </c>
      <c r="B606" s="5" t="s">
        <v>10</v>
      </c>
      <c r="C606" s="5" t="s">
        <v>22</v>
      </c>
      <c r="D606" s="5" t="s">
        <v>30</v>
      </c>
      <c r="E606" s="5" t="s">
        <v>19</v>
      </c>
      <c r="F606" s="5" t="s">
        <v>14</v>
      </c>
      <c r="G606" s="5" t="s">
        <v>15</v>
      </c>
      <c r="H606" s="5">
        <v>142548</v>
      </c>
      <c r="I606" s="5">
        <v>7507</v>
      </c>
      <c r="J606" s="6">
        <f t="shared" si="9"/>
        <v>135041</v>
      </c>
    </row>
    <row r="607" spans="1:10">
      <c r="A607" s="5">
        <v>127619</v>
      </c>
      <c r="B607" s="5" t="s">
        <v>10</v>
      </c>
      <c r="C607" s="5" t="s">
        <v>22</v>
      </c>
      <c r="D607" s="5" t="s">
        <v>30</v>
      </c>
      <c r="E607" s="5" t="s">
        <v>13</v>
      </c>
      <c r="F607" s="5" t="s">
        <v>14</v>
      </c>
      <c r="G607" s="5" t="s">
        <v>15</v>
      </c>
      <c r="H607" s="5">
        <v>82428</v>
      </c>
      <c r="I607" s="5">
        <v>3086</v>
      </c>
      <c r="J607" s="6">
        <f t="shared" si="9"/>
        <v>79342</v>
      </c>
    </row>
    <row r="608" spans="1:10">
      <c r="A608" s="5">
        <v>172619</v>
      </c>
      <c r="B608" s="5" t="s">
        <v>10</v>
      </c>
      <c r="C608" s="5" t="s">
        <v>31</v>
      </c>
      <c r="D608" s="5" t="s">
        <v>36</v>
      </c>
      <c r="E608" s="5" t="s">
        <v>19</v>
      </c>
      <c r="F608" s="5" t="s">
        <v>14</v>
      </c>
      <c r="G608" s="5" t="s">
        <v>24</v>
      </c>
      <c r="H608" s="5">
        <v>13129</v>
      </c>
      <c r="I608" s="5">
        <v>0</v>
      </c>
      <c r="J608" s="6">
        <f t="shared" si="9"/>
        <v>13129</v>
      </c>
    </row>
    <row r="609" spans="1:10">
      <c r="A609" s="5">
        <v>121225</v>
      </c>
      <c r="B609" s="5" t="s">
        <v>16</v>
      </c>
      <c r="C609" s="5" t="s">
        <v>35</v>
      </c>
      <c r="D609" s="5" t="s">
        <v>32</v>
      </c>
      <c r="E609" s="5" t="s">
        <v>13</v>
      </c>
      <c r="F609" s="5" t="s">
        <v>14</v>
      </c>
      <c r="G609" s="5" t="s">
        <v>24</v>
      </c>
      <c r="H609" s="5">
        <v>15146</v>
      </c>
      <c r="I609" s="5">
        <v>507</v>
      </c>
      <c r="J609" s="6">
        <f t="shared" si="9"/>
        <v>14639</v>
      </c>
    </row>
    <row r="610" spans="1:10">
      <c r="A610" s="5">
        <v>28463</v>
      </c>
      <c r="B610" s="5" t="s">
        <v>10</v>
      </c>
      <c r="C610" s="5" t="s">
        <v>11</v>
      </c>
      <c r="D610" s="5" t="s">
        <v>12</v>
      </c>
      <c r="E610" s="5" t="s">
        <v>13</v>
      </c>
      <c r="F610" s="5" t="s">
        <v>14</v>
      </c>
      <c r="G610" s="5" t="s">
        <v>15</v>
      </c>
      <c r="H610" s="5">
        <v>60783</v>
      </c>
      <c r="I610" s="5">
        <v>1813</v>
      </c>
      <c r="J610" s="6">
        <f t="shared" si="9"/>
        <v>58970</v>
      </c>
    </row>
    <row r="611" spans="1:10">
      <c r="A611" s="5">
        <v>63865</v>
      </c>
      <c r="B611" s="5" t="s">
        <v>16</v>
      </c>
      <c r="C611" s="5" t="s">
        <v>27</v>
      </c>
      <c r="D611" s="5" t="s">
        <v>32</v>
      </c>
      <c r="E611" s="5" t="s">
        <v>13</v>
      </c>
      <c r="F611" s="5" t="s">
        <v>14</v>
      </c>
      <c r="G611" s="5" t="s">
        <v>15</v>
      </c>
      <c r="H611" s="5">
        <v>177</v>
      </c>
      <c r="I611" s="5">
        <v>0</v>
      </c>
      <c r="J611" s="6">
        <f t="shared" si="9"/>
        <v>177</v>
      </c>
    </row>
    <row r="612" spans="1:10">
      <c r="A612" s="5">
        <v>187357</v>
      </c>
      <c r="B612" s="5" t="s">
        <v>10</v>
      </c>
      <c r="C612" s="5" t="s">
        <v>20</v>
      </c>
      <c r="D612" s="5" t="s">
        <v>32</v>
      </c>
      <c r="E612" s="5" t="s">
        <v>19</v>
      </c>
      <c r="F612" s="5" t="s">
        <v>28</v>
      </c>
      <c r="G612" s="5" t="s">
        <v>24</v>
      </c>
      <c r="H612" s="5">
        <v>21706</v>
      </c>
      <c r="I612" s="5">
        <v>408</v>
      </c>
      <c r="J612" s="6">
        <f t="shared" si="9"/>
        <v>21298</v>
      </c>
    </row>
    <row r="613" spans="1:10">
      <c r="A613" s="5">
        <v>55997</v>
      </c>
      <c r="B613" s="5" t="s">
        <v>10</v>
      </c>
      <c r="C613" s="5" t="s">
        <v>35</v>
      </c>
      <c r="D613" s="5" t="s">
        <v>12</v>
      </c>
      <c r="E613" s="5" t="s">
        <v>13</v>
      </c>
      <c r="F613" s="5" t="s">
        <v>14</v>
      </c>
      <c r="G613" s="5" t="s">
        <v>15</v>
      </c>
      <c r="H613" s="5">
        <v>215415</v>
      </c>
      <c r="I613" s="5">
        <v>15780</v>
      </c>
      <c r="J613" s="6">
        <f t="shared" si="9"/>
        <v>199635</v>
      </c>
    </row>
    <row r="614" spans="1:10">
      <c r="A614" s="5">
        <v>112043</v>
      </c>
      <c r="B614" s="5" t="s">
        <v>10</v>
      </c>
      <c r="C614" s="5" t="s">
        <v>22</v>
      </c>
      <c r="D614" s="5" t="s">
        <v>32</v>
      </c>
      <c r="E614" s="5" t="s">
        <v>19</v>
      </c>
      <c r="F614" s="5" t="s">
        <v>14</v>
      </c>
      <c r="G614" s="5" t="s">
        <v>24</v>
      </c>
      <c r="H614" s="5">
        <v>3</v>
      </c>
      <c r="I614" s="5">
        <v>0</v>
      </c>
      <c r="J614" s="6">
        <f t="shared" si="9"/>
        <v>3</v>
      </c>
    </row>
    <row r="615" spans="1:10">
      <c r="A615" s="5">
        <v>176713</v>
      </c>
      <c r="B615" s="5" t="s">
        <v>16</v>
      </c>
      <c r="C615" s="5" t="s">
        <v>25</v>
      </c>
      <c r="D615" s="5" t="s">
        <v>32</v>
      </c>
      <c r="E615" s="5" t="s">
        <v>13</v>
      </c>
      <c r="F615" s="5" t="s">
        <v>14</v>
      </c>
      <c r="G615" s="5" t="s">
        <v>15</v>
      </c>
      <c r="H615" s="5">
        <v>12694</v>
      </c>
      <c r="I615" s="5">
        <v>0</v>
      </c>
      <c r="J615" s="6">
        <f t="shared" si="9"/>
        <v>12694</v>
      </c>
    </row>
    <row r="616" spans="1:10">
      <c r="A616" s="5">
        <v>55269</v>
      </c>
      <c r="B616" s="5" t="s">
        <v>10</v>
      </c>
      <c r="C616" s="5" t="s">
        <v>35</v>
      </c>
      <c r="D616" s="5" t="s">
        <v>29</v>
      </c>
      <c r="E616" s="5" t="s">
        <v>19</v>
      </c>
      <c r="F616" s="5" t="s">
        <v>14</v>
      </c>
      <c r="G616" s="5" t="s">
        <v>15</v>
      </c>
      <c r="H616" s="5">
        <v>76009</v>
      </c>
      <c r="I616" s="5">
        <v>1474</v>
      </c>
      <c r="J616" s="6">
        <f t="shared" si="9"/>
        <v>74535</v>
      </c>
    </row>
    <row r="617" spans="1:10">
      <c r="A617" s="5">
        <v>115766</v>
      </c>
      <c r="B617" s="5" t="s">
        <v>10</v>
      </c>
      <c r="C617" s="5" t="s">
        <v>22</v>
      </c>
      <c r="D617" s="5" t="s">
        <v>32</v>
      </c>
      <c r="E617" s="5" t="s">
        <v>13</v>
      </c>
      <c r="F617" s="5" t="s">
        <v>14</v>
      </c>
      <c r="G617" s="5" t="s">
        <v>24</v>
      </c>
      <c r="H617" s="5">
        <v>43753</v>
      </c>
      <c r="I617" s="5">
        <v>874</v>
      </c>
      <c r="J617" s="6">
        <f t="shared" si="9"/>
        <v>42879</v>
      </c>
    </row>
    <row r="618" spans="1:10">
      <c r="A618" s="5">
        <v>129079</v>
      </c>
      <c r="B618" s="5" t="s">
        <v>10</v>
      </c>
      <c r="C618" s="5" t="s">
        <v>22</v>
      </c>
      <c r="D618" s="5" t="s">
        <v>26</v>
      </c>
      <c r="E618" s="5" t="s">
        <v>13</v>
      </c>
      <c r="F618" s="5" t="s">
        <v>28</v>
      </c>
      <c r="G618" s="5" t="s">
        <v>24</v>
      </c>
      <c r="H618" s="5">
        <v>49545</v>
      </c>
      <c r="I618" s="5">
        <v>332</v>
      </c>
      <c r="J618" s="6">
        <f t="shared" si="9"/>
        <v>49213</v>
      </c>
    </row>
    <row r="619" spans="1:10">
      <c r="A619" s="5">
        <v>35054</v>
      </c>
      <c r="B619" s="5" t="s">
        <v>10</v>
      </c>
      <c r="C619" s="5" t="s">
        <v>35</v>
      </c>
      <c r="D619" s="5" t="s">
        <v>12</v>
      </c>
      <c r="E619" s="5" t="s">
        <v>13</v>
      </c>
      <c r="F619" s="5" t="s">
        <v>14</v>
      </c>
      <c r="G619" s="5" t="s">
        <v>15</v>
      </c>
      <c r="H619" s="5">
        <v>158820</v>
      </c>
      <c r="I619" s="5">
        <v>326</v>
      </c>
      <c r="J619" s="6">
        <f t="shared" si="9"/>
        <v>158494</v>
      </c>
    </row>
    <row r="620" spans="1:10">
      <c r="A620" s="5">
        <v>211834</v>
      </c>
      <c r="B620" s="5" t="s">
        <v>16</v>
      </c>
      <c r="C620" s="5" t="s">
        <v>34</v>
      </c>
      <c r="D620" s="5" t="s">
        <v>18</v>
      </c>
      <c r="E620" s="5" t="s">
        <v>13</v>
      </c>
      <c r="F620" s="5" t="s">
        <v>14</v>
      </c>
      <c r="G620" s="5" t="s">
        <v>15</v>
      </c>
      <c r="H620" s="5">
        <v>54082</v>
      </c>
      <c r="I620" s="5">
        <v>212</v>
      </c>
      <c r="J620" s="6">
        <f t="shared" si="9"/>
        <v>53870</v>
      </c>
    </row>
    <row r="621" spans="1:10">
      <c r="A621" s="5">
        <v>121434</v>
      </c>
      <c r="B621" s="5" t="s">
        <v>16</v>
      </c>
      <c r="C621" s="5" t="s">
        <v>22</v>
      </c>
      <c r="D621" s="5" t="s">
        <v>30</v>
      </c>
      <c r="E621" s="5" t="s">
        <v>13</v>
      </c>
      <c r="F621" s="5" t="s">
        <v>14</v>
      </c>
      <c r="G621" s="5" t="s">
        <v>24</v>
      </c>
      <c r="H621" s="5">
        <v>39567</v>
      </c>
      <c r="I621" s="5">
        <v>220</v>
      </c>
      <c r="J621" s="6">
        <f t="shared" si="9"/>
        <v>39347</v>
      </c>
    </row>
    <row r="622" spans="1:10">
      <c r="A622" s="5">
        <v>198184</v>
      </c>
      <c r="B622" s="5" t="s">
        <v>16</v>
      </c>
      <c r="C622" s="5" t="s">
        <v>20</v>
      </c>
      <c r="D622" s="5" t="s">
        <v>32</v>
      </c>
      <c r="E622" s="5" t="s">
        <v>19</v>
      </c>
      <c r="F622" s="5" t="s">
        <v>28</v>
      </c>
      <c r="G622" s="5" t="s">
        <v>24</v>
      </c>
      <c r="H622" s="5">
        <v>901</v>
      </c>
      <c r="I622" s="5">
        <v>0</v>
      </c>
      <c r="J622" s="6">
        <f t="shared" si="9"/>
        <v>901</v>
      </c>
    </row>
    <row r="623" spans="1:10">
      <c r="A623" s="5">
        <v>33356</v>
      </c>
      <c r="B623" s="5" t="s">
        <v>16</v>
      </c>
      <c r="C623" s="5" t="s">
        <v>35</v>
      </c>
      <c r="D623" s="5" t="s">
        <v>30</v>
      </c>
      <c r="E623" s="5" t="s">
        <v>13</v>
      </c>
      <c r="F623" s="5" t="s">
        <v>14</v>
      </c>
      <c r="G623" s="5" t="s">
        <v>15</v>
      </c>
      <c r="H623" s="5">
        <v>11117</v>
      </c>
      <c r="I623" s="5">
        <v>23</v>
      </c>
      <c r="J623" s="6">
        <f t="shared" si="9"/>
        <v>11094</v>
      </c>
    </row>
    <row r="624" spans="1:10">
      <c r="A624" s="5">
        <v>146947</v>
      </c>
      <c r="B624" s="5" t="s">
        <v>10</v>
      </c>
      <c r="C624" s="5" t="s">
        <v>25</v>
      </c>
      <c r="D624" s="5" t="s">
        <v>23</v>
      </c>
      <c r="E624" s="5" t="s">
        <v>19</v>
      </c>
      <c r="F624" s="5" t="s">
        <v>14</v>
      </c>
      <c r="G624" s="5" t="s">
        <v>24</v>
      </c>
      <c r="H624" s="5">
        <v>92653</v>
      </c>
      <c r="I624" s="5">
        <v>11799</v>
      </c>
      <c r="J624" s="6">
        <f t="shared" si="9"/>
        <v>80854</v>
      </c>
    </row>
    <row r="625" spans="1:10">
      <c r="A625" s="5">
        <v>252868</v>
      </c>
      <c r="B625" s="5" t="s">
        <v>10</v>
      </c>
      <c r="C625" s="5" t="s">
        <v>27</v>
      </c>
      <c r="D625" s="5" t="s">
        <v>30</v>
      </c>
      <c r="E625" s="5" t="s">
        <v>13</v>
      </c>
      <c r="F625" s="5" t="s">
        <v>14</v>
      </c>
      <c r="G625" s="5" t="s">
        <v>15</v>
      </c>
      <c r="H625" s="5">
        <v>127193</v>
      </c>
      <c r="I625" s="5">
        <v>999</v>
      </c>
      <c r="J625" s="6">
        <f t="shared" si="9"/>
        <v>126194</v>
      </c>
    </row>
    <row r="626" spans="1:10">
      <c r="A626" s="5">
        <v>64907</v>
      </c>
      <c r="B626" s="5" t="s">
        <v>16</v>
      </c>
      <c r="C626" s="5" t="s">
        <v>35</v>
      </c>
      <c r="D626" s="5" t="s">
        <v>32</v>
      </c>
      <c r="E626" s="5" t="s">
        <v>13</v>
      </c>
      <c r="F626" s="5" t="s">
        <v>14</v>
      </c>
      <c r="G626" s="5" t="s">
        <v>24</v>
      </c>
      <c r="H626" s="5">
        <v>11963</v>
      </c>
      <c r="I626" s="5">
        <v>0</v>
      </c>
      <c r="J626" s="6">
        <f t="shared" si="9"/>
        <v>11963</v>
      </c>
    </row>
    <row r="627" spans="1:10">
      <c r="A627" s="5">
        <v>122922</v>
      </c>
      <c r="B627" s="5" t="s">
        <v>10</v>
      </c>
      <c r="C627" s="5" t="s">
        <v>22</v>
      </c>
      <c r="D627" s="5" t="s">
        <v>12</v>
      </c>
      <c r="E627" s="5" t="s">
        <v>19</v>
      </c>
      <c r="F627" s="5" t="s">
        <v>14</v>
      </c>
      <c r="G627" s="5" t="s">
        <v>15</v>
      </c>
      <c r="H627" s="5">
        <v>129812</v>
      </c>
      <c r="I627" s="5">
        <v>920</v>
      </c>
      <c r="J627" s="6">
        <f t="shared" si="9"/>
        <v>128892</v>
      </c>
    </row>
    <row r="628" spans="1:10">
      <c r="A628" s="5">
        <v>253796</v>
      </c>
      <c r="B628" s="5" t="s">
        <v>10</v>
      </c>
      <c r="C628" s="5" t="s">
        <v>31</v>
      </c>
      <c r="D628" s="5" t="s">
        <v>30</v>
      </c>
      <c r="E628" s="5" t="s">
        <v>19</v>
      </c>
      <c r="F628" s="5" t="s">
        <v>14</v>
      </c>
      <c r="G628" s="5" t="s">
        <v>15</v>
      </c>
      <c r="H628" s="5">
        <v>6611</v>
      </c>
      <c r="I628" s="5">
        <v>0</v>
      </c>
      <c r="J628" s="6">
        <f t="shared" si="9"/>
        <v>6611</v>
      </c>
    </row>
    <row r="629" spans="1:10">
      <c r="A629" s="5">
        <v>75102</v>
      </c>
      <c r="B629" s="5" t="s">
        <v>16</v>
      </c>
      <c r="C629" s="5" t="s">
        <v>27</v>
      </c>
      <c r="D629" s="5" t="s">
        <v>33</v>
      </c>
      <c r="E629" s="5" t="s">
        <v>13</v>
      </c>
      <c r="F629" s="5" t="s">
        <v>14</v>
      </c>
      <c r="G629" s="5" t="s">
        <v>15</v>
      </c>
      <c r="H629" s="5">
        <v>36406</v>
      </c>
      <c r="I629" s="5">
        <v>251</v>
      </c>
      <c r="J629" s="6">
        <f t="shared" si="9"/>
        <v>36155</v>
      </c>
    </row>
    <row r="630" spans="1:10">
      <c r="A630" s="5">
        <v>36699</v>
      </c>
      <c r="B630" s="5" t="s">
        <v>10</v>
      </c>
      <c r="C630" s="5" t="s">
        <v>11</v>
      </c>
      <c r="D630" s="5" t="s">
        <v>36</v>
      </c>
      <c r="E630" s="5" t="s">
        <v>13</v>
      </c>
      <c r="F630" s="5" t="s">
        <v>14</v>
      </c>
      <c r="G630" s="5" t="s">
        <v>15</v>
      </c>
      <c r="H630" s="5">
        <v>83674</v>
      </c>
      <c r="I630" s="5">
        <v>2605</v>
      </c>
      <c r="J630" s="6">
        <f t="shared" si="9"/>
        <v>81069</v>
      </c>
    </row>
    <row r="631" spans="1:10">
      <c r="A631" s="5">
        <v>52470</v>
      </c>
      <c r="B631" s="5" t="s">
        <v>16</v>
      </c>
      <c r="C631" s="5" t="s">
        <v>35</v>
      </c>
      <c r="D631" s="5" t="s">
        <v>33</v>
      </c>
      <c r="E631" s="5" t="s">
        <v>13</v>
      </c>
      <c r="F631" s="5" t="s">
        <v>14</v>
      </c>
      <c r="G631" s="5" t="s">
        <v>15</v>
      </c>
      <c r="H631" s="5">
        <v>37169</v>
      </c>
      <c r="I631" s="5">
        <v>2445</v>
      </c>
      <c r="J631" s="6">
        <f t="shared" si="9"/>
        <v>34724</v>
      </c>
    </row>
    <row r="632" spans="1:10">
      <c r="A632" s="5">
        <v>232596</v>
      </c>
      <c r="B632" s="5" t="s">
        <v>16</v>
      </c>
      <c r="C632" s="5" t="s">
        <v>35</v>
      </c>
      <c r="D632" s="5" t="s">
        <v>33</v>
      </c>
      <c r="E632" s="5" t="s">
        <v>13</v>
      </c>
      <c r="F632" s="5" t="s">
        <v>14</v>
      </c>
      <c r="G632" s="5" t="s">
        <v>15</v>
      </c>
      <c r="H632" s="5">
        <v>99167</v>
      </c>
      <c r="I632" s="5">
        <v>274</v>
      </c>
      <c r="J632" s="6">
        <f t="shared" si="9"/>
        <v>98893</v>
      </c>
    </row>
    <row r="633" spans="1:10">
      <c r="A633" s="5">
        <v>41510</v>
      </c>
      <c r="B633" s="5" t="s">
        <v>16</v>
      </c>
      <c r="C633" s="5" t="s">
        <v>37</v>
      </c>
      <c r="D633" s="5" t="s">
        <v>30</v>
      </c>
      <c r="E633" s="5" t="s">
        <v>19</v>
      </c>
      <c r="F633" s="5" t="s">
        <v>14</v>
      </c>
      <c r="G633" s="5" t="s">
        <v>24</v>
      </c>
      <c r="H633" s="5">
        <v>49651</v>
      </c>
      <c r="I633" s="5">
        <v>1663</v>
      </c>
      <c r="J633" s="6">
        <f t="shared" si="9"/>
        <v>47988</v>
      </c>
    </row>
    <row r="634" spans="1:10">
      <c r="A634" s="5">
        <v>191551</v>
      </c>
      <c r="B634" s="5" t="s">
        <v>16</v>
      </c>
      <c r="C634" s="5" t="s">
        <v>38</v>
      </c>
      <c r="D634" s="5" t="s">
        <v>32</v>
      </c>
      <c r="E634" s="5" t="s">
        <v>13</v>
      </c>
      <c r="F634" s="5" t="s">
        <v>14</v>
      </c>
      <c r="G634" s="5" t="s">
        <v>15</v>
      </c>
      <c r="H634" s="5">
        <v>48603</v>
      </c>
      <c r="I634" s="5">
        <v>29728</v>
      </c>
      <c r="J634" s="6">
        <f t="shared" si="9"/>
        <v>18875</v>
      </c>
    </row>
    <row r="635" spans="1:10">
      <c r="A635" s="5">
        <v>186536</v>
      </c>
      <c r="B635" s="5" t="s">
        <v>10</v>
      </c>
      <c r="C635" s="5" t="s">
        <v>37</v>
      </c>
      <c r="D635" s="5" t="s">
        <v>32</v>
      </c>
      <c r="E635" s="5" t="s">
        <v>13</v>
      </c>
      <c r="F635" s="5" t="s">
        <v>14</v>
      </c>
      <c r="G635" s="5" t="s">
        <v>15</v>
      </c>
      <c r="H635" s="5">
        <v>1187</v>
      </c>
      <c r="I635" s="5">
        <v>1035</v>
      </c>
      <c r="J635" s="6">
        <f t="shared" si="9"/>
        <v>152</v>
      </c>
    </row>
    <row r="636" spans="1:10">
      <c r="A636" s="5">
        <v>111889</v>
      </c>
      <c r="B636" s="5" t="s">
        <v>16</v>
      </c>
      <c r="C636" s="5" t="s">
        <v>22</v>
      </c>
      <c r="D636" s="5" t="s">
        <v>18</v>
      </c>
      <c r="E636" s="5" t="s">
        <v>13</v>
      </c>
      <c r="F636" s="5" t="s">
        <v>14</v>
      </c>
      <c r="G636" s="5" t="s">
        <v>24</v>
      </c>
      <c r="H636" s="5">
        <v>26551</v>
      </c>
      <c r="I636" s="5">
        <v>1252</v>
      </c>
      <c r="J636" s="6">
        <f t="shared" si="9"/>
        <v>25299</v>
      </c>
    </row>
    <row r="637" spans="1:10">
      <c r="A637" s="5">
        <v>32273</v>
      </c>
      <c r="B637" s="5" t="s">
        <v>16</v>
      </c>
      <c r="C637" s="5" t="s">
        <v>35</v>
      </c>
      <c r="D637" s="5" t="s">
        <v>12</v>
      </c>
      <c r="E637" s="5" t="s">
        <v>19</v>
      </c>
      <c r="F637" s="5" t="s">
        <v>14</v>
      </c>
      <c r="G637" s="5" t="s">
        <v>24</v>
      </c>
      <c r="H637" s="5">
        <v>49649</v>
      </c>
      <c r="I637" s="5">
        <v>5532</v>
      </c>
      <c r="J637" s="6">
        <f t="shared" si="9"/>
        <v>44117</v>
      </c>
    </row>
    <row r="638" spans="1:10">
      <c r="A638" s="5">
        <v>37949</v>
      </c>
      <c r="B638" s="5" t="s">
        <v>16</v>
      </c>
      <c r="C638" s="5" t="s">
        <v>35</v>
      </c>
      <c r="D638" s="5" t="s">
        <v>30</v>
      </c>
      <c r="E638" s="5" t="s">
        <v>13</v>
      </c>
      <c r="F638" s="5" t="s">
        <v>14</v>
      </c>
      <c r="G638" s="5" t="s">
        <v>15</v>
      </c>
      <c r="H638" s="5">
        <v>20337</v>
      </c>
      <c r="I638" s="5">
        <v>1623</v>
      </c>
      <c r="J638" s="6">
        <f t="shared" si="9"/>
        <v>18714</v>
      </c>
    </row>
    <row r="639" spans="1:10">
      <c r="A639" s="5">
        <v>197972</v>
      </c>
      <c r="B639" s="5" t="s">
        <v>16</v>
      </c>
      <c r="C639" s="5" t="s">
        <v>38</v>
      </c>
      <c r="D639" s="5" t="s">
        <v>30</v>
      </c>
      <c r="E639" s="5" t="s">
        <v>13</v>
      </c>
      <c r="F639" s="5" t="s">
        <v>14</v>
      </c>
      <c r="G639" s="5" t="s">
        <v>15</v>
      </c>
      <c r="H639" s="5">
        <v>40411</v>
      </c>
      <c r="I639" s="5">
        <v>1526</v>
      </c>
      <c r="J639" s="6">
        <f t="shared" si="9"/>
        <v>38885</v>
      </c>
    </row>
    <row r="640" spans="1:10">
      <c r="A640" s="5">
        <v>90415</v>
      </c>
      <c r="B640" s="5" t="s">
        <v>10</v>
      </c>
      <c r="C640" s="5" t="s">
        <v>20</v>
      </c>
      <c r="D640" s="5" t="s">
        <v>32</v>
      </c>
      <c r="E640" s="5" t="s">
        <v>19</v>
      </c>
      <c r="F640" s="5" t="s">
        <v>28</v>
      </c>
      <c r="G640" s="5" t="s">
        <v>24</v>
      </c>
      <c r="H640" s="5">
        <v>736</v>
      </c>
      <c r="I640" s="5">
        <v>0</v>
      </c>
      <c r="J640" s="6">
        <f t="shared" si="9"/>
        <v>736</v>
      </c>
    </row>
    <row r="641" spans="1:10">
      <c r="A641" s="5">
        <v>189845</v>
      </c>
      <c r="B641" s="5" t="s">
        <v>10</v>
      </c>
      <c r="C641" s="5" t="s">
        <v>37</v>
      </c>
      <c r="D641" s="5" t="s">
        <v>32</v>
      </c>
      <c r="E641" s="5" t="s">
        <v>13</v>
      </c>
      <c r="F641" s="5" t="s">
        <v>14</v>
      </c>
      <c r="G641" s="5" t="s">
        <v>15</v>
      </c>
      <c r="H641" s="5">
        <v>253296</v>
      </c>
      <c r="I641" s="5">
        <v>23237</v>
      </c>
      <c r="J641" s="6">
        <f t="shared" si="9"/>
        <v>230059</v>
      </c>
    </row>
    <row r="642" spans="1:10">
      <c r="A642" s="5">
        <v>173099</v>
      </c>
      <c r="B642" s="5" t="s">
        <v>16</v>
      </c>
      <c r="C642" s="5" t="s">
        <v>27</v>
      </c>
      <c r="D642" s="5" t="s">
        <v>30</v>
      </c>
      <c r="E642" s="5" t="s">
        <v>19</v>
      </c>
      <c r="F642" s="5" t="s">
        <v>14</v>
      </c>
      <c r="G642" s="5" t="s">
        <v>24</v>
      </c>
      <c r="H642" s="5">
        <v>39295</v>
      </c>
      <c r="I642" s="5">
        <v>6133</v>
      </c>
      <c r="J642" s="6">
        <f t="shared" ref="J642:J705" si="10">H642-I642</f>
        <v>33162</v>
      </c>
    </row>
    <row r="643" spans="1:10">
      <c r="A643" s="5">
        <v>246530</v>
      </c>
      <c r="B643" s="5" t="s">
        <v>10</v>
      </c>
      <c r="C643" s="5" t="s">
        <v>25</v>
      </c>
      <c r="D643" s="5" t="s">
        <v>12</v>
      </c>
      <c r="E643" s="5" t="s">
        <v>19</v>
      </c>
      <c r="F643" s="5" t="s">
        <v>28</v>
      </c>
      <c r="G643" s="5" t="s">
        <v>24</v>
      </c>
      <c r="H643" s="5">
        <v>33824</v>
      </c>
      <c r="I643" s="5">
        <v>281</v>
      </c>
      <c r="J643" s="6">
        <f t="shared" si="10"/>
        <v>33543</v>
      </c>
    </row>
    <row r="644" spans="1:10">
      <c r="A644" s="5">
        <v>95275</v>
      </c>
      <c r="B644" s="5" t="s">
        <v>16</v>
      </c>
      <c r="C644" s="5" t="s">
        <v>20</v>
      </c>
      <c r="D644" s="5" t="s">
        <v>21</v>
      </c>
      <c r="E644" s="5" t="s">
        <v>13</v>
      </c>
      <c r="F644" s="5" t="s">
        <v>14</v>
      </c>
      <c r="G644" s="5" t="s">
        <v>24</v>
      </c>
      <c r="H644" s="5">
        <v>5175</v>
      </c>
      <c r="I644" s="5">
        <v>369</v>
      </c>
      <c r="J644" s="6">
        <f t="shared" si="10"/>
        <v>4806</v>
      </c>
    </row>
    <row r="645" spans="1:10">
      <c r="A645" s="5">
        <v>235464</v>
      </c>
      <c r="B645" s="5" t="s">
        <v>16</v>
      </c>
      <c r="C645" s="5" t="s">
        <v>17</v>
      </c>
      <c r="D645" s="5" t="s">
        <v>21</v>
      </c>
      <c r="E645" s="5" t="s">
        <v>19</v>
      </c>
      <c r="F645" s="5" t="s">
        <v>14</v>
      </c>
      <c r="G645" s="5" t="s">
        <v>24</v>
      </c>
      <c r="H645" s="5">
        <v>17679</v>
      </c>
      <c r="I645" s="5">
        <v>189</v>
      </c>
      <c r="J645" s="6">
        <f t="shared" si="10"/>
        <v>17490</v>
      </c>
    </row>
    <row r="646" spans="1:10">
      <c r="A646" s="5">
        <v>172726</v>
      </c>
      <c r="B646" s="5" t="s">
        <v>10</v>
      </c>
      <c r="C646" s="5" t="s">
        <v>17</v>
      </c>
      <c r="D646" s="5" t="s">
        <v>36</v>
      </c>
      <c r="E646" s="5" t="s">
        <v>19</v>
      </c>
      <c r="F646" s="5" t="s">
        <v>14</v>
      </c>
      <c r="G646" s="5" t="s">
        <v>24</v>
      </c>
      <c r="H646" s="5">
        <v>10504</v>
      </c>
      <c r="I646" s="5">
        <v>0</v>
      </c>
      <c r="J646" s="6">
        <f t="shared" si="10"/>
        <v>10504</v>
      </c>
    </row>
    <row r="647" spans="1:10">
      <c r="A647" s="5">
        <v>107317</v>
      </c>
      <c r="B647" s="5" t="s">
        <v>16</v>
      </c>
      <c r="C647" s="5" t="s">
        <v>22</v>
      </c>
      <c r="D647" s="5" t="s">
        <v>33</v>
      </c>
      <c r="E647" s="5" t="s">
        <v>13</v>
      </c>
      <c r="F647" s="5" t="s">
        <v>14</v>
      </c>
      <c r="G647" s="5" t="s">
        <v>15</v>
      </c>
      <c r="H647" s="5">
        <v>45279</v>
      </c>
      <c r="I647" s="5">
        <v>494</v>
      </c>
      <c r="J647" s="6">
        <f t="shared" si="10"/>
        <v>44785</v>
      </c>
    </row>
    <row r="648" spans="1:10">
      <c r="A648" s="5">
        <v>209852</v>
      </c>
      <c r="B648" s="5" t="s">
        <v>16</v>
      </c>
      <c r="C648" s="5" t="s">
        <v>37</v>
      </c>
      <c r="D648" s="5" t="s">
        <v>30</v>
      </c>
      <c r="E648" s="5" t="s">
        <v>19</v>
      </c>
      <c r="F648" s="5" t="s">
        <v>14</v>
      </c>
      <c r="G648" s="5" t="s">
        <v>15</v>
      </c>
      <c r="H648" s="5">
        <v>175816</v>
      </c>
      <c r="I648" s="5">
        <v>3756</v>
      </c>
      <c r="J648" s="6">
        <f t="shared" si="10"/>
        <v>172060</v>
      </c>
    </row>
    <row r="649" spans="1:10">
      <c r="A649" s="5">
        <v>250962</v>
      </c>
      <c r="B649" s="5" t="s">
        <v>10</v>
      </c>
      <c r="C649" s="5" t="s">
        <v>27</v>
      </c>
      <c r="D649" s="5" t="s">
        <v>32</v>
      </c>
      <c r="E649" s="5" t="s">
        <v>13</v>
      </c>
      <c r="F649" s="5" t="s">
        <v>14</v>
      </c>
      <c r="G649" s="5" t="s">
        <v>15</v>
      </c>
      <c r="H649" s="5">
        <v>54064</v>
      </c>
      <c r="I649" s="5">
        <v>0</v>
      </c>
      <c r="J649" s="6">
        <f t="shared" si="10"/>
        <v>54064</v>
      </c>
    </row>
    <row r="650" spans="1:10">
      <c r="A650" s="5">
        <v>157053</v>
      </c>
      <c r="B650" s="5" t="s">
        <v>16</v>
      </c>
      <c r="C650" s="5" t="s">
        <v>25</v>
      </c>
      <c r="D650" s="5" t="s">
        <v>30</v>
      </c>
      <c r="E650" s="5" t="s">
        <v>13</v>
      </c>
      <c r="F650" s="5" t="s">
        <v>28</v>
      </c>
      <c r="G650" s="5" t="s">
        <v>15</v>
      </c>
      <c r="H650" s="5">
        <v>85665</v>
      </c>
      <c r="I650" s="5">
        <v>2286</v>
      </c>
      <c r="J650" s="6">
        <f t="shared" si="10"/>
        <v>83379</v>
      </c>
    </row>
    <row r="651" spans="1:10">
      <c r="A651" s="5">
        <v>170523</v>
      </c>
      <c r="B651" s="5" t="s">
        <v>16</v>
      </c>
      <c r="C651" s="5" t="s">
        <v>17</v>
      </c>
      <c r="D651" s="5" t="s">
        <v>36</v>
      </c>
      <c r="E651" s="5" t="s">
        <v>19</v>
      </c>
      <c r="F651" s="5" t="s">
        <v>14</v>
      </c>
      <c r="G651" s="5" t="s">
        <v>15</v>
      </c>
      <c r="H651" s="5">
        <v>33202</v>
      </c>
      <c r="I651" s="5">
        <v>866</v>
      </c>
      <c r="J651" s="6">
        <f t="shared" si="10"/>
        <v>32336</v>
      </c>
    </row>
    <row r="652" spans="1:10">
      <c r="A652" s="5">
        <v>226101</v>
      </c>
      <c r="B652" s="5" t="s">
        <v>16</v>
      </c>
      <c r="C652" s="5" t="s">
        <v>25</v>
      </c>
      <c r="D652" s="5" t="s">
        <v>18</v>
      </c>
      <c r="E652" s="5" t="s">
        <v>13</v>
      </c>
      <c r="F652" s="5" t="s">
        <v>14</v>
      </c>
      <c r="G652" s="5" t="s">
        <v>15</v>
      </c>
      <c r="H652" s="5">
        <v>22870</v>
      </c>
      <c r="I652" s="5">
        <v>3572</v>
      </c>
      <c r="J652" s="6">
        <f t="shared" si="10"/>
        <v>19298</v>
      </c>
    </row>
    <row r="653" spans="1:10">
      <c r="A653" s="5">
        <v>62139</v>
      </c>
      <c r="B653" s="5" t="s">
        <v>16</v>
      </c>
      <c r="C653" s="5" t="s">
        <v>27</v>
      </c>
      <c r="D653" s="5" t="s">
        <v>33</v>
      </c>
      <c r="E653" s="5" t="s">
        <v>19</v>
      </c>
      <c r="F653" s="5" t="s">
        <v>14</v>
      </c>
      <c r="G653" s="5" t="s">
        <v>24</v>
      </c>
      <c r="H653" s="5">
        <v>61229</v>
      </c>
      <c r="I653" s="5">
        <v>346</v>
      </c>
      <c r="J653" s="6">
        <f t="shared" si="10"/>
        <v>60883</v>
      </c>
    </row>
    <row r="654" spans="1:10">
      <c r="A654" s="5">
        <v>223791</v>
      </c>
      <c r="B654" s="5" t="s">
        <v>10</v>
      </c>
      <c r="C654" s="5" t="s">
        <v>35</v>
      </c>
      <c r="D654" s="5" t="s">
        <v>29</v>
      </c>
      <c r="E654" s="5" t="s">
        <v>13</v>
      </c>
      <c r="F654" s="5" t="s">
        <v>28</v>
      </c>
      <c r="G654" s="5" t="s">
        <v>15</v>
      </c>
      <c r="H654" s="5">
        <v>6260</v>
      </c>
      <c r="I654" s="5">
        <v>0</v>
      </c>
      <c r="J654" s="6">
        <f t="shared" si="10"/>
        <v>6260</v>
      </c>
    </row>
    <row r="655" spans="1:10">
      <c r="A655" s="5">
        <v>253327</v>
      </c>
      <c r="B655" s="5" t="s">
        <v>16</v>
      </c>
      <c r="C655" s="5" t="s">
        <v>25</v>
      </c>
      <c r="D655" s="5" t="s">
        <v>30</v>
      </c>
      <c r="E655" s="5" t="s">
        <v>13</v>
      </c>
      <c r="F655" s="5" t="s">
        <v>28</v>
      </c>
      <c r="G655" s="5" t="s">
        <v>24</v>
      </c>
      <c r="H655" s="5">
        <v>45573</v>
      </c>
      <c r="I655" s="5">
        <v>27</v>
      </c>
      <c r="J655" s="6">
        <f t="shared" si="10"/>
        <v>45546</v>
      </c>
    </row>
    <row r="656" spans="1:10">
      <c r="A656" s="5">
        <v>78798</v>
      </c>
      <c r="B656" s="5" t="s">
        <v>10</v>
      </c>
      <c r="C656" s="5" t="s">
        <v>20</v>
      </c>
      <c r="D656" s="5" t="s">
        <v>29</v>
      </c>
      <c r="E656" s="5" t="s">
        <v>13</v>
      </c>
      <c r="F656" s="5" t="s">
        <v>14</v>
      </c>
      <c r="G656" s="5" t="s">
        <v>15</v>
      </c>
      <c r="H656" s="5">
        <v>32718</v>
      </c>
      <c r="I656" s="5">
        <v>936</v>
      </c>
      <c r="J656" s="6">
        <f t="shared" si="10"/>
        <v>31782</v>
      </c>
    </row>
    <row r="657" spans="1:10">
      <c r="A657" s="5">
        <v>91400</v>
      </c>
      <c r="B657" s="5" t="s">
        <v>16</v>
      </c>
      <c r="C657" s="5" t="s">
        <v>39</v>
      </c>
      <c r="D657" s="5" t="s">
        <v>33</v>
      </c>
      <c r="E657" s="5" t="s">
        <v>13</v>
      </c>
      <c r="F657" s="5" t="s">
        <v>14</v>
      </c>
      <c r="G657" s="5" t="s">
        <v>15</v>
      </c>
      <c r="H657" s="5">
        <v>17334</v>
      </c>
      <c r="I657" s="5">
        <v>323</v>
      </c>
      <c r="J657" s="6">
        <f t="shared" si="10"/>
        <v>17011</v>
      </c>
    </row>
    <row r="658" spans="1:10">
      <c r="A658" s="5">
        <v>22571</v>
      </c>
      <c r="B658" s="5" t="s">
        <v>16</v>
      </c>
      <c r="C658" s="5" t="s">
        <v>35</v>
      </c>
      <c r="D658" s="5" t="s">
        <v>12</v>
      </c>
      <c r="E658" s="5" t="s">
        <v>19</v>
      </c>
      <c r="F658" s="5" t="s">
        <v>28</v>
      </c>
      <c r="G658" s="5" t="s">
        <v>15</v>
      </c>
      <c r="H658" s="5">
        <v>64514</v>
      </c>
      <c r="I658" s="5">
        <v>2548</v>
      </c>
      <c r="J658" s="6">
        <f t="shared" si="10"/>
        <v>61966</v>
      </c>
    </row>
    <row r="659" spans="1:10">
      <c r="A659" s="5">
        <v>110246</v>
      </c>
      <c r="B659" s="5" t="s">
        <v>16</v>
      </c>
      <c r="C659" s="5" t="s">
        <v>34</v>
      </c>
      <c r="D659" s="5" t="s">
        <v>36</v>
      </c>
      <c r="E659" s="5" t="s">
        <v>13</v>
      </c>
      <c r="F659" s="5" t="s">
        <v>14</v>
      </c>
      <c r="G659" s="5" t="s">
        <v>24</v>
      </c>
      <c r="H659" s="5">
        <v>33678</v>
      </c>
      <c r="I659" s="5">
        <v>821</v>
      </c>
      <c r="J659" s="6">
        <f t="shared" si="10"/>
        <v>32857</v>
      </c>
    </row>
    <row r="660" spans="1:10">
      <c r="A660" s="5">
        <v>243356</v>
      </c>
      <c r="B660" s="5" t="s">
        <v>16</v>
      </c>
      <c r="C660" s="5" t="s">
        <v>37</v>
      </c>
      <c r="D660" s="5" t="s">
        <v>32</v>
      </c>
      <c r="E660" s="5" t="s">
        <v>19</v>
      </c>
      <c r="F660" s="5" t="s">
        <v>14</v>
      </c>
      <c r="G660" s="5" t="s">
        <v>24</v>
      </c>
      <c r="H660" s="5">
        <v>30975</v>
      </c>
      <c r="I660" s="5">
        <v>110</v>
      </c>
      <c r="J660" s="6">
        <f t="shared" si="10"/>
        <v>30865</v>
      </c>
    </row>
    <row r="661" spans="1:10">
      <c r="A661" s="5">
        <v>131623</v>
      </c>
      <c r="B661" s="5" t="s">
        <v>16</v>
      </c>
      <c r="C661" s="5" t="s">
        <v>25</v>
      </c>
      <c r="D661" s="5" t="s">
        <v>23</v>
      </c>
      <c r="E661" s="5" t="s">
        <v>13</v>
      </c>
      <c r="F661" s="5" t="s">
        <v>28</v>
      </c>
      <c r="G661" s="5" t="s">
        <v>24</v>
      </c>
      <c r="H661" s="5">
        <v>40486</v>
      </c>
      <c r="I661" s="5">
        <v>161</v>
      </c>
      <c r="J661" s="6">
        <f t="shared" si="10"/>
        <v>40325</v>
      </c>
    </row>
    <row r="662" spans="1:10">
      <c r="A662" s="5">
        <v>140627</v>
      </c>
      <c r="B662" s="5" t="s">
        <v>10</v>
      </c>
      <c r="C662" s="5" t="s">
        <v>17</v>
      </c>
      <c r="D662" s="5" t="s">
        <v>29</v>
      </c>
      <c r="E662" s="5" t="s">
        <v>19</v>
      </c>
      <c r="F662" s="5" t="s">
        <v>14</v>
      </c>
      <c r="G662" s="5" t="s">
        <v>24</v>
      </c>
      <c r="H662" s="5">
        <v>31818</v>
      </c>
      <c r="I662" s="5">
        <v>2273</v>
      </c>
      <c r="J662" s="6">
        <f t="shared" si="10"/>
        <v>29545</v>
      </c>
    </row>
    <row r="663" spans="1:10">
      <c r="A663" s="5">
        <v>254142</v>
      </c>
      <c r="B663" s="5" t="s">
        <v>10</v>
      </c>
      <c r="C663" s="5" t="s">
        <v>25</v>
      </c>
      <c r="D663" s="5" t="s">
        <v>21</v>
      </c>
      <c r="E663" s="5" t="s">
        <v>13</v>
      </c>
      <c r="F663" s="5" t="s">
        <v>28</v>
      </c>
      <c r="G663" s="5" t="s">
        <v>24</v>
      </c>
      <c r="H663" s="5">
        <v>45130</v>
      </c>
      <c r="I663" s="5">
        <v>2348</v>
      </c>
      <c r="J663" s="6">
        <f t="shared" si="10"/>
        <v>42782</v>
      </c>
    </row>
    <row r="664" spans="1:10">
      <c r="A664" s="5">
        <v>104734</v>
      </c>
      <c r="B664" s="5" t="s">
        <v>16</v>
      </c>
      <c r="C664" s="5" t="s">
        <v>27</v>
      </c>
      <c r="D664" s="5" t="s">
        <v>32</v>
      </c>
      <c r="E664" s="5" t="s">
        <v>13</v>
      </c>
      <c r="F664" s="5" t="s">
        <v>14</v>
      </c>
      <c r="G664" s="5" t="s">
        <v>24</v>
      </c>
      <c r="H664" s="5">
        <v>5200</v>
      </c>
      <c r="I664" s="5">
        <v>0</v>
      </c>
      <c r="J664" s="6">
        <f t="shared" si="10"/>
        <v>5200</v>
      </c>
    </row>
    <row r="665" spans="1:10">
      <c r="A665" s="5">
        <v>184775</v>
      </c>
      <c r="B665" s="5" t="s">
        <v>16</v>
      </c>
      <c r="C665" s="5" t="s">
        <v>34</v>
      </c>
      <c r="D665" s="5" t="s">
        <v>33</v>
      </c>
      <c r="E665" s="5" t="s">
        <v>13</v>
      </c>
      <c r="F665" s="5" t="s">
        <v>14</v>
      </c>
      <c r="G665" s="5" t="s">
        <v>15</v>
      </c>
      <c r="H665" s="5">
        <v>62812</v>
      </c>
      <c r="I665" s="5">
        <v>321</v>
      </c>
      <c r="J665" s="6">
        <f t="shared" si="10"/>
        <v>62491</v>
      </c>
    </row>
    <row r="666" spans="1:10">
      <c r="A666" s="5">
        <v>181468</v>
      </c>
      <c r="B666" s="5" t="s">
        <v>10</v>
      </c>
      <c r="C666" s="5" t="s">
        <v>20</v>
      </c>
      <c r="D666" s="5" t="s">
        <v>21</v>
      </c>
      <c r="E666" s="5" t="s">
        <v>19</v>
      </c>
      <c r="F666" s="5" t="s">
        <v>14</v>
      </c>
      <c r="G666" s="5" t="s">
        <v>15</v>
      </c>
      <c r="H666" s="5">
        <v>33930</v>
      </c>
      <c r="I666" s="5">
        <v>348</v>
      </c>
      <c r="J666" s="6">
        <f t="shared" si="10"/>
        <v>33582</v>
      </c>
    </row>
    <row r="667" spans="1:10">
      <c r="A667" s="5">
        <v>88841</v>
      </c>
      <c r="B667" s="5" t="s">
        <v>10</v>
      </c>
      <c r="C667" s="5" t="s">
        <v>38</v>
      </c>
      <c r="D667" s="5" t="s">
        <v>32</v>
      </c>
      <c r="E667" s="5" t="s">
        <v>13</v>
      </c>
      <c r="F667" s="5" t="s">
        <v>14</v>
      </c>
      <c r="G667" s="5" t="s">
        <v>15</v>
      </c>
      <c r="H667" s="5">
        <v>3</v>
      </c>
      <c r="I667" s="5">
        <v>0</v>
      </c>
      <c r="J667" s="6">
        <f t="shared" si="10"/>
        <v>3</v>
      </c>
    </row>
    <row r="668" spans="1:10">
      <c r="A668" s="5">
        <v>227145</v>
      </c>
      <c r="B668" s="5" t="s">
        <v>10</v>
      </c>
      <c r="C668" s="5" t="s">
        <v>17</v>
      </c>
      <c r="D668" s="5" t="s">
        <v>26</v>
      </c>
      <c r="E668" s="5" t="s">
        <v>19</v>
      </c>
      <c r="F668" s="5" t="s">
        <v>28</v>
      </c>
      <c r="G668" s="5" t="s">
        <v>24</v>
      </c>
      <c r="H668" s="5">
        <v>52340</v>
      </c>
      <c r="I668" s="5">
        <v>4056</v>
      </c>
      <c r="J668" s="6">
        <f t="shared" si="10"/>
        <v>48284</v>
      </c>
    </row>
    <row r="669" spans="1:10">
      <c r="A669" s="5">
        <v>199532</v>
      </c>
      <c r="B669" s="5" t="s">
        <v>10</v>
      </c>
      <c r="C669" s="5" t="s">
        <v>39</v>
      </c>
      <c r="D669" s="5" t="s">
        <v>23</v>
      </c>
      <c r="E669" s="5" t="s">
        <v>13</v>
      </c>
      <c r="F669" s="5" t="s">
        <v>14</v>
      </c>
      <c r="G669" s="5" t="s">
        <v>15</v>
      </c>
      <c r="H669" s="5">
        <v>17570</v>
      </c>
      <c r="I669" s="5">
        <v>967</v>
      </c>
      <c r="J669" s="6">
        <f t="shared" si="10"/>
        <v>16603</v>
      </c>
    </row>
    <row r="670" spans="1:10">
      <c r="A670" s="5">
        <v>23643</v>
      </c>
      <c r="B670" s="5" t="s">
        <v>10</v>
      </c>
      <c r="C670" s="5" t="s">
        <v>11</v>
      </c>
      <c r="D670" s="5" t="s">
        <v>32</v>
      </c>
      <c r="E670" s="5" t="s">
        <v>13</v>
      </c>
      <c r="F670" s="5" t="s">
        <v>14</v>
      </c>
      <c r="G670" s="5" t="s">
        <v>15</v>
      </c>
      <c r="H670" s="5">
        <v>41594</v>
      </c>
      <c r="I670" s="5">
        <v>5775</v>
      </c>
      <c r="J670" s="6">
        <f t="shared" si="10"/>
        <v>35819</v>
      </c>
    </row>
    <row r="671" spans="1:10">
      <c r="A671" s="5">
        <v>31299</v>
      </c>
      <c r="B671" s="5" t="s">
        <v>16</v>
      </c>
      <c r="C671" s="5" t="s">
        <v>20</v>
      </c>
      <c r="D671" s="5" t="s">
        <v>32</v>
      </c>
      <c r="E671" s="5" t="s">
        <v>19</v>
      </c>
      <c r="F671" s="5" t="s">
        <v>28</v>
      </c>
      <c r="G671" s="5" t="s">
        <v>24</v>
      </c>
      <c r="H671" s="5">
        <v>499</v>
      </c>
      <c r="I671" s="5">
        <v>0</v>
      </c>
      <c r="J671" s="6">
        <f t="shared" si="10"/>
        <v>499</v>
      </c>
    </row>
    <row r="672" spans="1:10">
      <c r="A672" s="5">
        <v>234031</v>
      </c>
      <c r="B672" s="5" t="s">
        <v>16</v>
      </c>
      <c r="C672" s="5" t="s">
        <v>17</v>
      </c>
      <c r="D672" s="5" t="s">
        <v>36</v>
      </c>
      <c r="E672" s="5" t="s">
        <v>13</v>
      </c>
      <c r="F672" s="5" t="s">
        <v>14</v>
      </c>
      <c r="G672" s="5" t="s">
        <v>24</v>
      </c>
      <c r="H672" s="5">
        <v>32571</v>
      </c>
      <c r="I672" s="5">
        <v>780</v>
      </c>
      <c r="J672" s="6">
        <f t="shared" si="10"/>
        <v>31791</v>
      </c>
    </row>
    <row r="673" spans="1:10">
      <c r="A673" s="5">
        <v>163500</v>
      </c>
      <c r="B673" s="5" t="s">
        <v>16</v>
      </c>
      <c r="C673" s="5" t="s">
        <v>27</v>
      </c>
      <c r="D673" s="5" t="s">
        <v>21</v>
      </c>
      <c r="E673" s="5" t="s">
        <v>19</v>
      </c>
      <c r="F673" s="5" t="s">
        <v>14</v>
      </c>
      <c r="G673" s="5" t="s">
        <v>24</v>
      </c>
      <c r="H673" s="5">
        <v>39858</v>
      </c>
      <c r="I673" s="5">
        <v>316</v>
      </c>
      <c r="J673" s="6">
        <f t="shared" si="10"/>
        <v>39542</v>
      </c>
    </row>
    <row r="674" spans="1:10">
      <c r="A674" s="5">
        <v>179672</v>
      </c>
      <c r="B674" s="5" t="s">
        <v>16</v>
      </c>
      <c r="C674" s="5" t="s">
        <v>31</v>
      </c>
      <c r="D674" s="5" t="s">
        <v>18</v>
      </c>
      <c r="E674" s="5" t="s">
        <v>19</v>
      </c>
      <c r="F674" s="5" t="s">
        <v>14</v>
      </c>
      <c r="G674" s="5" t="s">
        <v>24</v>
      </c>
      <c r="H674" s="5">
        <v>17427</v>
      </c>
      <c r="I674" s="5">
        <v>164</v>
      </c>
      <c r="J674" s="6">
        <f t="shared" si="10"/>
        <v>17263</v>
      </c>
    </row>
    <row r="675" spans="1:10">
      <c r="A675" s="5">
        <v>200015</v>
      </c>
      <c r="B675" s="5" t="s">
        <v>10</v>
      </c>
      <c r="C675" s="5" t="s">
        <v>37</v>
      </c>
      <c r="D675" s="5" t="s">
        <v>12</v>
      </c>
      <c r="E675" s="5" t="s">
        <v>13</v>
      </c>
      <c r="F675" s="5" t="s">
        <v>28</v>
      </c>
      <c r="G675" s="5" t="s">
        <v>15</v>
      </c>
      <c r="H675" s="5">
        <v>169967</v>
      </c>
      <c r="I675" s="5">
        <v>5465</v>
      </c>
      <c r="J675" s="6">
        <f t="shared" si="10"/>
        <v>164502</v>
      </c>
    </row>
    <row r="676" spans="1:10">
      <c r="A676" s="5">
        <v>29681</v>
      </c>
      <c r="B676" s="5" t="s">
        <v>16</v>
      </c>
      <c r="C676" s="5" t="s">
        <v>11</v>
      </c>
      <c r="D676" s="5" t="s">
        <v>32</v>
      </c>
      <c r="E676" s="5" t="s">
        <v>13</v>
      </c>
      <c r="F676" s="5" t="s">
        <v>14</v>
      </c>
      <c r="G676" s="5" t="s">
        <v>15</v>
      </c>
      <c r="H676" s="5">
        <v>27854</v>
      </c>
      <c r="I676" s="5">
        <v>3</v>
      </c>
      <c r="J676" s="6">
        <f t="shared" si="10"/>
        <v>27851</v>
      </c>
    </row>
    <row r="677" spans="1:10">
      <c r="A677" s="5">
        <v>100138</v>
      </c>
      <c r="B677" s="5" t="s">
        <v>16</v>
      </c>
      <c r="C677" s="5" t="s">
        <v>11</v>
      </c>
      <c r="D677" s="5" t="s">
        <v>30</v>
      </c>
      <c r="E677" s="5" t="s">
        <v>13</v>
      </c>
      <c r="F677" s="5" t="s">
        <v>14</v>
      </c>
      <c r="G677" s="5" t="s">
        <v>15</v>
      </c>
      <c r="H677" s="5">
        <v>23903</v>
      </c>
      <c r="I677" s="5">
        <v>490</v>
      </c>
      <c r="J677" s="6">
        <f t="shared" si="10"/>
        <v>23413</v>
      </c>
    </row>
    <row r="678" spans="1:10">
      <c r="A678" s="5">
        <v>183256</v>
      </c>
      <c r="B678" s="5" t="s">
        <v>10</v>
      </c>
      <c r="C678" s="5" t="s">
        <v>20</v>
      </c>
      <c r="D678" s="5" t="s">
        <v>32</v>
      </c>
      <c r="E678" s="5" t="s">
        <v>13</v>
      </c>
      <c r="F678" s="5" t="s">
        <v>14</v>
      </c>
      <c r="G678" s="5" t="s">
        <v>15</v>
      </c>
      <c r="H678" s="5">
        <v>12859</v>
      </c>
      <c r="I678" s="5">
        <v>0</v>
      </c>
      <c r="J678" s="6">
        <f t="shared" si="10"/>
        <v>12859</v>
      </c>
    </row>
    <row r="679" spans="1:10">
      <c r="A679" s="5">
        <v>215528</v>
      </c>
      <c r="B679" s="5" t="s">
        <v>10</v>
      </c>
      <c r="C679" s="5" t="s">
        <v>39</v>
      </c>
      <c r="D679" s="5" t="s">
        <v>30</v>
      </c>
      <c r="E679" s="5" t="s">
        <v>13</v>
      </c>
      <c r="F679" s="5" t="s">
        <v>14</v>
      </c>
      <c r="G679" s="5" t="s">
        <v>15</v>
      </c>
      <c r="H679" s="5">
        <v>23531</v>
      </c>
      <c r="I679" s="5">
        <v>164</v>
      </c>
      <c r="J679" s="6">
        <f t="shared" si="10"/>
        <v>23367</v>
      </c>
    </row>
    <row r="680" spans="1:10">
      <c r="A680" s="5">
        <v>255425</v>
      </c>
      <c r="B680" s="5" t="s">
        <v>10</v>
      </c>
      <c r="C680" s="5" t="s">
        <v>17</v>
      </c>
      <c r="D680" s="5" t="s">
        <v>21</v>
      </c>
      <c r="E680" s="5" t="s">
        <v>19</v>
      </c>
      <c r="F680" s="5" t="s">
        <v>14</v>
      </c>
      <c r="G680" s="5" t="s">
        <v>24</v>
      </c>
      <c r="H680" s="5">
        <v>28105</v>
      </c>
      <c r="I680" s="5">
        <v>4479</v>
      </c>
      <c r="J680" s="6">
        <f t="shared" si="10"/>
        <v>23626</v>
      </c>
    </row>
    <row r="681" spans="1:10">
      <c r="A681" s="5">
        <v>90196</v>
      </c>
      <c r="B681" s="5" t="s">
        <v>10</v>
      </c>
      <c r="C681" s="5" t="s">
        <v>37</v>
      </c>
      <c r="D681" s="5" t="s">
        <v>30</v>
      </c>
      <c r="E681" s="5" t="s">
        <v>13</v>
      </c>
      <c r="F681" s="5" t="s">
        <v>14</v>
      </c>
      <c r="G681" s="5" t="s">
        <v>15</v>
      </c>
      <c r="H681" s="5">
        <v>184333</v>
      </c>
      <c r="I681" s="5">
        <v>3533</v>
      </c>
      <c r="J681" s="6">
        <f t="shared" si="10"/>
        <v>180800</v>
      </c>
    </row>
    <row r="682" spans="1:10">
      <c r="A682" s="5">
        <v>50413</v>
      </c>
      <c r="B682" s="5" t="s">
        <v>16</v>
      </c>
      <c r="C682" s="5" t="s">
        <v>35</v>
      </c>
      <c r="D682" s="5" t="s">
        <v>30</v>
      </c>
      <c r="E682" s="5" t="s">
        <v>13</v>
      </c>
      <c r="F682" s="5" t="s">
        <v>14</v>
      </c>
      <c r="G682" s="5" t="s">
        <v>15</v>
      </c>
      <c r="H682" s="5">
        <v>53904</v>
      </c>
      <c r="I682" s="5">
        <v>1732</v>
      </c>
      <c r="J682" s="6">
        <f t="shared" si="10"/>
        <v>52172</v>
      </c>
    </row>
    <row r="683" spans="1:10">
      <c r="A683" s="5">
        <v>210414</v>
      </c>
      <c r="B683" s="5" t="s">
        <v>10</v>
      </c>
      <c r="C683" s="5" t="s">
        <v>37</v>
      </c>
      <c r="D683" s="5" t="s">
        <v>29</v>
      </c>
      <c r="E683" s="5" t="s">
        <v>19</v>
      </c>
      <c r="F683" s="5" t="s">
        <v>14</v>
      </c>
      <c r="G683" s="5" t="s">
        <v>15</v>
      </c>
      <c r="H683" s="5">
        <v>175129</v>
      </c>
      <c r="I683" s="5">
        <v>326</v>
      </c>
      <c r="J683" s="6">
        <f t="shared" si="10"/>
        <v>174803</v>
      </c>
    </row>
    <row r="684" spans="1:10">
      <c r="A684" s="5">
        <v>93194</v>
      </c>
      <c r="B684" s="5" t="s">
        <v>10</v>
      </c>
      <c r="C684" s="5" t="s">
        <v>20</v>
      </c>
      <c r="D684" s="5" t="s">
        <v>21</v>
      </c>
      <c r="E684" s="5" t="s">
        <v>13</v>
      </c>
      <c r="F684" s="5" t="s">
        <v>14</v>
      </c>
      <c r="G684" s="5" t="s">
        <v>15</v>
      </c>
      <c r="H684" s="5">
        <v>25284</v>
      </c>
      <c r="I684" s="5">
        <v>10570</v>
      </c>
      <c r="J684" s="6">
        <f t="shared" si="10"/>
        <v>14714</v>
      </c>
    </row>
    <row r="685" spans="1:10">
      <c r="A685" s="5">
        <v>200380</v>
      </c>
      <c r="B685" s="5" t="s">
        <v>10</v>
      </c>
      <c r="C685" s="5" t="s">
        <v>37</v>
      </c>
      <c r="D685" s="5" t="s">
        <v>30</v>
      </c>
      <c r="E685" s="5" t="s">
        <v>13</v>
      </c>
      <c r="F685" s="5" t="s">
        <v>14</v>
      </c>
      <c r="G685" s="5" t="s">
        <v>15</v>
      </c>
      <c r="H685" s="5">
        <v>329651</v>
      </c>
      <c r="I685" s="5">
        <v>46867</v>
      </c>
      <c r="J685" s="6">
        <f t="shared" si="10"/>
        <v>282784</v>
      </c>
    </row>
    <row r="686" spans="1:10">
      <c r="A686" s="5">
        <v>9396</v>
      </c>
      <c r="B686" s="5" t="s">
        <v>10</v>
      </c>
      <c r="C686" s="5" t="s">
        <v>20</v>
      </c>
      <c r="D686" s="5" t="s">
        <v>32</v>
      </c>
      <c r="E686" s="5" t="s">
        <v>13</v>
      </c>
      <c r="F686" s="5" t="s">
        <v>14</v>
      </c>
      <c r="G686" s="5" t="s">
        <v>15</v>
      </c>
      <c r="H686" s="5">
        <v>23983</v>
      </c>
      <c r="I686" s="5">
        <v>832</v>
      </c>
      <c r="J686" s="6">
        <f t="shared" si="10"/>
        <v>23151</v>
      </c>
    </row>
    <row r="687" spans="1:10">
      <c r="A687" s="5">
        <v>32871</v>
      </c>
      <c r="B687" s="5" t="s">
        <v>10</v>
      </c>
      <c r="C687" s="5" t="s">
        <v>35</v>
      </c>
      <c r="D687" s="5" t="s">
        <v>30</v>
      </c>
      <c r="E687" s="5" t="s">
        <v>19</v>
      </c>
      <c r="F687" s="5" t="s">
        <v>14</v>
      </c>
      <c r="G687" s="5" t="s">
        <v>24</v>
      </c>
      <c r="H687" s="5">
        <v>79165</v>
      </c>
      <c r="I687" s="5">
        <v>6037</v>
      </c>
      <c r="J687" s="6">
        <f t="shared" si="10"/>
        <v>73128</v>
      </c>
    </row>
    <row r="688" spans="1:10">
      <c r="A688" s="5">
        <v>199881</v>
      </c>
      <c r="B688" s="5" t="s">
        <v>10</v>
      </c>
      <c r="C688" s="5" t="s">
        <v>37</v>
      </c>
      <c r="D688" s="5" t="s">
        <v>36</v>
      </c>
      <c r="E688" s="5" t="s">
        <v>13</v>
      </c>
      <c r="F688" s="5" t="s">
        <v>14</v>
      </c>
      <c r="G688" s="5" t="s">
        <v>15</v>
      </c>
      <c r="H688" s="5">
        <v>92935</v>
      </c>
      <c r="I688" s="5">
        <v>1255</v>
      </c>
      <c r="J688" s="6">
        <f t="shared" si="10"/>
        <v>91680</v>
      </c>
    </row>
    <row r="689" spans="1:10">
      <c r="A689" s="5">
        <v>252786</v>
      </c>
      <c r="B689" s="5" t="s">
        <v>16</v>
      </c>
      <c r="C689" s="5" t="s">
        <v>17</v>
      </c>
      <c r="D689" s="5" t="s">
        <v>32</v>
      </c>
      <c r="E689" s="5" t="s">
        <v>13</v>
      </c>
      <c r="F689" s="5" t="s">
        <v>14</v>
      </c>
      <c r="G689" s="5" t="s">
        <v>24</v>
      </c>
      <c r="H689" s="5">
        <v>5023</v>
      </c>
      <c r="I689" s="5">
        <v>0</v>
      </c>
      <c r="J689" s="6">
        <f t="shared" si="10"/>
        <v>5023</v>
      </c>
    </row>
    <row r="690" spans="1:10">
      <c r="A690" s="5">
        <v>82555</v>
      </c>
      <c r="B690" s="5" t="s">
        <v>16</v>
      </c>
      <c r="C690" s="5" t="s">
        <v>34</v>
      </c>
      <c r="D690" s="5" t="s">
        <v>18</v>
      </c>
      <c r="E690" s="5" t="s">
        <v>19</v>
      </c>
      <c r="F690" s="5" t="s">
        <v>28</v>
      </c>
      <c r="G690" s="5" t="s">
        <v>24</v>
      </c>
      <c r="H690" s="5">
        <v>40466</v>
      </c>
      <c r="I690" s="5">
        <v>795</v>
      </c>
      <c r="J690" s="6">
        <f t="shared" si="10"/>
        <v>39671</v>
      </c>
    </row>
    <row r="691" spans="1:10">
      <c r="A691" s="5">
        <v>7284</v>
      </c>
      <c r="B691" s="5" t="s">
        <v>16</v>
      </c>
      <c r="C691" s="5" t="s">
        <v>38</v>
      </c>
      <c r="D691" s="5" t="s">
        <v>32</v>
      </c>
      <c r="E691" s="5" t="s">
        <v>19</v>
      </c>
      <c r="F691" s="5" t="s">
        <v>28</v>
      </c>
      <c r="G691" s="5" t="s">
        <v>24</v>
      </c>
      <c r="H691" s="5">
        <v>560</v>
      </c>
      <c r="I691" s="5">
        <v>0</v>
      </c>
      <c r="J691" s="6">
        <f t="shared" si="10"/>
        <v>560</v>
      </c>
    </row>
    <row r="692" spans="1:10">
      <c r="A692" s="5">
        <v>151875</v>
      </c>
      <c r="B692" s="5" t="s">
        <v>10</v>
      </c>
      <c r="C692" s="5" t="s">
        <v>22</v>
      </c>
      <c r="D692" s="5" t="s">
        <v>26</v>
      </c>
      <c r="E692" s="5" t="s">
        <v>13</v>
      </c>
      <c r="F692" s="5" t="s">
        <v>28</v>
      </c>
      <c r="G692" s="5" t="s">
        <v>24</v>
      </c>
      <c r="H692" s="5">
        <v>79168</v>
      </c>
      <c r="I692" s="5">
        <v>1895</v>
      </c>
      <c r="J692" s="6">
        <f t="shared" si="10"/>
        <v>77273</v>
      </c>
    </row>
    <row r="693" spans="1:10">
      <c r="A693" s="5">
        <v>89513</v>
      </c>
      <c r="B693" s="5" t="s">
        <v>10</v>
      </c>
      <c r="C693" s="5" t="s">
        <v>38</v>
      </c>
      <c r="D693" s="5" t="s">
        <v>32</v>
      </c>
      <c r="E693" s="5" t="s">
        <v>19</v>
      </c>
      <c r="F693" s="5" t="s">
        <v>28</v>
      </c>
      <c r="G693" s="5" t="s">
        <v>24</v>
      </c>
      <c r="H693" s="5">
        <v>19087</v>
      </c>
      <c r="I693" s="5">
        <v>0</v>
      </c>
      <c r="J693" s="6">
        <f t="shared" si="10"/>
        <v>19087</v>
      </c>
    </row>
    <row r="694" spans="1:10">
      <c r="A694" s="5">
        <v>235265</v>
      </c>
      <c r="B694" s="5" t="s">
        <v>10</v>
      </c>
      <c r="C694" s="5" t="s">
        <v>17</v>
      </c>
      <c r="D694" s="5" t="s">
        <v>23</v>
      </c>
      <c r="E694" s="5" t="s">
        <v>13</v>
      </c>
      <c r="F694" s="5" t="s">
        <v>14</v>
      </c>
      <c r="G694" s="5" t="s">
        <v>15</v>
      </c>
      <c r="H694" s="5">
        <v>43712</v>
      </c>
      <c r="I694" s="5">
        <v>538</v>
      </c>
      <c r="J694" s="6">
        <f t="shared" si="10"/>
        <v>43174</v>
      </c>
    </row>
    <row r="695" spans="1:10">
      <c r="A695" s="5">
        <v>161513</v>
      </c>
      <c r="B695" s="5" t="s">
        <v>10</v>
      </c>
      <c r="C695" s="5" t="s">
        <v>25</v>
      </c>
      <c r="D695" s="5" t="s">
        <v>30</v>
      </c>
      <c r="E695" s="5" t="s">
        <v>13</v>
      </c>
      <c r="F695" s="5" t="s">
        <v>28</v>
      </c>
      <c r="G695" s="5" t="s">
        <v>15</v>
      </c>
      <c r="H695" s="5">
        <v>24109</v>
      </c>
      <c r="I695" s="5">
        <v>2931</v>
      </c>
      <c r="J695" s="6">
        <f t="shared" si="10"/>
        <v>21178</v>
      </c>
    </row>
    <row r="696" spans="1:10">
      <c r="A696" s="5">
        <v>193943</v>
      </c>
      <c r="B696" s="5" t="s">
        <v>16</v>
      </c>
      <c r="C696" s="5" t="s">
        <v>11</v>
      </c>
      <c r="D696" s="5" t="s">
        <v>33</v>
      </c>
      <c r="E696" s="5" t="s">
        <v>19</v>
      </c>
      <c r="F696" s="5" t="s">
        <v>28</v>
      </c>
      <c r="G696" s="5" t="s">
        <v>15</v>
      </c>
      <c r="H696" s="5">
        <v>74283</v>
      </c>
      <c r="I696" s="5">
        <v>552</v>
      </c>
      <c r="J696" s="6">
        <f t="shared" si="10"/>
        <v>73731</v>
      </c>
    </row>
    <row r="697" spans="1:10">
      <c r="A697" s="5">
        <v>147549</v>
      </c>
      <c r="B697" s="5" t="s">
        <v>10</v>
      </c>
      <c r="C697" s="5" t="s">
        <v>31</v>
      </c>
      <c r="D697" s="5" t="s">
        <v>23</v>
      </c>
      <c r="E697" s="5" t="s">
        <v>19</v>
      </c>
      <c r="F697" s="5" t="s">
        <v>28</v>
      </c>
      <c r="G697" s="5" t="s">
        <v>24</v>
      </c>
      <c r="H697" s="5">
        <v>27072</v>
      </c>
      <c r="I697" s="5">
        <v>661</v>
      </c>
      <c r="J697" s="6">
        <f t="shared" si="10"/>
        <v>26411</v>
      </c>
    </row>
    <row r="698" spans="1:10">
      <c r="A698" s="5">
        <v>130304</v>
      </c>
      <c r="B698" s="5" t="s">
        <v>16</v>
      </c>
      <c r="C698" s="5" t="s">
        <v>22</v>
      </c>
      <c r="D698" s="5" t="s">
        <v>36</v>
      </c>
      <c r="E698" s="5" t="s">
        <v>19</v>
      </c>
      <c r="F698" s="5" t="s">
        <v>14</v>
      </c>
      <c r="G698" s="5" t="s">
        <v>24</v>
      </c>
      <c r="H698" s="5">
        <v>29568</v>
      </c>
      <c r="I698" s="5">
        <v>614</v>
      </c>
      <c r="J698" s="6">
        <f t="shared" si="10"/>
        <v>28954</v>
      </c>
    </row>
    <row r="699" spans="1:10">
      <c r="A699" s="5">
        <v>24753</v>
      </c>
      <c r="B699" s="5" t="s">
        <v>10</v>
      </c>
      <c r="C699" s="5" t="s">
        <v>11</v>
      </c>
      <c r="D699" s="5" t="s">
        <v>23</v>
      </c>
      <c r="E699" s="5" t="s">
        <v>13</v>
      </c>
      <c r="F699" s="5" t="s">
        <v>14</v>
      </c>
      <c r="G699" s="5" t="s">
        <v>15</v>
      </c>
      <c r="H699" s="5">
        <v>72248</v>
      </c>
      <c r="I699" s="5">
        <v>1331</v>
      </c>
      <c r="J699" s="6">
        <f t="shared" si="10"/>
        <v>70917</v>
      </c>
    </row>
    <row r="700" spans="1:10">
      <c r="A700" s="5">
        <v>112634</v>
      </c>
      <c r="B700" s="5" t="s">
        <v>10</v>
      </c>
      <c r="C700" s="5" t="s">
        <v>27</v>
      </c>
      <c r="D700" s="5" t="s">
        <v>23</v>
      </c>
      <c r="E700" s="5" t="s">
        <v>13</v>
      </c>
      <c r="F700" s="5" t="s">
        <v>14</v>
      </c>
      <c r="G700" s="5" t="s">
        <v>24</v>
      </c>
      <c r="H700" s="5">
        <v>124770</v>
      </c>
      <c r="I700" s="5">
        <v>26221</v>
      </c>
      <c r="J700" s="6">
        <f t="shared" si="10"/>
        <v>98549</v>
      </c>
    </row>
    <row r="701" spans="1:10">
      <c r="A701" s="5">
        <v>244553</v>
      </c>
      <c r="B701" s="5" t="s">
        <v>16</v>
      </c>
      <c r="C701" s="5" t="s">
        <v>17</v>
      </c>
      <c r="D701" s="5" t="s">
        <v>12</v>
      </c>
      <c r="E701" s="5" t="s">
        <v>19</v>
      </c>
      <c r="F701" s="5" t="s">
        <v>14</v>
      </c>
      <c r="G701" s="5" t="s">
        <v>24</v>
      </c>
      <c r="H701" s="5">
        <v>31481</v>
      </c>
      <c r="I701" s="5">
        <v>1182</v>
      </c>
      <c r="J701" s="6">
        <f t="shared" si="10"/>
        <v>30299</v>
      </c>
    </row>
    <row r="702" spans="1:10">
      <c r="A702" s="5">
        <v>39252</v>
      </c>
      <c r="B702" s="5" t="s">
        <v>16</v>
      </c>
      <c r="C702" s="5" t="s">
        <v>37</v>
      </c>
      <c r="D702" s="5" t="s">
        <v>33</v>
      </c>
      <c r="E702" s="5" t="s">
        <v>13</v>
      </c>
      <c r="F702" s="5" t="s">
        <v>28</v>
      </c>
      <c r="G702" s="5" t="s">
        <v>15</v>
      </c>
      <c r="H702" s="5">
        <v>71534</v>
      </c>
      <c r="I702" s="5">
        <v>1001</v>
      </c>
      <c r="J702" s="6">
        <f t="shared" si="10"/>
        <v>70533</v>
      </c>
    </row>
    <row r="703" spans="1:10">
      <c r="A703" s="5">
        <v>36295</v>
      </c>
      <c r="B703" s="5" t="s">
        <v>16</v>
      </c>
      <c r="C703" s="5" t="s">
        <v>11</v>
      </c>
      <c r="D703" s="5" t="s">
        <v>33</v>
      </c>
      <c r="E703" s="5" t="s">
        <v>13</v>
      </c>
      <c r="F703" s="5" t="s">
        <v>14</v>
      </c>
      <c r="G703" s="5" t="s">
        <v>24</v>
      </c>
      <c r="H703" s="5">
        <v>55183</v>
      </c>
      <c r="I703" s="5">
        <v>520</v>
      </c>
      <c r="J703" s="6">
        <f t="shared" si="10"/>
        <v>54663</v>
      </c>
    </row>
    <row r="704" spans="1:10">
      <c r="A704" s="5">
        <v>5787</v>
      </c>
      <c r="B704" s="5" t="s">
        <v>10</v>
      </c>
      <c r="C704" s="5" t="s">
        <v>38</v>
      </c>
      <c r="D704" s="5" t="s">
        <v>12</v>
      </c>
      <c r="E704" s="5" t="s">
        <v>13</v>
      </c>
      <c r="F704" s="5" t="s">
        <v>14</v>
      </c>
      <c r="G704" s="5" t="s">
        <v>15</v>
      </c>
      <c r="H704" s="5">
        <v>403365</v>
      </c>
      <c r="I704" s="5">
        <v>7349</v>
      </c>
      <c r="J704" s="6">
        <f t="shared" si="10"/>
        <v>396016</v>
      </c>
    </row>
    <row r="705" spans="1:10">
      <c r="A705" s="5">
        <v>24663</v>
      </c>
      <c r="B705" s="5" t="s">
        <v>10</v>
      </c>
      <c r="C705" s="5" t="s">
        <v>11</v>
      </c>
      <c r="D705" s="5" t="s">
        <v>26</v>
      </c>
      <c r="E705" s="5" t="s">
        <v>13</v>
      </c>
      <c r="F705" s="5" t="s">
        <v>14</v>
      </c>
      <c r="G705" s="5" t="s">
        <v>24</v>
      </c>
      <c r="H705" s="5">
        <v>161394</v>
      </c>
      <c r="I705" s="5">
        <v>4678</v>
      </c>
      <c r="J705" s="6">
        <f t="shared" si="10"/>
        <v>156716</v>
      </c>
    </row>
    <row r="706" spans="1:10">
      <c r="A706" s="5">
        <v>62368</v>
      </c>
      <c r="B706" s="5" t="s">
        <v>16</v>
      </c>
      <c r="C706" s="5" t="s">
        <v>38</v>
      </c>
      <c r="D706" s="5" t="s">
        <v>32</v>
      </c>
      <c r="E706" s="5" t="s">
        <v>13</v>
      </c>
      <c r="F706" s="5" t="s">
        <v>14</v>
      </c>
      <c r="G706" s="5" t="s">
        <v>15</v>
      </c>
      <c r="H706" s="5">
        <v>26245</v>
      </c>
      <c r="I706" s="5">
        <v>1489</v>
      </c>
      <c r="J706" s="6">
        <f t="shared" ref="J706:J769" si="11">H706-I706</f>
        <v>24756</v>
      </c>
    </row>
    <row r="707" spans="1:10">
      <c r="A707" s="5">
        <v>49875</v>
      </c>
      <c r="B707" s="5" t="s">
        <v>10</v>
      </c>
      <c r="C707" s="5" t="s">
        <v>35</v>
      </c>
      <c r="D707" s="5" t="s">
        <v>30</v>
      </c>
      <c r="E707" s="5" t="s">
        <v>13</v>
      </c>
      <c r="F707" s="5" t="s">
        <v>14</v>
      </c>
      <c r="G707" s="5" t="s">
        <v>15</v>
      </c>
      <c r="H707" s="5">
        <v>308731</v>
      </c>
      <c r="I707" s="5">
        <v>4609</v>
      </c>
      <c r="J707" s="6">
        <f t="shared" si="11"/>
        <v>304122</v>
      </c>
    </row>
    <row r="708" spans="1:10">
      <c r="A708" s="5">
        <v>235271</v>
      </c>
      <c r="B708" s="5" t="s">
        <v>10</v>
      </c>
      <c r="C708" s="5" t="s">
        <v>17</v>
      </c>
      <c r="D708" s="5" t="s">
        <v>21</v>
      </c>
      <c r="E708" s="5" t="s">
        <v>13</v>
      </c>
      <c r="F708" s="5" t="s">
        <v>14</v>
      </c>
      <c r="G708" s="5" t="s">
        <v>24</v>
      </c>
      <c r="H708" s="5">
        <v>77110</v>
      </c>
      <c r="I708" s="5">
        <v>6523</v>
      </c>
      <c r="J708" s="6">
        <f t="shared" si="11"/>
        <v>70587</v>
      </c>
    </row>
    <row r="709" spans="1:10">
      <c r="A709" s="5">
        <v>229718</v>
      </c>
      <c r="B709" s="5" t="s">
        <v>10</v>
      </c>
      <c r="C709" s="5" t="s">
        <v>25</v>
      </c>
      <c r="D709" s="5" t="s">
        <v>29</v>
      </c>
      <c r="E709" s="5" t="s">
        <v>13</v>
      </c>
      <c r="F709" s="5" t="s">
        <v>14</v>
      </c>
      <c r="G709" s="5" t="s">
        <v>15</v>
      </c>
      <c r="H709" s="5">
        <v>142769</v>
      </c>
      <c r="I709" s="5">
        <v>3344</v>
      </c>
      <c r="J709" s="6">
        <f t="shared" si="11"/>
        <v>139425</v>
      </c>
    </row>
    <row r="710" spans="1:10">
      <c r="A710" s="5">
        <v>249239</v>
      </c>
      <c r="B710" s="5" t="s">
        <v>10</v>
      </c>
      <c r="C710" s="5" t="s">
        <v>17</v>
      </c>
      <c r="D710" s="5" t="s">
        <v>33</v>
      </c>
      <c r="E710" s="5" t="s">
        <v>19</v>
      </c>
      <c r="F710" s="5" t="s">
        <v>28</v>
      </c>
      <c r="G710" s="5" t="s">
        <v>15</v>
      </c>
      <c r="H710" s="5">
        <v>39258</v>
      </c>
      <c r="I710" s="5">
        <v>0</v>
      </c>
      <c r="J710" s="6">
        <f t="shared" si="11"/>
        <v>39258</v>
      </c>
    </row>
    <row r="711" spans="1:10">
      <c r="A711" s="5">
        <v>238766</v>
      </c>
      <c r="B711" s="5" t="s">
        <v>10</v>
      </c>
      <c r="C711" s="5" t="s">
        <v>17</v>
      </c>
      <c r="D711" s="5" t="s">
        <v>23</v>
      </c>
      <c r="E711" s="5" t="s">
        <v>19</v>
      </c>
      <c r="F711" s="5" t="s">
        <v>14</v>
      </c>
      <c r="G711" s="5" t="s">
        <v>24</v>
      </c>
      <c r="H711" s="5">
        <v>25625</v>
      </c>
      <c r="I711" s="5">
        <v>337</v>
      </c>
      <c r="J711" s="6">
        <f t="shared" si="11"/>
        <v>25288</v>
      </c>
    </row>
    <row r="712" spans="1:10">
      <c r="A712" s="5">
        <v>6340</v>
      </c>
      <c r="B712" s="5" t="s">
        <v>10</v>
      </c>
      <c r="C712" s="5" t="s">
        <v>39</v>
      </c>
      <c r="D712" s="5" t="s">
        <v>33</v>
      </c>
      <c r="E712" s="5" t="s">
        <v>13</v>
      </c>
      <c r="F712" s="5" t="s">
        <v>14</v>
      </c>
      <c r="G712" s="5" t="s">
        <v>15</v>
      </c>
      <c r="H712" s="5">
        <v>74710</v>
      </c>
      <c r="I712" s="5">
        <v>8333</v>
      </c>
      <c r="J712" s="6">
        <f t="shared" si="11"/>
        <v>66377</v>
      </c>
    </row>
    <row r="713" spans="1:10">
      <c r="A713" s="5">
        <v>151973</v>
      </c>
      <c r="B713" s="5" t="s">
        <v>16</v>
      </c>
      <c r="C713" s="5" t="s">
        <v>22</v>
      </c>
      <c r="D713" s="5" t="s">
        <v>30</v>
      </c>
      <c r="E713" s="5" t="s">
        <v>13</v>
      </c>
      <c r="F713" s="5" t="s">
        <v>14</v>
      </c>
      <c r="G713" s="5" t="s">
        <v>15</v>
      </c>
      <c r="H713" s="5">
        <v>18458</v>
      </c>
      <c r="I713" s="5">
        <v>343</v>
      </c>
      <c r="J713" s="6">
        <f t="shared" si="11"/>
        <v>18115</v>
      </c>
    </row>
    <row r="714" spans="1:10">
      <c r="A714" s="5">
        <v>141007</v>
      </c>
      <c r="B714" s="5" t="s">
        <v>10</v>
      </c>
      <c r="C714" s="5" t="s">
        <v>17</v>
      </c>
      <c r="D714" s="5" t="s">
        <v>18</v>
      </c>
      <c r="E714" s="5" t="s">
        <v>19</v>
      </c>
      <c r="F714" s="5" t="s">
        <v>14</v>
      </c>
      <c r="G714" s="5" t="s">
        <v>24</v>
      </c>
      <c r="H714" s="5">
        <v>63024</v>
      </c>
      <c r="I714" s="5">
        <v>482</v>
      </c>
      <c r="J714" s="6">
        <f t="shared" si="11"/>
        <v>62542</v>
      </c>
    </row>
    <row r="715" spans="1:10">
      <c r="A715" s="5">
        <v>154205</v>
      </c>
      <c r="B715" s="5" t="s">
        <v>10</v>
      </c>
      <c r="C715" s="5" t="s">
        <v>22</v>
      </c>
      <c r="D715" s="5" t="s">
        <v>30</v>
      </c>
      <c r="E715" s="5" t="s">
        <v>13</v>
      </c>
      <c r="F715" s="5" t="s">
        <v>28</v>
      </c>
      <c r="G715" s="5" t="s">
        <v>15</v>
      </c>
      <c r="H715" s="5">
        <v>82987</v>
      </c>
      <c r="I715" s="5">
        <v>2399</v>
      </c>
      <c r="J715" s="6">
        <f t="shared" si="11"/>
        <v>80588</v>
      </c>
    </row>
    <row r="716" spans="1:10">
      <c r="A716" s="5">
        <v>15878</v>
      </c>
      <c r="B716" s="5" t="s">
        <v>10</v>
      </c>
      <c r="C716" s="5" t="s">
        <v>11</v>
      </c>
      <c r="D716" s="5" t="s">
        <v>30</v>
      </c>
      <c r="E716" s="5" t="s">
        <v>13</v>
      </c>
      <c r="F716" s="5" t="s">
        <v>14</v>
      </c>
      <c r="G716" s="5" t="s">
        <v>15</v>
      </c>
      <c r="H716" s="5">
        <v>47465</v>
      </c>
      <c r="I716" s="5">
        <v>2527</v>
      </c>
      <c r="J716" s="6">
        <f t="shared" si="11"/>
        <v>44938</v>
      </c>
    </row>
    <row r="717" spans="1:10">
      <c r="A717" s="5">
        <v>159237</v>
      </c>
      <c r="B717" s="5" t="s">
        <v>16</v>
      </c>
      <c r="C717" s="5" t="s">
        <v>34</v>
      </c>
      <c r="D717" s="5" t="s">
        <v>29</v>
      </c>
      <c r="E717" s="5" t="s">
        <v>19</v>
      </c>
      <c r="F717" s="5" t="s">
        <v>14</v>
      </c>
      <c r="G717" s="5" t="s">
        <v>24</v>
      </c>
      <c r="H717" s="5">
        <v>29069</v>
      </c>
      <c r="I717" s="5">
        <v>2047</v>
      </c>
      <c r="J717" s="6">
        <f t="shared" si="11"/>
        <v>27022</v>
      </c>
    </row>
    <row r="718" spans="1:10">
      <c r="A718" s="5">
        <v>125591</v>
      </c>
      <c r="B718" s="5" t="s">
        <v>16</v>
      </c>
      <c r="C718" s="5" t="s">
        <v>17</v>
      </c>
      <c r="D718" s="5" t="s">
        <v>33</v>
      </c>
      <c r="E718" s="5" t="s">
        <v>19</v>
      </c>
      <c r="F718" s="5" t="s">
        <v>28</v>
      </c>
      <c r="G718" s="5" t="s">
        <v>24</v>
      </c>
      <c r="H718" s="5">
        <v>34294</v>
      </c>
      <c r="I718" s="5">
        <v>1076</v>
      </c>
      <c r="J718" s="6">
        <f t="shared" si="11"/>
        <v>33218</v>
      </c>
    </row>
    <row r="719" spans="1:10">
      <c r="A719" s="5">
        <v>17386</v>
      </c>
      <c r="B719" s="5" t="s">
        <v>16</v>
      </c>
      <c r="C719" s="5" t="s">
        <v>34</v>
      </c>
      <c r="D719" s="5" t="s">
        <v>36</v>
      </c>
      <c r="E719" s="5" t="s">
        <v>13</v>
      </c>
      <c r="F719" s="5" t="s">
        <v>14</v>
      </c>
      <c r="G719" s="5" t="s">
        <v>15</v>
      </c>
      <c r="H719" s="5">
        <v>30106</v>
      </c>
      <c r="I719" s="5">
        <v>1183</v>
      </c>
      <c r="J719" s="6">
        <f t="shared" si="11"/>
        <v>28923</v>
      </c>
    </row>
    <row r="720" spans="1:10">
      <c r="A720" s="5">
        <v>27609</v>
      </c>
      <c r="B720" s="5" t="s">
        <v>10</v>
      </c>
      <c r="C720" s="5" t="s">
        <v>11</v>
      </c>
      <c r="D720" s="5" t="s">
        <v>23</v>
      </c>
      <c r="E720" s="5" t="s">
        <v>19</v>
      </c>
      <c r="F720" s="5" t="s">
        <v>14</v>
      </c>
      <c r="G720" s="5" t="s">
        <v>24</v>
      </c>
      <c r="H720" s="5">
        <v>12363</v>
      </c>
      <c r="I720" s="5">
        <v>168</v>
      </c>
      <c r="J720" s="6">
        <f t="shared" si="11"/>
        <v>12195</v>
      </c>
    </row>
    <row r="721" spans="1:10">
      <c r="A721" s="5">
        <v>176077</v>
      </c>
      <c r="B721" s="5" t="s">
        <v>10</v>
      </c>
      <c r="C721" s="5" t="s">
        <v>22</v>
      </c>
      <c r="D721" s="5" t="s">
        <v>12</v>
      </c>
      <c r="E721" s="5" t="s">
        <v>19</v>
      </c>
      <c r="F721" s="5" t="s">
        <v>14</v>
      </c>
      <c r="G721" s="5" t="s">
        <v>15</v>
      </c>
      <c r="H721" s="5">
        <v>37747</v>
      </c>
      <c r="I721" s="5">
        <v>3058</v>
      </c>
      <c r="J721" s="6">
        <f t="shared" si="11"/>
        <v>34689</v>
      </c>
    </row>
    <row r="722" spans="1:10">
      <c r="A722" s="5">
        <v>251449</v>
      </c>
      <c r="B722" s="5" t="s">
        <v>10</v>
      </c>
      <c r="C722" s="5" t="s">
        <v>17</v>
      </c>
      <c r="D722" s="5" t="s">
        <v>29</v>
      </c>
      <c r="E722" s="5" t="s">
        <v>19</v>
      </c>
      <c r="F722" s="5" t="s">
        <v>28</v>
      </c>
      <c r="G722" s="5" t="s">
        <v>24</v>
      </c>
      <c r="H722" s="5">
        <v>36272</v>
      </c>
      <c r="I722" s="5">
        <v>507</v>
      </c>
      <c r="J722" s="6">
        <f t="shared" si="11"/>
        <v>35765</v>
      </c>
    </row>
    <row r="723" spans="1:10">
      <c r="A723" s="5">
        <v>71684</v>
      </c>
      <c r="B723" s="5" t="s">
        <v>16</v>
      </c>
      <c r="C723" s="5" t="s">
        <v>11</v>
      </c>
      <c r="D723" s="5" t="s">
        <v>33</v>
      </c>
      <c r="E723" s="5" t="s">
        <v>13</v>
      </c>
      <c r="F723" s="5" t="s">
        <v>28</v>
      </c>
      <c r="G723" s="5" t="s">
        <v>15</v>
      </c>
      <c r="H723" s="5">
        <v>15685</v>
      </c>
      <c r="I723" s="5">
        <v>55</v>
      </c>
      <c r="J723" s="6">
        <f t="shared" si="11"/>
        <v>15630</v>
      </c>
    </row>
    <row r="724" spans="1:10">
      <c r="A724" s="5">
        <v>213900</v>
      </c>
      <c r="B724" s="5" t="s">
        <v>10</v>
      </c>
      <c r="C724" s="5" t="s">
        <v>11</v>
      </c>
      <c r="D724" s="5" t="s">
        <v>23</v>
      </c>
      <c r="E724" s="5" t="s">
        <v>13</v>
      </c>
      <c r="F724" s="5" t="s">
        <v>14</v>
      </c>
      <c r="G724" s="5" t="s">
        <v>15</v>
      </c>
      <c r="H724" s="5">
        <v>179410</v>
      </c>
      <c r="I724" s="5">
        <v>3116</v>
      </c>
      <c r="J724" s="6">
        <f t="shared" si="11"/>
        <v>176294</v>
      </c>
    </row>
    <row r="725" spans="1:10">
      <c r="A725" s="5">
        <v>63932</v>
      </c>
      <c r="B725" s="5" t="s">
        <v>10</v>
      </c>
      <c r="C725" s="5" t="s">
        <v>27</v>
      </c>
      <c r="D725" s="5" t="s">
        <v>29</v>
      </c>
      <c r="E725" s="5" t="s">
        <v>13</v>
      </c>
      <c r="F725" s="5" t="s">
        <v>14</v>
      </c>
      <c r="G725" s="5" t="s">
        <v>15</v>
      </c>
      <c r="H725" s="5">
        <v>84562</v>
      </c>
      <c r="I725" s="5">
        <v>6401</v>
      </c>
      <c r="J725" s="6">
        <f t="shared" si="11"/>
        <v>78161</v>
      </c>
    </row>
    <row r="726" spans="1:10">
      <c r="A726" s="5">
        <v>199294</v>
      </c>
      <c r="B726" s="5" t="s">
        <v>16</v>
      </c>
      <c r="C726" s="5" t="s">
        <v>39</v>
      </c>
      <c r="D726" s="5" t="s">
        <v>32</v>
      </c>
      <c r="E726" s="5" t="s">
        <v>13</v>
      </c>
      <c r="F726" s="5" t="s">
        <v>14</v>
      </c>
      <c r="G726" s="5" t="s">
        <v>15</v>
      </c>
      <c r="H726" s="5">
        <v>33852</v>
      </c>
      <c r="I726" s="5">
        <v>528</v>
      </c>
      <c r="J726" s="6">
        <f t="shared" si="11"/>
        <v>33324</v>
      </c>
    </row>
    <row r="727" spans="1:10">
      <c r="A727" s="5">
        <v>72731</v>
      </c>
      <c r="B727" s="5" t="s">
        <v>10</v>
      </c>
      <c r="C727" s="5" t="s">
        <v>27</v>
      </c>
      <c r="D727" s="5" t="s">
        <v>23</v>
      </c>
      <c r="E727" s="5" t="s">
        <v>13</v>
      </c>
      <c r="F727" s="5" t="s">
        <v>14</v>
      </c>
      <c r="G727" s="5" t="s">
        <v>24</v>
      </c>
      <c r="H727" s="5">
        <v>41819</v>
      </c>
      <c r="I727" s="5">
        <v>1012</v>
      </c>
      <c r="J727" s="6">
        <f t="shared" si="11"/>
        <v>40807</v>
      </c>
    </row>
    <row r="728" spans="1:10">
      <c r="A728" s="5">
        <v>99834</v>
      </c>
      <c r="B728" s="5" t="s">
        <v>16</v>
      </c>
      <c r="C728" s="5" t="s">
        <v>34</v>
      </c>
      <c r="D728" s="5" t="s">
        <v>36</v>
      </c>
      <c r="E728" s="5" t="s">
        <v>19</v>
      </c>
      <c r="F728" s="5" t="s">
        <v>14</v>
      </c>
      <c r="G728" s="5" t="s">
        <v>24</v>
      </c>
      <c r="H728" s="5">
        <v>38434</v>
      </c>
      <c r="I728" s="5">
        <v>317</v>
      </c>
      <c r="J728" s="6">
        <f t="shared" si="11"/>
        <v>38117</v>
      </c>
    </row>
    <row r="729" spans="1:10">
      <c r="A729" s="5">
        <v>161786</v>
      </c>
      <c r="B729" s="5" t="s">
        <v>16</v>
      </c>
      <c r="C729" s="5" t="s">
        <v>25</v>
      </c>
      <c r="D729" s="5" t="s">
        <v>30</v>
      </c>
      <c r="E729" s="5" t="s">
        <v>13</v>
      </c>
      <c r="F729" s="5" t="s">
        <v>14</v>
      </c>
      <c r="G729" s="5" t="s">
        <v>24</v>
      </c>
      <c r="H729" s="5">
        <v>28082</v>
      </c>
      <c r="I729" s="5">
        <v>1764</v>
      </c>
      <c r="J729" s="6">
        <f t="shared" si="11"/>
        <v>26318</v>
      </c>
    </row>
    <row r="730" spans="1:10">
      <c r="A730" s="5">
        <v>95259</v>
      </c>
      <c r="B730" s="5" t="s">
        <v>16</v>
      </c>
      <c r="C730" s="5" t="s">
        <v>38</v>
      </c>
      <c r="D730" s="5" t="s">
        <v>33</v>
      </c>
      <c r="E730" s="5" t="s">
        <v>13</v>
      </c>
      <c r="F730" s="5" t="s">
        <v>14</v>
      </c>
      <c r="G730" s="5" t="s">
        <v>15</v>
      </c>
      <c r="H730" s="5">
        <v>23775</v>
      </c>
      <c r="I730" s="5">
        <v>833</v>
      </c>
      <c r="J730" s="6">
        <f t="shared" si="11"/>
        <v>22942</v>
      </c>
    </row>
    <row r="731" spans="1:10">
      <c r="A731" s="5">
        <v>178749</v>
      </c>
      <c r="B731" s="5" t="s">
        <v>16</v>
      </c>
      <c r="C731" s="5" t="s">
        <v>17</v>
      </c>
      <c r="D731" s="5" t="s">
        <v>33</v>
      </c>
      <c r="E731" s="5" t="s">
        <v>19</v>
      </c>
      <c r="F731" s="5" t="s">
        <v>28</v>
      </c>
      <c r="G731" s="5" t="s">
        <v>24</v>
      </c>
      <c r="H731" s="5">
        <v>21889</v>
      </c>
      <c r="I731" s="5">
        <v>0</v>
      </c>
      <c r="J731" s="6">
        <f t="shared" si="11"/>
        <v>21889</v>
      </c>
    </row>
    <row r="732" spans="1:10">
      <c r="A732" s="5">
        <v>34593</v>
      </c>
      <c r="B732" s="5" t="s">
        <v>10</v>
      </c>
      <c r="C732" s="5" t="s">
        <v>35</v>
      </c>
      <c r="D732" s="5" t="s">
        <v>30</v>
      </c>
      <c r="E732" s="5" t="s">
        <v>13</v>
      </c>
      <c r="F732" s="5" t="s">
        <v>28</v>
      </c>
      <c r="G732" s="5" t="s">
        <v>15</v>
      </c>
      <c r="H732" s="5">
        <v>102932</v>
      </c>
      <c r="I732" s="5">
        <v>3460</v>
      </c>
      <c r="J732" s="6">
        <f t="shared" si="11"/>
        <v>99472</v>
      </c>
    </row>
    <row r="733" spans="1:10">
      <c r="A733" s="5">
        <v>97724</v>
      </c>
      <c r="B733" s="5" t="s">
        <v>16</v>
      </c>
      <c r="C733" s="5" t="s">
        <v>34</v>
      </c>
      <c r="D733" s="5" t="s">
        <v>36</v>
      </c>
      <c r="E733" s="5" t="s">
        <v>13</v>
      </c>
      <c r="F733" s="5" t="s">
        <v>14</v>
      </c>
      <c r="G733" s="5" t="s">
        <v>24</v>
      </c>
      <c r="H733" s="5">
        <v>34074</v>
      </c>
      <c r="I733" s="5">
        <v>1060</v>
      </c>
      <c r="J733" s="6">
        <f t="shared" si="11"/>
        <v>33014</v>
      </c>
    </row>
    <row r="734" spans="1:10">
      <c r="A734" s="5">
        <v>95696</v>
      </c>
      <c r="B734" s="5" t="s">
        <v>16</v>
      </c>
      <c r="C734" s="5" t="s">
        <v>39</v>
      </c>
      <c r="D734" s="5" t="s">
        <v>32</v>
      </c>
      <c r="E734" s="5" t="s">
        <v>13</v>
      </c>
      <c r="F734" s="5" t="s">
        <v>14</v>
      </c>
      <c r="G734" s="5" t="s">
        <v>15</v>
      </c>
      <c r="H734" s="5">
        <v>83420</v>
      </c>
      <c r="I734" s="5">
        <v>2844</v>
      </c>
      <c r="J734" s="6">
        <f t="shared" si="11"/>
        <v>80576</v>
      </c>
    </row>
    <row r="735" spans="1:10">
      <c r="A735" s="5">
        <v>177538</v>
      </c>
      <c r="B735" s="5" t="s">
        <v>16</v>
      </c>
      <c r="C735" s="5" t="s">
        <v>25</v>
      </c>
      <c r="D735" s="5" t="s">
        <v>30</v>
      </c>
      <c r="E735" s="5" t="s">
        <v>19</v>
      </c>
      <c r="F735" s="5" t="s">
        <v>28</v>
      </c>
      <c r="G735" s="5" t="s">
        <v>15</v>
      </c>
      <c r="H735" s="5">
        <v>30531</v>
      </c>
      <c r="I735" s="5">
        <v>0</v>
      </c>
      <c r="J735" s="6">
        <f t="shared" si="11"/>
        <v>30531</v>
      </c>
    </row>
    <row r="736" spans="1:10">
      <c r="A736" s="5">
        <v>115505</v>
      </c>
      <c r="B736" s="5" t="s">
        <v>10</v>
      </c>
      <c r="C736" s="5" t="s">
        <v>25</v>
      </c>
      <c r="D736" s="5" t="s">
        <v>12</v>
      </c>
      <c r="E736" s="5" t="s">
        <v>19</v>
      </c>
      <c r="F736" s="5" t="s">
        <v>14</v>
      </c>
      <c r="G736" s="5" t="s">
        <v>15</v>
      </c>
      <c r="H736" s="5">
        <v>95614</v>
      </c>
      <c r="I736" s="5">
        <v>5867</v>
      </c>
      <c r="J736" s="6">
        <f t="shared" si="11"/>
        <v>89747</v>
      </c>
    </row>
    <row r="737" spans="1:10">
      <c r="A737" s="5">
        <v>109731</v>
      </c>
      <c r="B737" s="5" t="s">
        <v>16</v>
      </c>
      <c r="C737" s="5" t="s">
        <v>35</v>
      </c>
      <c r="D737" s="5" t="s">
        <v>26</v>
      </c>
      <c r="E737" s="5" t="s">
        <v>13</v>
      </c>
      <c r="F737" s="5" t="s">
        <v>14</v>
      </c>
      <c r="G737" s="5" t="s">
        <v>24</v>
      </c>
      <c r="H737" s="5">
        <v>4857</v>
      </c>
      <c r="I737" s="5">
        <v>0</v>
      </c>
      <c r="J737" s="6">
        <f t="shared" si="11"/>
        <v>4857</v>
      </c>
    </row>
    <row r="738" spans="1:10">
      <c r="A738" s="5">
        <v>171099</v>
      </c>
      <c r="B738" s="5" t="s">
        <v>10</v>
      </c>
      <c r="C738" s="5" t="s">
        <v>31</v>
      </c>
      <c r="D738" s="5" t="s">
        <v>21</v>
      </c>
      <c r="E738" s="5" t="s">
        <v>19</v>
      </c>
      <c r="F738" s="5" t="s">
        <v>14</v>
      </c>
      <c r="G738" s="5" t="s">
        <v>24</v>
      </c>
      <c r="H738" s="5">
        <v>28839</v>
      </c>
      <c r="I738" s="5">
        <v>605</v>
      </c>
      <c r="J738" s="6">
        <f t="shared" si="11"/>
        <v>28234</v>
      </c>
    </row>
    <row r="739" spans="1:10">
      <c r="A739" s="5">
        <v>227196</v>
      </c>
      <c r="B739" s="5" t="s">
        <v>10</v>
      </c>
      <c r="C739" s="5" t="s">
        <v>25</v>
      </c>
      <c r="D739" s="5" t="s">
        <v>26</v>
      </c>
      <c r="E739" s="5" t="s">
        <v>19</v>
      </c>
      <c r="F739" s="5" t="s">
        <v>28</v>
      </c>
      <c r="G739" s="5" t="s">
        <v>24</v>
      </c>
      <c r="H739" s="5">
        <v>42950</v>
      </c>
      <c r="I739" s="5">
        <v>0</v>
      </c>
      <c r="J739" s="6">
        <f t="shared" si="11"/>
        <v>42950</v>
      </c>
    </row>
    <row r="740" spans="1:10">
      <c r="A740" s="5">
        <v>2664</v>
      </c>
      <c r="B740" s="5" t="s">
        <v>10</v>
      </c>
      <c r="C740" s="5" t="s">
        <v>20</v>
      </c>
      <c r="D740" s="5" t="s">
        <v>32</v>
      </c>
      <c r="E740" s="5" t="s">
        <v>13</v>
      </c>
      <c r="F740" s="5" t="s">
        <v>14</v>
      </c>
      <c r="G740" s="5" t="s">
        <v>24</v>
      </c>
      <c r="H740" s="5">
        <v>17985</v>
      </c>
      <c r="I740" s="5">
        <v>322</v>
      </c>
      <c r="J740" s="6">
        <f t="shared" si="11"/>
        <v>17663</v>
      </c>
    </row>
    <row r="741" spans="1:10">
      <c r="A741" s="5">
        <v>2057</v>
      </c>
      <c r="B741" s="5" t="s">
        <v>16</v>
      </c>
      <c r="C741" s="5" t="s">
        <v>39</v>
      </c>
      <c r="D741" s="5" t="s">
        <v>33</v>
      </c>
      <c r="E741" s="5" t="s">
        <v>19</v>
      </c>
      <c r="F741" s="5" t="s">
        <v>14</v>
      </c>
      <c r="G741" s="5" t="s">
        <v>15</v>
      </c>
      <c r="H741" s="5">
        <v>36043</v>
      </c>
      <c r="I741" s="5">
        <v>7789</v>
      </c>
      <c r="J741" s="6">
        <f t="shared" si="11"/>
        <v>28254</v>
      </c>
    </row>
    <row r="742" spans="1:10">
      <c r="A742" s="5">
        <v>100751</v>
      </c>
      <c r="B742" s="5" t="s">
        <v>10</v>
      </c>
      <c r="C742" s="5" t="s">
        <v>34</v>
      </c>
      <c r="D742" s="5" t="s">
        <v>12</v>
      </c>
      <c r="E742" s="5" t="s">
        <v>13</v>
      </c>
      <c r="F742" s="5" t="s">
        <v>14</v>
      </c>
      <c r="G742" s="5" t="s">
        <v>15</v>
      </c>
      <c r="H742" s="5">
        <v>82008</v>
      </c>
      <c r="I742" s="5">
        <v>4438</v>
      </c>
      <c r="J742" s="6">
        <f t="shared" si="11"/>
        <v>77570</v>
      </c>
    </row>
    <row r="743" spans="1:10">
      <c r="A743" s="5">
        <v>102449</v>
      </c>
      <c r="B743" s="5" t="s">
        <v>16</v>
      </c>
      <c r="C743" s="5" t="s">
        <v>34</v>
      </c>
      <c r="D743" s="5" t="s">
        <v>12</v>
      </c>
      <c r="E743" s="5" t="s">
        <v>13</v>
      </c>
      <c r="F743" s="5" t="s">
        <v>14</v>
      </c>
      <c r="G743" s="5" t="s">
        <v>15</v>
      </c>
      <c r="H743" s="5">
        <v>84090</v>
      </c>
      <c r="I743" s="5">
        <v>4361</v>
      </c>
      <c r="J743" s="6">
        <f t="shared" si="11"/>
        <v>79729</v>
      </c>
    </row>
    <row r="744" spans="1:10">
      <c r="A744" s="5">
        <v>183143</v>
      </c>
      <c r="B744" s="5" t="s">
        <v>10</v>
      </c>
      <c r="C744" s="5" t="s">
        <v>37</v>
      </c>
      <c r="D744" s="5" t="s">
        <v>26</v>
      </c>
      <c r="E744" s="5" t="s">
        <v>13</v>
      </c>
      <c r="F744" s="5" t="s">
        <v>14</v>
      </c>
      <c r="G744" s="5" t="s">
        <v>24</v>
      </c>
      <c r="H744" s="5">
        <v>55127</v>
      </c>
      <c r="I744" s="5">
        <v>1275</v>
      </c>
      <c r="J744" s="6">
        <f t="shared" si="11"/>
        <v>53852</v>
      </c>
    </row>
    <row r="745" spans="1:10">
      <c r="A745" s="5">
        <v>203773</v>
      </c>
      <c r="B745" s="5" t="s">
        <v>16</v>
      </c>
      <c r="C745" s="5" t="s">
        <v>37</v>
      </c>
      <c r="D745" s="5" t="s">
        <v>12</v>
      </c>
      <c r="E745" s="5" t="s">
        <v>13</v>
      </c>
      <c r="F745" s="5" t="s">
        <v>14</v>
      </c>
      <c r="G745" s="5" t="s">
        <v>15</v>
      </c>
      <c r="H745" s="5">
        <v>46703</v>
      </c>
      <c r="I745" s="5">
        <v>325</v>
      </c>
      <c r="J745" s="6">
        <f t="shared" si="11"/>
        <v>46378</v>
      </c>
    </row>
    <row r="746" spans="1:10">
      <c r="A746" s="5">
        <v>48704</v>
      </c>
      <c r="B746" s="5" t="s">
        <v>10</v>
      </c>
      <c r="C746" s="5" t="s">
        <v>27</v>
      </c>
      <c r="D746" s="5" t="s">
        <v>30</v>
      </c>
      <c r="E746" s="5" t="s">
        <v>13</v>
      </c>
      <c r="F746" s="5" t="s">
        <v>14</v>
      </c>
      <c r="G746" s="5" t="s">
        <v>15</v>
      </c>
      <c r="H746" s="5">
        <v>75992</v>
      </c>
      <c r="I746" s="5">
        <v>615</v>
      </c>
      <c r="J746" s="6">
        <f t="shared" si="11"/>
        <v>75377</v>
      </c>
    </row>
    <row r="747" spans="1:10">
      <c r="A747" s="5">
        <v>134449</v>
      </c>
      <c r="B747" s="5" t="s">
        <v>16</v>
      </c>
      <c r="C747" s="5" t="s">
        <v>22</v>
      </c>
      <c r="D747" s="5" t="s">
        <v>30</v>
      </c>
      <c r="E747" s="5" t="s">
        <v>13</v>
      </c>
      <c r="F747" s="5" t="s">
        <v>28</v>
      </c>
      <c r="G747" s="5" t="s">
        <v>15</v>
      </c>
      <c r="H747" s="5">
        <v>47729</v>
      </c>
      <c r="I747" s="5">
        <v>0</v>
      </c>
      <c r="J747" s="6">
        <f t="shared" si="11"/>
        <v>47729</v>
      </c>
    </row>
    <row r="748" spans="1:10">
      <c r="A748" s="5">
        <v>75961</v>
      </c>
      <c r="B748" s="5" t="s">
        <v>16</v>
      </c>
      <c r="C748" s="5" t="s">
        <v>27</v>
      </c>
      <c r="D748" s="5" t="s">
        <v>33</v>
      </c>
      <c r="E748" s="5" t="s">
        <v>19</v>
      </c>
      <c r="F748" s="5" t="s">
        <v>28</v>
      </c>
      <c r="G748" s="5" t="s">
        <v>15</v>
      </c>
      <c r="H748" s="5">
        <v>40390</v>
      </c>
      <c r="I748" s="5">
        <v>318</v>
      </c>
      <c r="J748" s="6">
        <f t="shared" si="11"/>
        <v>40072</v>
      </c>
    </row>
    <row r="749" spans="1:10">
      <c r="A749" s="5">
        <v>241385</v>
      </c>
      <c r="B749" s="5" t="s">
        <v>16</v>
      </c>
      <c r="C749" s="5" t="s">
        <v>35</v>
      </c>
      <c r="D749" s="5" t="s">
        <v>33</v>
      </c>
      <c r="E749" s="5" t="s">
        <v>13</v>
      </c>
      <c r="F749" s="5" t="s">
        <v>14</v>
      </c>
      <c r="G749" s="5" t="s">
        <v>24</v>
      </c>
      <c r="H749" s="5">
        <v>30008</v>
      </c>
      <c r="I749" s="5">
        <v>161</v>
      </c>
      <c r="J749" s="6">
        <f t="shared" si="11"/>
        <v>29847</v>
      </c>
    </row>
    <row r="750" spans="1:10">
      <c r="A750" s="5">
        <v>10099</v>
      </c>
      <c r="B750" s="5" t="s">
        <v>10</v>
      </c>
      <c r="C750" s="5" t="s">
        <v>20</v>
      </c>
      <c r="D750" s="5" t="s">
        <v>32</v>
      </c>
      <c r="E750" s="5" t="s">
        <v>13</v>
      </c>
      <c r="F750" s="5" t="s">
        <v>14</v>
      </c>
      <c r="G750" s="5" t="s">
        <v>15</v>
      </c>
      <c r="H750" s="5">
        <v>77602</v>
      </c>
      <c r="I750" s="5">
        <v>0</v>
      </c>
      <c r="J750" s="6">
        <f t="shared" si="11"/>
        <v>77602</v>
      </c>
    </row>
    <row r="751" spans="1:10">
      <c r="A751" s="5">
        <v>172962</v>
      </c>
      <c r="B751" s="5" t="s">
        <v>16</v>
      </c>
      <c r="C751" s="5" t="s">
        <v>31</v>
      </c>
      <c r="D751" s="5" t="s">
        <v>36</v>
      </c>
      <c r="E751" s="5" t="s">
        <v>19</v>
      </c>
      <c r="F751" s="5" t="s">
        <v>28</v>
      </c>
      <c r="G751" s="5" t="s">
        <v>24</v>
      </c>
      <c r="H751" s="5">
        <v>6657</v>
      </c>
      <c r="I751" s="5">
        <v>0</v>
      </c>
      <c r="J751" s="6">
        <f t="shared" si="11"/>
        <v>6657</v>
      </c>
    </row>
    <row r="752" spans="1:10">
      <c r="A752" s="5">
        <v>209832</v>
      </c>
      <c r="B752" s="5" t="s">
        <v>16</v>
      </c>
      <c r="C752" s="5" t="s">
        <v>38</v>
      </c>
      <c r="D752" s="5" t="s">
        <v>12</v>
      </c>
      <c r="E752" s="5" t="s">
        <v>13</v>
      </c>
      <c r="F752" s="5" t="s">
        <v>14</v>
      </c>
      <c r="G752" s="5" t="s">
        <v>15</v>
      </c>
      <c r="H752" s="5">
        <v>113967</v>
      </c>
      <c r="I752" s="5">
        <v>4431</v>
      </c>
      <c r="J752" s="6">
        <f t="shared" si="11"/>
        <v>109536</v>
      </c>
    </row>
    <row r="753" spans="1:10">
      <c r="A753" s="5">
        <v>237184</v>
      </c>
      <c r="B753" s="5" t="s">
        <v>16</v>
      </c>
      <c r="C753" s="5" t="s">
        <v>25</v>
      </c>
      <c r="D753" s="5" t="s">
        <v>33</v>
      </c>
      <c r="E753" s="5" t="s">
        <v>13</v>
      </c>
      <c r="F753" s="5" t="s">
        <v>14</v>
      </c>
      <c r="G753" s="5" t="s">
        <v>24</v>
      </c>
      <c r="H753" s="5">
        <v>37298</v>
      </c>
      <c r="I753" s="5">
        <v>1880</v>
      </c>
      <c r="J753" s="6">
        <f t="shared" si="11"/>
        <v>35418</v>
      </c>
    </row>
    <row r="754" spans="1:10">
      <c r="A754" s="5">
        <v>74814</v>
      </c>
      <c r="B754" s="5" t="s">
        <v>10</v>
      </c>
      <c r="C754" s="5" t="s">
        <v>34</v>
      </c>
      <c r="D754" s="5" t="s">
        <v>32</v>
      </c>
      <c r="E754" s="5" t="s">
        <v>13</v>
      </c>
      <c r="F754" s="5" t="s">
        <v>14</v>
      </c>
      <c r="G754" s="5" t="s">
        <v>24</v>
      </c>
      <c r="H754" s="5">
        <v>22435</v>
      </c>
      <c r="I754" s="5">
        <v>0</v>
      </c>
      <c r="J754" s="6">
        <f t="shared" si="11"/>
        <v>22435</v>
      </c>
    </row>
    <row r="755" spans="1:10">
      <c r="A755" s="5">
        <v>89712</v>
      </c>
      <c r="B755" s="5" t="s">
        <v>10</v>
      </c>
      <c r="C755" s="5" t="s">
        <v>38</v>
      </c>
      <c r="D755" s="5" t="s">
        <v>32</v>
      </c>
      <c r="E755" s="5" t="s">
        <v>13</v>
      </c>
      <c r="F755" s="5" t="s">
        <v>28</v>
      </c>
      <c r="G755" s="5" t="s">
        <v>15</v>
      </c>
      <c r="H755" s="5">
        <v>6544</v>
      </c>
      <c r="I755" s="5">
        <v>11</v>
      </c>
      <c r="J755" s="6">
        <f t="shared" si="11"/>
        <v>6533</v>
      </c>
    </row>
    <row r="756" spans="1:10">
      <c r="A756" s="5">
        <v>93995</v>
      </c>
      <c r="B756" s="5" t="s">
        <v>10</v>
      </c>
      <c r="C756" s="5" t="s">
        <v>38</v>
      </c>
      <c r="D756" s="5" t="s">
        <v>32</v>
      </c>
      <c r="E756" s="5" t="s">
        <v>13</v>
      </c>
      <c r="F756" s="5" t="s">
        <v>14</v>
      </c>
      <c r="G756" s="5" t="s">
        <v>24</v>
      </c>
      <c r="H756" s="5">
        <v>25845</v>
      </c>
      <c r="I756" s="5">
        <v>1975</v>
      </c>
      <c r="J756" s="6">
        <f t="shared" si="11"/>
        <v>23870</v>
      </c>
    </row>
    <row r="757" spans="1:10">
      <c r="A757" s="5">
        <v>40587</v>
      </c>
      <c r="B757" s="5" t="s">
        <v>16</v>
      </c>
      <c r="C757" s="5" t="s">
        <v>38</v>
      </c>
      <c r="D757" s="5" t="s">
        <v>33</v>
      </c>
      <c r="E757" s="5" t="s">
        <v>13</v>
      </c>
      <c r="F757" s="5" t="s">
        <v>14</v>
      </c>
      <c r="G757" s="5" t="s">
        <v>15</v>
      </c>
      <c r="H757" s="5">
        <v>63641</v>
      </c>
      <c r="I757" s="5">
        <v>63</v>
      </c>
      <c r="J757" s="6">
        <f t="shared" si="11"/>
        <v>63578</v>
      </c>
    </row>
    <row r="758" spans="1:10">
      <c r="A758" s="5">
        <v>139341</v>
      </c>
      <c r="B758" s="5" t="s">
        <v>10</v>
      </c>
      <c r="C758" s="5" t="s">
        <v>25</v>
      </c>
      <c r="D758" s="5" t="s">
        <v>36</v>
      </c>
      <c r="E758" s="5" t="s">
        <v>19</v>
      </c>
      <c r="F758" s="5" t="s">
        <v>14</v>
      </c>
      <c r="G758" s="5" t="s">
        <v>15</v>
      </c>
      <c r="H758" s="5">
        <v>4002</v>
      </c>
      <c r="I758" s="5">
        <v>0</v>
      </c>
      <c r="J758" s="6">
        <f t="shared" si="11"/>
        <v>4002</v>
      </c>
    </row>
    <row r="759" spans="1:10">
      <c r="A759" s="5">
        <v>202417</v>
      </c>
      <c r="B759" s="5" t="s">
        <v>10</v>
      </c>
      <c r="C759" s="5" t="s">
        <v>37</v>
      </c>
      <c r="D759" s="5" t="s">
        <v>30</v>
      </c>
      <c r="E759" s="5" t="s">
        <v>13</v>
      </c>
      <c r="F759" s="5" t="s">
        <v>14</v>
      </c>
      <c r="G759" s="5" t="s">
        <v>15</v>
      </c>
      <c r="H759" s="5">
        <v>54800</v>
      </c>
      <c r="I759" s="5">
        <v>4226</v>
      </c>
      <c r="J759" s="6">
        <f t="shared" si="11"/>
        <v>50574</v>
      </c>
    </row>
    <row r="760" spans="1:10">
      <c r="A760" s="5">
        <v>232392</v>
      </c>
      <c r="B760" s="5" t="s">
        <v>10</v>
      </c>
      <c r="C760" s="5" t="s">
        <v>17</v>
      </c>
      <c r="D760" s="5" t="s">
        <v>18</v>
      </c>
      <c r="E760" s="5" t="s">
        <v>19</v>
      </c>
      <c r="F760" s="5" t="s">
        <v>14</v>
      </c>
      <c r="G760" s="5" t="s">
        <v>24</v>
      </c>
      <c r="H760" s="5">
        <v>25379</v>
      </c>
      <c r="I760" s="5">
        <v>249</v>
      </c>
      <c r="J760" s="6">
        <f t="shared" si="11"/>
        <v>25130</v>
      </c>
    </row>
    <row r="761" spans="1:10">
      <c r="A761" s="5">
        <v>251085</v>
      </c>
      <c r="B761" s="5" t="s">
        <v>10</v>
      </c>
      <c r="C761" s="5" t="s">
        <v>39</v>
      </c>
      <c r="D761" s="5" t="s">
        <v>21</v>
      </c>
      <c r="E761" s="5" t="s">
        <v>13</v>
      </c>
      <c r="F761" s="5" t="s">
        <v>14</v>
      </c>
      <c r="G761" s="5" t="s">
        <v>15</v>
      </c>
      <c r="H761" s="5">
        <v>12899</v>
      </c>
      <c r="I761" s="5">
        <v>0</v>
      </c>
      <c r="J761" s="6">
        <f t="shared" si="11"/>
        <v>12899</v>
      </c>
    </row>
    <row r="762" spans="1:10">
      <c r="A762" s="5">
        <v>165703</v>
      </c>
      <c r="B762" s="5" t="s">
        <v>16</v>
      </c>
      <c r="C762" s="5" t="s">
        <v>27</v>
      </c>
      <c r="D762" s="5" t="s">
        <v>33</v>
      </c>
      <c r="E762" s="5" t="s">
        <v>13</v>
      </c>
      <c r="F762" s="5" t="s">
        <v>28</v>
      </c>
      <c r="G762" s="5" t="s">
        <v>24</v>
      </c>
      <c r="H762" s="5">
        <v>12492</v>
      </c>
      <c r="I762" s="5">
        <v>0</v>
      </c>
      <c r="J762" s="6">
        <f t="shared" si="11"/>
        <v>12492</v>
      </c>
    </row>
    <row r="763" spans="1:10">
      <c r="A763" s="5">
        <v>7293</v>
      </c>
      <c r="B763" s="5" t="s">
        <v>10</v>
      </c>
      <c r="C763" s="5" t="s">
        <v>37</v>
      </c>
      <c r="D763" s="5" t="s">
        <v>12</v>
      </c>
      <c r="E763" s="5" t="s">
        <v>13</v>
      </c>
      <c r="F763" s="5" t="s">
        <v>14</v>
      </c>
      <c r="G763" s="5" t="s">
        <v>15</v>
      </c>
      <c r="H763" s="5">
        <v>308104</v>
      </c>
      <c r="I763" s="5">
        <v>1083</v>
      </c>
      <c r="J763" s="6">
        <f t="shared" si="11"/>
        <v>307021</v>
      </c>
    </row>
    <row r="764" spans="1:10">
      <c r="A764" s="5">
        <v>133874</v>
      </c>
      <c r="B764" s="5" t="s">
        <v>10</v>
      </c>
      <c r="C764" s="5" t="s">
        <v>25</v>
      </c>
      <c r="D764" s="5" t="s">
        <v>21</v>
      </c>
      <c r="E764" s="5" t="s">
        <v>19</v>
      </c>
      <c r="F764" s="5" t="s">
        <v>28</v>
      </c>
      <c r="G764" s="5" t="s">
        <v>24</v>
      </c>
      <c r="H764" s="5">
        <v>4796</v>
      </c>
      <c r="I764" s="5">
        <v>0</v>
      </c>
      <c r="J764" s="6">
        <f t="shared" si="11"/>
        <v>4796</v>
      </c>
    </row>
    <row r="765" spans="1:10">
      <c r="A765" s="5">
        <v>98414</v>
      </c>
      <c r="B765" s="5" t="s">
        <v>10</v>
      </c>
      <c r="C765" s="5" t="s">
        <v>34</v>
      </c>
      <c r="D765" s="5" t="s">
        <v>32</v>
      </c>
      <c r="E765" s="5" t="s">
        <v>13</v>
      </c>
      <c r="F765" s="5" t="s">
        <v>14</v>
      </c>
      <c r="G765" s="5" t="s">
        <v>15</v>
      </c>
      <c r="H765" s="5">
        <v>141894</v>
      </c>
      <c r="I765" s="5">
        <v>3784</v>
      </c>
      <c r="J765" s="6">
        <f t="shared" si="11"/>
        <v>138110</v>
      </c>
    </row>
    <row r="766" spans="1:10">
      <c r="A766" s="5">
        <v>258399</v>
      </c>
      <c r="B766" s="5" t="s">
        <v>10</v>
      </c>
      <c r="C766" s="5" t="s">
        <v>17</v>
      </c>
      <c r="D766" s="5" t="s">
        <v>23</v>
      </c>
      <c r="E766" s="5" t="s">
        <v>19</v>
      </c>
      <c r="F766" s="5" t="s">
        <v>14</v>
      </c>
      <c r="G766" s="5" t="s">
        <v>24</v>
      </c>
      <c r="H766" s="5">
        <v>40195</v>
      </c>
      <c r="I766" s="5">
        <v>4424</v>
      </c>
      <c r="J766" s="6">
        <f t="shared" si="11"/>
        <v>35771</v>
      </c>
    </row>
    <row r="767" spans="1:10">
      <c r="A767" s="5">
        <v>175359</v>
      </c>
      <c r="B767" s="5" t="s">
        <v>16</v>
      </c>
      <c r="C767" s="5" t="s">
        <v>22</v>
      </c>
      <c r="D767" s="5" t="s">
        <v>18</v>
      </c>
      <c r="E767" s="5" t="s">
        <v>13</v>
      </c>
      <c r="F767" s="5" t="s">
        <v>14</v>
      </c>
      <c r="G767" s="5" t="s">
        <v>15</v>
      </c>
      <c r="H767" s="5">
        <v>995</v>
      </c>
      <c r="I767" s="5">
        <v>279</v>
      </c>
      <c r="J767" s="6">
        <f t="shared" si="11"/>
        <v>716</v>
      </c>
    </row>
    <row r="768" spans="1:10">
      <c r="A768" s="5">
        <v>172160</v>
      </c>
      <c r="B768" s="5" t="s">
        <v>16</v>
      </c>
      <c r="C768" s="5" t="s">
        <v>11</v>
      </c>
      <c r="D768" s="5" t="s">
        <v>21</v>
      </c>
      <c r="E768" s="5" t="s">
        <v>13</v>
      </c>
      <c r="F768" s="5" t="s">
        <v>14</v>
      </c>
      <c r="G768" s="5" t="s">
        <v>15</v>
      </c>
      <c r="H768" s="5">
        <v>44641</v>
      </c>
      <c r="I768" s="5">
        <v>444</v>
      </c>
      <c r="J768" s="6">
        <f t="shared" si="11"/>
        <v>44197</v>
      </c>
    </row>
    <row r="769" spans="1:10">
      <c r="A769" s="5">
        <v>19953</v>
      </c>
      <c r="B769" s="5" t="s">
        <v>10</v>
      </c>
      <c r="C769" s="5" t="s">
        <v>11</v>
      </c>
      <c r="D769" s="5" t="s">
        <v>12</v>
      </c>
      <c r="E769" s="5" t="s">
        <v>13</v>
      </c>
      <c r="F769" s="5" t="s">
        <v>14</v>
      </c>
      <c r="G769" s="5" t="s">
        <v>15</v>
      </c>
      <c r="H769" s="5">
        <v>64028</v>
      </c>
      <c r="I769" s="5">
        <v>1640</v>
      </c>
      <c r="J769" s="6">
        <f t="shared" si="11"/>
        <v>62388</v>
      </c>
    </row>
    <row r="770" spans="1:10">
      <c r="A770" s="5">
        <v>134335</v>
      </c>
      <c r="B770" s="5" t="s">
        <v>10</v>
      </c>
      <c r="C770" s="5" t="s">
        <v>25</v>
      </c>
      <c r="D770" s="5" t="s">
        <v>32</v>
      </c>
      <c r="E770" s="5" t="s">
        <v>13</v>
      </c>
      <c r="F770" s="5" t="s">
        <v>14</v>
      </c>
      <c r="G770" s="5" t="s">
        <v>24</v>
      </c>
      <c r="H770" s="5">
        <v>21963</v>
      </c>
      <c r="I770" s="5">
        <v>0</v>
      </c>
      <c r="J770" s="6">
        <f t="shared" ref="J770:J833" si="12">H770-I770</f>
        <v>21963</v>
      </c>
    </row>
    <row r="771" spans="1:10">
      <c r="A771" s="5">
        <v>106589</v>
      </c>
      <c r="B771" s="5" t="s">
        <v>10</v>
      </c>
      <c r="C771" s="5" t="s">
        <v>25</v>
      </c>
      <c r="D771" s="5" t="s">
        <v>26</v>
      </c>
      <c r="E771" s="5" t="s">
        <v>19</v>
      </c>
      <c r="F771" s="5" t="s">
        <v>14</v>
      </c>
      <c r="G771" s="5" t="s">
        <v>24</v>
      </c>
      <c r="H771" s="5">
        <v>93019</v>
      </c>
      <c r="I771" s="5">
        <v>19172</v>
      </c>
      <c r="J771" s="6">
        <f t="shared" si="12"/>
        <v>73847</v>
      </c>
    </row>
    <row r="772" spans="1:10">
      <c r="A772" s="5">
        <v>195840</v>
      </c>
      <c r="B772" s="5" t="s">
        <v>16</v>
      </c>
      <c r="C772" s="5" t="s">
        <v>34</v>
      </c>
      <c r="D772" s="5" t="s">
        <v>26</v>
      </c>
      <c r="E772" s="5" t="s">
        <v>19</v>
      </c>
      <c r="F772" s="5" t="s">
        <v>14</v>
      </c>
      <c r="G772" s="5" t="s">
        <v>24</v>
      </c>
      <c r="H772" s="5">
        <v>34034</v>
      </c>
      <c r="I772" s="5">
        <v>265</v>
      </c>
      <c r="J772" s="6">
        <f t="shared" si="12"/>
        <v>33769</v>
      </c>
    </row>
    <row r="773" spans="1:10">
      <c r="A773" s="5">
        <v>202686</v>
      </c>
      <c r="B773" s="5" t="s">
        <v>16</v>
      </c>
      <c r="C773" s="5" t="s">
        <v>37</v>
      </c>
      <c r="D773" s="5" t="s">
        <v>18</v>
      </c>
      <c r="E773" s="5" t="s">
        <v>13</v>
      </c>
      <c r="F773" s="5" t="s">
        <v>14</v>
      </c>
      <c r="G773" s="5" t="s">
        <v>15</v>
      </c>
      <c r="H773" s="5">
        <v>21462</v>
      </c>
      <c r="I773" s="5">
        <v>0</v>
      </c>
      <c r="J773" s="6">
        <f t="shared" si="12"/>
        <v>21462</v>
      </c>
    </row>
    <row r="774" spans="1:10">
      <c r="A774" s="5">
        <v>29893</v>
      </c>
      <c r="B774" s="5" t="s">
        <v>10</v>
      </c>
      <c r="C774" s="5" t="s">
        <v>11</v>
      </c>
      <c r="D774" s="5" t="s">
        <v>29</v>
      </c>
      <c r="E774" s="5" t="s">
        <v>13</v>
      </c>
      <c r="F774" s="5" t="s">
        <v>14</v>
      </c>
      <c r="G774" s="5" t="s">
        <v>24</v>
      </c>
      <c r="H774" s="5">
        <v>37850</v>
      </c>
      <c r="I774" s="5">
        <v>285</v>
      </c>
      <c r="J774" s="6">
        <f t="shared" si="12"/>
        <v>37565</v>
      </c>
    </row>
    <row r="775" spans="1:10">
      <c r="A775" s="5">
        <v>245623</v>
      </c>
      <c r="B775" s="5" t="s">
        <v>10</v>
      </c>
      <c r="C775" s="5" t="s">
        <v>17</v>
      </c>
      <c r="D775" s="5" t="s">
        <v>29</v>
      </c>
      <c r="E775" s="5" t="s">
        <v>19</v>
      </c>
      <c r="F775" s="5" t="s">
        <v>28</v>
      </c>
      <c r="G775" s="5" t="s">
        <v>15</v>
      </c>
      <c r="H775" s="5">
        <v>28095</v>
      </c>
      <c r="I775" s="5">
        <v>245</v>
      </c>
      <c r="J775" s="6">
        <f t="shared" si="12"/>
        <v>27850</v>
      </c>
    </row>
    <row r="776" spans="1:10">
      <c r="A776" s="5">
        <v>251206</v>
      </c>
      <c r="B776" s="5" t="s">
        <v>16</v>
      </c>
      <c r="C776" s="5" t="s">
        <v>17</v>
      </c>
      <c r="D776" s="5" t="s">
        <v>36</v>
      </c>
      <c r="E776" s="5" t="s">
        <v>19</v>
      </c>
      <c r="F776" s="5" t="s">
        <v>14</v>
      </c>
      <c r="G776" s="5" t="s">
        <v>24</v>
      </c>
      <c r="H776" s="5">
        <v>36550</v>
      </c>
      <c r="I776" s="5">
        <v>2936</v>
      </c>
      <c r="J776" s="6">
        <f t="shared" si="12"/>
        <v>33614</v>
      </c>
    </row>
    <row r="777" spans="1:10">
      <c r="A777" s="5">
        <v>140007</v>
      </c>
      <c r="B777" s="5" t="s">
        <v>10</v>
      </c>
      <c r="C777" s="5" t="s">
        <v>17</v>
      </c>
      <c r="D777" s="5" t="s">
        <v>18</v>
      </c>
      <c r="E777" s="5" t="s">
        <v>19</v>
      </c>
      <c r="F777" s="5" t="s">
        <v>14</v>
      </c>
      <c r="G777" s="5" t="s">
        <v>15</v>
      </c>
      <c r="H777" s="5">
        <v>5530</v>
      </c>
      <c r="I777" s="5">
        <v>92</v>
      </c>
      <c r="J777" s="6">
        <f t="shared" si="12"/>
        <v>5438</v>
      </c>
    </row>
    <row r="778" spans="1:10">
      <c r="A778" s="5">
        <v>219657</v>
      </c>
      <c r="B778" s="5" t="s">
        <v>16</v>
      </c>
      <c r="C778" s="5" t="s">
        <v>25</v>
      </c>
      <c r="D778" s="5" t="s">
        <v>21</v>
      </c>
      <c r="E778" s="5" t="s">
        <v>13</v>
      </c>
      <c r="F778" s="5" t="s">
        <v>28</v>
      </c>
      <c r="G778" s="5" t="s">
        <v>24</v>
      </c>
      <c r="H778" s="5">
        <v>55341</v>
      </c>
      <c r="I778" s="5">
        <v>1625</v>
      </c>
      <c r="J778" s="6">
        <f t="shared" si="12"/>
        <v>53716</v>
      </c>
    </row>
    <row r="779" spans="1:10">
      <c r="A779" s="5">
        <v>155122</v>
      </c>
      <c r="B779" s="5" t="s">
        <v>16</v>
      </c>
      <c r="C779" s="5" t="s">
        <v>17</v>
      </c>
      <c r="D779" s="5" t="s">
        <v>18</v>
      </c>
      <c r="E779" s="5" t="s">
        <v>19</v>
      </c>
      <c r="F779" s="5" t="s">
        <v>28</v>
      </c>
      <c r="G779" s="5" t="s">
        <v>15</v>
      </c>
      <c r="H779" s="5">
        <v>25552</v>
      </c>
      <c r="I779" s="5">
        <v>117</v>
      </c>
      <c r="J779" s="6">
        <f t="shared" si="12"/>
        <v>25435</v>
      </c>
    </row>
    <row r="780" spans="1:10">
      <c r="A780" s="5">
        <v>209635</v>
      </c>
      <c r="B780" s="5" t="s">
        <v>16</v>
      </c>
      <c r="C780" s="5" t="s">
        <v>38</v>
      </c>
      <c r="D780" s="5" t="s">
        <v>33</v>
      </c>
      <c r="E780" s="5" t="s">
        <v>13</v>
      </c>
      <c r="F780" s="5" t="s">
        <v>28</v>
      </c>
      <c r="G780" s="5" t="s">
        <v>15</v>
      </c>
      <c r="H780" s="5">
        <v>57115</v>
      </c>
      <c r="I780" s="5">
        <v>937</v>
      </c>
      <c r="J780" s="6">
        <f t="shared" si="12"/>
        <v>56178</v>
      </c>
    </row>
    <row r="781" spans="1:10">
      <c r="A781" s="5">
        <v>24808</v>
      </c>
      <c r="B781" s="5" t="s">
        <v>16</v>
      </c>
      <c r="C781" s="5" t="s">
        <v>11</v>
      </c>
      <c r="D781" s="5" t="s">
        <v>32</v>
      </c>
      <c r="E781" s="5" t="s">
        <v>13</v>
      </c>
      <c r="F781" s="5" t="s">
        <v>14</v>
      </c>
      <c r="G781" s="5" t="s">
        <v>15</v>
      </c>
      <c r="H781" s="5">
        <v>203977</v>
      </c>
      <c r="I781" s="5">
        <v>36100</v>
      </c>
      <c r="J781" s="6">
        <f t="shared" si="12"/>
        <v>167877</v>
      </c>
    </row>
    <row r="782" spans="1:10">
      <c r="A782" s="5">
        <v>194182</v>
      </c>
      <c r="B782" s="5" t="s">
        <v>16</v>
      </c>
      <c r="C782" s="5" t="s">
        <v>11</v>
      </c>
      <c r="D782" s="5" t="s">
        <v>23</v>
      </c>
      <c r="E782" s="5" t="s">
        <v>13</v>
      </c>
      <c r="F782" s="5" t="s">
        <v>28</v>
      </c>
      <c r="G782" s="5" t="s">
        <v>15</v>
      </c>
      <c r="H782" s="5">
        <v>33192</v>
      </c>
      <c r="I782" s="5">
        <v>269</v>
      </c>
      <c r="J782" s="6">
        <f t="shared" si="12"/>
        <v>32923</v>
      </c>
    </row>
    <row r="783" spans="1:10">
      <c r="A783" s="5">
        <v>28655</v>
      </c>
      <c r="B783" s="5" t="s">
        <v>10</v>
      </c>
      <c r="C783" s="5" t="s">
        <v>35</v>
      </c>
      <c r="D783" s="5" t="s">
        <v>23</v>
      </c>
      <c r="E783" s="5" t="s">
        <v>13</v>
      </c>
      <c r="F783" s="5" t="s">
        <v>28</v>
      </c>
      <c r="G783" s="5" t="s">
        <v>24</v>
      </c>
      <c r="H783" s="5">
        <v>93232</v>
      </c>
      <c r="I783" s="5">
        <v>164</v>
      </c>
      <c r="J783" s="6">
        <f t="shared" si="12"/>
        <v>93068</v>
      </c>
    </row>
    <row r="784" spans="1:10">
      <c r="A784" s="5">
        <v>176587</v>
      </c>
      <c r="B784" s="5" t="s">
        <v>16</v>
      </c>
      <c r="C784" s="5" t="s">
        <v>17</v>
      </c>
      <c r="D784" s="5" t="s">
        <v>18</v>
      </c>
      <c r="E784" s="5" t="s">
        <v>19</v>
      </c>
      <c r="F784" s="5" t="s">
        <v>28</v>
      </c>
      <c r="G784" s="5" t="s">
        <v>24</v>
      </c>
      <c r="H784" s="5">
        <v>30325</v>
      </c>
      <c r="I784" s="5">
        <v>183</v>
      </c>
      <c r="J784" s="6">
        <f t="shared" si="12"/>
        <v>30142</v>
      </c>
    </row>
    <row r="785" spans="1:10">
      <c r="A785" s="5">
        <v>188556</v>
      </c>
      <c r="B785" s="5" t="s">
        <v>10</v>
      </c>
      <c r="C785" s="5" t="s">
        <v>20</v>
      </c>
      <c r="D785" s="5" t="s">
        <v>32</v>
      </c>
      <c r="E785" s="5" t="s">
        <v>13</v>
      </c>
      <c r="F785" s="5" t="s">
        <v>14</v>
      </c>
      <c r="G785" s="5" t="s">
        <v>15</v>
      </c>
      <c r="H785" s="5">
        <v>47299</v>
      </c>
      <c r="I785" s="5">
        <v>290</v>
      </c>
      <c r="J785" s="6">
        <f t="shared" si="12"/>
        <v>47009</v>
      </c>
    </row>
    <row r="786" spans="1:10">
      <c r="A786" s="5">
        <v>50450</v>
      </c>
      <c r="B786" s="5" t="s">
        <v>16</v>
      </c>
      <c r="C786" s="5" t="s">
        <v>35</v>
      </c>
      <c r="D786" s="5" t="s">
        <v>12</v>
      </c>
      <c r="E786" s="5" t="s">
        <v>13</v>
      </c>
      <c r="F786" s="5" t="s">
        <v>14</v>
      </c>
      <c r="G786" s="5" t="s">
        <v>15</v>
      </c>
      <c r="H786" s="5">
        <v>13812</v>
      </c>
      <c r="I786" s="5">
        <v>0</v>
      </c>
      <c r="J786" s="6">
        <f t="shared" si="12"/>
        <v>13812</v>
      </c>
    </row>
    <row r="787" spans="1:10">
      <c r="A787" s="5">
        <v>35784</v>
      </c>
      <c r="B787" s="5" t="s">
        <v>10</v>
      </c>
      <c r="C787" s="5" t="s">
        <v>35</v>
      </c>
      <c r="D787" s="5" t="s">
        <v>26</v>
      </c>
      <c r="E787" s="5" t="s">
        <v>13</v>
      </c>
      <c r="F787" s="5" t="s">
        <v>28</v>
      </c>
      <c r="G787" s="5" t="s">
        <v>15</v>
      </c>
      <c r="H787" s="5">
        <v>122128</v>
      </c>
      <c r="I787" s="5">
        <v>5831</v>
      </c>
      <c r="J787" s="6">
        <f t="shared" si="12"/>
        <v>116297</v>
      </c>
    </row>
    <row r="788" spans="1:10">
      <c r="A788" s="5">
        <v>80318</v>
      </c>
      <c r="B788" s="5" t="s">
        <v>10</v>
      </c>
      <c r="C788" s="5" t="s">
        <v>37</v>
      </c>
      <c r="D788" s="5" t="s">
        <v>29</v>
      </c>
      <c r="E788" s="5" t="s">
        <v>13</v>
      </c>
      <c r="F788" s="5" t="s">
        <v>14</v>
      </c>
      <c r="G788" s="5" t="s">
        <v>24</v>
      </c>
      <c r="H788" s="5">
        <v>22998</v>
      </c>
      <c r="I788" s="5">
        <v>198</v>
      </c>
      <c r="J788" s="6">
        <f t="shared" si="12"/>
        <v>22800</v>
      </c>
    </row>
    <row r="789" spans="1:10">
      <c r="A789" s="5">
        <v>13114</v>
      </c>
      <c r="B789" s="5" t="s">
        <v>16</v>
      </c>
      <c r="C789" s="5" t="s">
        <v>34</v>
      </c>
      <c r="D789" s="5" t="s">
        <v>18</v>
      </c>
      <c r="E789" s="5" t="s">
        <v>13</v>
      </c>
      <c r="F789" s="5" t="s">
        <v>14</v>
      </c>
      <c r="G789" s="5" t="s">
        <v>15</v>
      </c>
      <c r="H789" s="5">
        <v>29097</v>
      </c>
      <c r="I789" s="5">
        <v>6997</v>
      </c>
      <c r="J789" s="6">
        <f t="shared" si="12"/>
        <v>22100</v>
      </c>
    </row>
    <row r="790" spans="1:10">
      <c r="A790" s="5">
        <v>238848</v>
      </c>
      <c r="B790" s="5" t="s">
        <v>10</v>
      </c>
      <c r="C790" s="5" t="s">
        <v>34</v>
      </c>
      <c r="D790" s="5" t="s">
        <v>32</v>
      </c>
      <c r="E790" s="5" t="s">
        <v>13</v>
      </c>
      <c r="F790" s="5" t="s">
        <v>14</v>
      </c>
      <c r="G790" s="5" t="s">
        <v>24</v>
      </c>
      <c r="H790" s="5">
        <v>19903</v>
      </c>
      <c r="I790" s="5">
        <v>0</v>
      </c>
      <c r="J790" s="6">
        <f t="shared" si="12"/>
        <v>19903</v>
      </c>
    </row>
    <row r="791" spans="1:10">
      <c r="A791" s="5">
        <v>93717</v>
      </c>
      <c r="B791" s="5" t="s">
        <v>10</v>
      </c>
      <c r="C791" s="5" t="s">
        <v>20</v>
      </c>
      <c r="D791" s="5" t="s">
        <v>32</v>
      </c>
      <c r="E791" s="5" t="s">
        <v>19</v>
      </c>
      <c r="F791" s="5" t="s">
        <v>14</v>
      </c>
      <c r="G791" s="5" t="s">
        <v>15</v>
      </c>
      <c r="H791" s="5">
        <v>38850</v>
      </c>
      <c r="I791" s="5">
        <v>96</v>
      </c>
      <c r="J791" s="6">
        <f t="shared" si="12"/>
        <v>38754</v>
      </c>
    </row>
    <row r="792" spans="1:10">
      <c r="A792" s="5">
        <v>91493</v>
      </c>
      <c r="B792" s="5" t="s">
        <v>10</v>
      </c>
      <c r="C792" s="5" t="s">
        <v>20</v>
      </c>
      <c r="D792" s="5" t="s">
        <v>32</v>
      </c>
      <c r="E792" s="5" t="s">
        <v>13</v>
      </c>
      <c r="F792" s="5" t="s">
        <v>14</v>
      </c>
      <c r="G792" s="5" t="s">
        <v>15</v>
      </c>
      <c r="H792" s="5">
        <v>7049</v>
      </c>
      <c r="I792" s="5">
        <v>0</v>
      </c>
      <c r="J792" s="6">
        <f t="shared" si="12"/>
        <v>7049</v>
      </c>
    </row>
    <row r="793" spans="1:10">
      <c r="A793" s="5">
        <v>217116</v>
      </c>
      <c r="B793" s="5" t="s">
        <v>10</v>
      </c>
      <c r="C793" s="5" t="s">
        <v>11</v>
      </c>
      <c r="D793" s="5" t="s">
        <v>32</v>
      </c>
      <c r="E793" s="5" t="s">
        <v>13</v>
      </c>
      <c r="F793" s="5" t="s">
        <v>28</v>
      </c>
      <c r="G793" s="5" t="s">
        <v>24</v>
      </c>
      <c r="H793" s="5">
        <v>44100</v>
      </c>
      <c r="I793" s="5">
        <v>10790</v>
      </c>
      <c r="J793" s="6">
        <f t="shared" si="12"/>
        <v>33310</v>
      </c>
    </row>
    <row r="794" spans="1:10">
      <c r="A794" s="5">
        <v>42644</v>
      </c>
      <c r="B794" s="5" t="s">
        <v>16</v>
      </c>
      <c r="C794" s="5" t="s">
        <v>35</v>
      </c>
      <c r="D794" s="5" t="s">
        <v>33</v>
      </c>
      <c r="E794" s="5" t="s">
        <v>19</v>
      </c>
      <c r="F794" s="5" t="s">
        <v>14</v>
      </c>
      <c r="G794" s="5" t="s">
        <v>24</v>
      </c>
      <c r="H794" s="5">
        <v>60018</v>
      </c>
      <c r="I794" s="5">
        <v>469</v>
      </c>
      <c r="J794" s="6">
        <f t="shared" si="12"/>
        <v>59549</v>
      </c>
    </row>
    <row r="795" spans="1:10">
      <c r="A795" s="5">
        <v>216647</v>
      </c>
      <c r="B795" s="5" t="s">
        <v>10</v>
      </c>
      <c r="C795" s="5" t="s">
        <v>34</v>
      </c>
      <c r="D795" s="5" t="s">
        <v>12</v>
      </c>
      <c r="E795" s="5" t="s">
        <v>19</v>
      </c>
      <c r="F795" s="5" t="s">
        <v>28</v>
      </c>
      <c r="G795" s="5" t="s">
        <v>24</v>
      </c>
      <c r="H795" s="5">
        <v>42736</v>
      </c>
      <c r="I795" s="5">
        <v>175</v>
      </c>
      <c r="J795" s="6">
        <f t="shared" si="12"/>
        <v>42561</v>
      </c>
    </row>
    <row r="796" spans="1:10">
      <c r="A796" s="5">
        <v>171112</v>
      </c>
      <c r="B796" s="5" t="s">
        <v>16</v>
      </c>
      <c r="C796" s="5" t="s">
        <v>31</v>
      </c>
      <c r="D796" s="5" t="s">
        <v>21</v>
      </c>
      <c r="E796" s="5" t="s">
        <v>19</v>
      </c>
      <c r="F796" s="5" t="s">
        <v>28</v>
      </c>
      <c r="G796" s="5" t="s">
        <v>24</v>
      </c>
      <c r="H796" s="5">
        <v>11511</v>
      </c>
      <c r="I796" s="5">
        <v>137</v>
      </c>
      <c r="J796" s="6">
        <f t="shared" si="12"/>
        <v>11374</v>
      </c>
    </row>
    <row r="797" spans="1:10">
      <c r="A797" s="5">
        <v>254527</v>
      </c>
      <c r="B797" s="5" t="s">
        <v>16</v>
      </c>
      <c r="C797" s="5" t="s">
        <v>25</v>
      </c>
      <c r="D797" s="5" t="s">
        <v>33</v>
      </c>
      <c r="E797" s="5" t="s">
        <v>19</v>
      </c>
      <c r="F797" s="5" t="s">
        <v>14</v>
      </c>
      <c r="G797" s="5" t="s">
        <v>24</v>
      </c>
      <c r="H797" s="5">
        <v>21113</v>
      </c>
      <c r="I797" s="5">
        <v>328</v>
      </c>
      <c r="J797" s="6">
        <f t="shared" si="12"/>
        <v>20785</v>
      </c>
    </row>
    <row r="798" spans="1:10">
      <c r="A798" s="5">
        <v>24725</v>
      </c>
      <c r="B798" s="5" t="s">
        <v>16</v>
      </c>
      <c r="C798" s="5" t="s">
        <v>35</v>
      </c>
      <c r="D798" s="5" t="s">
        <v>23</v>
      </c>
      <c r="E798" s="5" t="s">
        <v>13</v>
      </c>
      <c r="F798" s="5" t="s">
        <v>14</v>
      </c>
      <c r="G798" s="5" t="s">
        <v>15</v>
      </c>
      <c r="H798" s="5">
        <v>63142</v>
      </c>
      <c r="I798" s="5">
        <v>4254</v>
      </c>
      <c r="J798" s="6">
        <f t="shared" si="12"/>
        <v>58888</v>
      </c>
    </row>
    <row r="799" spans="1:10">
      <c r="A799" s="5">
        <v>188399</v>
      </c>
      <c r="B799" s="5" t="s">
        <v>16</v>
      </c>
      <c r="C799" s="5" t="s">
        <v>38</v>
      </c>
      <c r="D799" s="5" t="s">
        <v>32</v>
      </c>
      <c r="E799" s="5" t="s">
        <v>13</v>
      </c>
      <c r="F799" s="5" t="s">
        <v>14</v>
      </c>
      <c r="G799" s="5" t="s">
        <v>15</v>
      </c>
      <c r="H799" s="5">
        <v>53319</v>
      </c>
      <c r="I799" s="5">
        <v>0</v>
      </c>
      <c r="J799" s="6">
        <f t="shared" si="12"/>
        <v>53319</v>
      </c>
    </row>
    <row r="800" spans="1:10">
      <c r="A800" s="5">
        <v>223203</v>
      </c>
      <c r="B800" s="5" t="s">
        <v>16</v>
      </c>
      <c r="C800" s="5" t="s">
        <v>25</v>
      </c>
      <c r="D800" s="5" t="s">
        <v>33</v>
      </c>
      <c r="E800" s="5" t="s">
        <v>19</v>
      </c>
      <c r="F800" s="5" t="s">
        <v>28</v>
      </c>
      <c r="G800" s="5" t="s">
        <v>24</v>
      </c>
      <c r="H800" s="5">
        <v>18268</v>
      </c>
      <c r="I800" s="5">
        <v>36</v>
      </c>
      <c r="J800" s="6">
        <f t="shared" si="12"/>
        <v>18232</v>
      </c>
    </row>
    <row r="801" spans="1:10">
      <c r="A801" s="5">
        <v>29100</v>
      </c>
      <c r="B801" s="5" t="s">
        <v>10</v>
      </c>
      <c r="C801" s="5" t="s">
        <v>35</v>
      </c>
      <c r="D801" s="5" t="s">
        <v>33</v>
      </c>
      <c r="E801" s="5" t="s">
        <v>13</v>
      </c>
      <c r="F801" s="5" t="s">
        <v>14</v>
      </c>
      <c r="G801" s="5" t="s">
        <v>15</v>
      </c>
      <c r="H801" s="5">
        <v>57252</v>
      </c>
      <c r="I801" s="5">
        <v>7765</v>
      </c>
      <c r="J801" s="6">
        <f t="shared" si="12"/>
        <v>49487</v>
      </c>
    </row>
    <row r="802" spans="1:10">
      <c r="A802" s="5">
        <v>102880</v>
      </c>
      <c r="B802" s="5" t="s">
        <v>10</v>
      </c>
      <c r="C802" s="5" t="s">
        <v>11</v>
      </c>
      <c r="D802" s="5" t="s">
        <v>30</v>
      </c>
      <c r="E802" s="5" t="s">
        <v>13</v>
      </c>
      <c r="F802" s="5" t="s">
        <v>14</v>
      </c>
      <c r="G802" s="5" t="s">
        <v>15</v>
      </c>
      <c r="H802" s="5">
        <v>320023</v>
      </c>
      <c r="I802" s="5">
        <v>11775</v>
      </c>
      <c r="J802" s="6">
        <f t="shared" si="12"/>
        <v>308248</v>
      </c>
    </row>
    <row r="803" spans="1:10">
      <c r="A803" s="5">
        <v>24654</v>
      </c>
      <c r="B803" s="5" t="s">
        <v>10</v>
      </c>
      <c r="C803" s="5" t="s">
        <v>11</v>
      </c>
      <c r="D803" s="5" t="s">
        <v>23</v>
      </c>
      <c r="E803" s="5" t="s">
        <v>19</v>
      </c>
      <c r="F803" s="5" t="s">
        <v>14</v>
      </c>
      <c r="G803" s="5" t="s">
        <v>24</v>
      </c>
      <c r="H803" s="5">
        <v>82447</v>
      </c>
      <c r="I803" s="5">
        <v>5248</v>
      </c>
      <c r="J803" s="6">
        <f t="shared" si="12"/>
        <v>77199</v>
      </c>
    </row>
    <row r="804" spans="1:10">
      <c r="A804" s="5">
        <v>194889</v>
      </c>
      <c r="B804" s="5" t="s">
        <v>16</v>
      </c>
      <c r="C804" s="5" t="s">
        <v>11</v>
      </c>
      <c r="D804" s="5" t="s">
        <v>33</v>
      </c>
      <c r="E804" s="5" t="s">
        <v>19</v>
      </c>
      <c r="F804" s="5" t="s">
        <v>14</v>
      </c>
      <c r="G804" s="5" t="s">
        <v>15</v>
      </c>
      <c r="H804" s="5">
        <v>86314</v>
      </c>
      <c r="I804" s="5">
        <v>1998</v>
      </c>
      <c r="J804" s="6">
        <f t="shared" si="12"/>
        <v>84316</v>
      </c>
    </row>
    <row r="805" spans="1:10">
      <c r="A805" s="5">
        <v>80861</v>
      </c>
      <c r="B805" s="5" t="s">
        <v>16</v>
      </c>
      <c r="C805" s="5" t="s">
        <v>38</v>
      </c>
      <c r="D805" s="5" t="s">
        <v>33</v>
      </c>
      <c r="E805" s="5" t="s">
        <v>19</v>
      </c>
      <c r="F805" s="5" t="s">
        <v>14</v>
      </c>
      <c r="G805" s="5" t="s">
        <v>15</v>
      </c>
      <c r="H805" s="5">
        <v>37153</v>
      </c>
      <c r="I805" s="5">
        <v>406</v>
      </c>
      <c r="J805" s="6">
        <f t="shared" si="12"/>
        <v>36747</v>
      </c>
    </row>
    <row r="806" spans="1:10">
      <c r="A806" s="5">
        <v>151263</v>
      </c>
      <c r="B806" s="5" t="s">
        <v>16</v>
      </c>
      <c r="C806" s="5" t="s">
        <v>22</v>
      </c>
      <c r="D806" s="5" t="s">
        <v>30</v>
      </c>
      <c r="E806" s="5" t="s">
        <v>13</v>
      </c>
      <c r="F806" s="5" t="s">
        <v>14</v>
      </c>
      <c r="G806" s="5" t="s">
        <v>24</v>
      </c>
      <c r="H806" s="5">
        <v>39718</v>
      </c>
      <c r="I806" s="5">
        <v>3016</v>
      </c>
      <c r="J806" s="6">
        <f t="shared" si="12"/>
        <v>36702</v>
      </c>
    </row>
    <row r="807" spans="1:10">
      <c r="A807" s="5">
        <v>27100</v>
      </c>
      <c r="B807" s="5" t="s">
        <v>16</v>
      </c>
      <c r="C807" s="5" t="s">
        <v>35</v>
      </c>
      <c r="D807" s="5" t="s">
        <v>30</v>
      </c>
      <c r="E807" s="5" t="s">
        <v>19</v>
      </c>
      <c r="F807" s="5" t="s">
        <v>14</v>
      </c>
      <c r="G807" s="5" t="s">
        <v>24</v>
      </c>
      <c r="H807" s="5">
        <v>87809</v>
      </c>
      <c r="I807" s="5">
        <v>8172</v>
      </c>
      <c r="J807" s="6">
        <f t="shared" si="12"/>
        <v>79637</v>
      </c>
    </row>
    <row r="808" spans="1:10">
      <c r="A808" s="5">
        <v>153875</v>
      </c>
      <c r="B808" s="5" t="s">
        <v>16</v>
      </c>
      <c r="C808" s="5" t="s">
        <v>25</v>
      </c>
      <c r="D808" s="5" t="s">
        <v>30</v>
      </c>
      <c r="E808" s="5" t="s">
        <v>13</v>
      </c>
      <c r="F808" s="5" t="s">
        <v>14</v>
      </c>
      <c r="G808" s="5" t="s">
        <v>15</v>
      </c>
      <c r="H808" s="5">
        <v>54434</v>
      </c>
      <c r="I808" s="5">
        <v>888</v>
      </c>
      <c r="J808" s="6">
        <f t="shared" si="12"/>
        <v>53546</v>
      </c>
    </row>
    <row r="809" spans="1:10">
      <c r="A809" s="5">
        <v>198016</v>
      </c>
      <c r="B809" s="5" t="s">
        <v>10</v>
      </c>
      <c r="C809" s="5" t="s">
        <v>38</v>
      </c>
      <c r="D809" s="5" t="s">
        <v>32</v>
      </c>
      <c r="E809" s="5" t="s">
        <v>19</v>
      </c>
      <c r="F809" s="5" t="s">
        <v>14</v>
      </c>
      <c r="G809" s="5" t="s">
        <v>15</v>
      </c>
      <c r="H809" s="5">
        <v>52726</v>
      </c>
      <c r="I809" s="5">
        <v>8</v>
      </c>
      <c r="J809" s="6">
        <f t="shared" si="12"/>
        <v>52718</v>
      </c>
    </row>
    <row r="810" spans="1:10">
      <c r="A810" s="5">
        <v>57957</v>
      </c>
      <c r="B810" s="5" t="s">
        <v>16</v>
      </c>
      <c r="C810" s="5" t="s">
        <v>20</v>
      </c>
      <c r="D810" s="5" t="s">
        <v>32</v>
      </c>
      <c r="E810" s="5" t="s">
        <v>13</v>
      </c>
      <c r="F810" s="5" t="s">
        <v>14</v>
      </c>
      <c r="G810" s="5" t="s">
        <v>15</v>
      </c>
      <c r="H810" s="5">
        <v>19594</v>
      </c>
      <c r="I810" s="5">
        <v>54</v>
      </c>
      <c r="J810" s="6">
        <f t="shared" si="12"/>
        <v>19540</v>
      </c>
    </row>
    <row r="811" spans="1:10">
      <c r="A811" s="5">
        <v>53102</v>
      </c>
      <c r="B811" s="5" t="s">
        <v>10</v>
      </c>
      <c r="C811" s="5" t="s">
        <v>35</v>
      </c>
      <c r="D811" s="5" t="s">
        <v>32</v>
      </c>
      <c r="E811" s="5" t="s">
        <v>13</v>
      </c>
      <c r="F811" s="5" t="s">
        <v>14</v>
      </c>
      <c r="G811" s="5" t="s">
        <v>15</v>
      </c>
      <c r="H811" s="5">
        <v>64882</v>
      </c>
      <c r="I811" s="5">
        <v>2008</v>
      </c>
      <c r="J811" s="6">
        <f t="shared" si="12"/>
        <v>62874</v>
      </c>
    </row>
    <row r="812" spans="1:10">
      <c r="A812" s="5">
        <v>124298</v>
      </c>
      <c r="B812" s="5" t="s">
        <v>10</v>
      </c>
      <c r="C812" s="5" t="s">
        <v>25</v>
      </c>
      <c r="D812" s="5" t="s">
        <v>23</v>
      </c>
      <c r="E812" s="5" t="s">
        <v>13</v>
      </c>
      <c r="F812" s="5" t="s">
        <v>28</v>
      </c>
      <c r="G812" s="5" t="s">
        <v>15</v>
      </c>
      <c r="H812" s="5">
        <v>126758</v>
      </c>
      <c r="I812" s="5">
        <v>6567</v>
      </c>
      <c r="J812" s="6">
        <f t="shared" si="12"/>
        <v>120191</v>
      </c>
    </row>
    <row r="813" spans="1:10">
      <c r="A813" s="5">
        <v>138401</v>
      </c>
      <c r="B813" s="5" t="s">
        <v>10</v>
      </c>
      <c r="C813" s="5" t="s">
        <v>25</v>
      </c>
      <c r="D813" s="5" t="s">
        <v>12</v>
      </c>
      <c r="E813" s="5" t="s">
        <v>19</v>
      </c>
      <c r="F813" s="5" t="s">
        <v>14</v>
      </c>
      <c r="G813" s="5" t="s">
        <v>24</v>
      </c>
      <c r="H813" s="5">
        <v>61883</v>
      </c>
      <c r="I813" s="5">
        <v>2491</v>
      </c>
      <c r="J813" s="6">
        <f t="shared" si="12"/>
        <v>59392</v>
      </c>
    </row>
    <row r="814" spans="1:10">
      <c r="A814" s="5">
        <v>50588</v>
      </c>
      <c r="B814" s="5" t="s">
        <v>16</v>
      </c>
      <c r="C814" s="5" t="s">
        <v>35</v>
      </c>
      <c r="D814" s="5" t="s">
        <v>12</v>
      </c>
      <c r="E814" s="5" t="s">
        <v>13</v>
      </c>
      <c r="F814" s="5" t="s">
        <v>14</v>
      </c>
      <c r="G814" s="5" t="s">
        <v>15</v>
      </c>
      <c r="H814" s="5">
        <v>-80309</v>
      </c>
      <c r="I814" s="5">
        <v>6086</v>
      </c>
      <c r="J814" s="6">
        <f t="shared" si="12"/>
        <v>-86395</v>
      </c>
    </row>
    <row r="815" spans="1:10">
      <c r="A815" s="5">
        <v>96731</v>
      </c>
      <c r="B815" s="5" t="s">
        <v>16</v>
      </c>
      <c r="C815" s="5" t="s">
        <v>34</v>
      </c>
      <c r="D815" s="5" t="s">
        <v>33</v>
      </c>
      <c r="E815" s="5" t="s">
        <v>13</v>
      </c>
      <c r="F815" s="5" t="s">
        <v>28</v>
      </c>
      <c r="G815" s="5" t="s">
        <v>15</v>
      </c>
      <c r="H815" s="5">
        <v>75532</v>
      </c>
      <c r="I815" s="5">
        <v>2777</v>
      </c>
      <c r="J815" s="6">
        <f t="shared" si="12"/>
        <v>72755</v>
      </c>
    </row>
    <row r="816" spans="1:10">
      <c r="A816" s="5">
        <v>257304</v>
      </c>
      <c r="B816" s="5" t="s">
        <v>10</v>
      </c>
      <c r="C816" s="5" t="s">
        <v>17</v>
      </c>
      <c r="D816" s="5" t="s">
        <v>23</v>
      </c>
      <c r="E816" s="5" t="s">
        <v>19</v>
      </c>
      <c r="F816" s="5" t="s">
        <v>14</v>
      </c>
      <c r="G816" s="5" t="s">
        <v>24</v>
      </c>
      <c r="H816" s="5">
        <v>108991</v>
      </c>
      <c r="I816" s="5">
        <v>16430</v>
      </c>
      <c r="J816" s="6">
        <f t="shared" si="12"/>
        <v>92561</v>
      </c>
    </row>
    <row r="817" spans="1:10">
      <c r="A817" s="5">
        <v>20559</v>
      </c>
      <c r="B817" s="5" t="s">
        <v>16</v>
      </c>
      <c r="C817" s="5" t="s">
        <v>11</v>
      </c>
      <c r="D817" s="5" t="s">
        <v>33</v>
      </c>
      <c r="E817" s="5" t="s">
        <v>13</v>
      </c>
      <c r="F817" s="5" t="s">
        <v>14</v>
      </c>
      <c r="G817" s="5" t="s">
        <v>24</v>
      </c>
      <c r="H817" s="5">
        <v>38472</v>
      </c>
      <c r="I817" s="5">
        <v>1453</v>
      </c>
      <c r="J817" s="6">
        <f t="shared" si="12"/>
        <v>37019</v>
      </c>
    </row>
    <row r="818" spans="1:10">
      <c r="A818" s="5">
        <v>113044</v>
      </c>
      <c r="B818" s="5" t="s">
        <v>16</v>
      </c>
      <c r="C818" s="5" t="s">
        <v>22</v>
      </c>
      <c r="D818" s="5" t="s">
        <v>21</v>
      </c>
      <c r="E818" s="5" t="s">
        <v>19</v>
      </c>
      <c r="F818" s="5" t="s">
        <v>14</v>
      </c>
      <c r="G818" s="5" t="s">
        <v>15</v>
      </c>
      <c r="H818" s="5">
        <v>24630</v>
      </c>
      <c r="I818" s="5">
        <v>59</v>
      </c>
      <c r="J818" s="6">
        <f t="shared" si="12"/>
        <v>24571</v>
      </c>
    </row>
    <row r="819" spans="1:10">
      <c r="A819" s="5">
        <v>211924</v>
      </c>
      <c r="B819" s="5" t="s">
        <v>16</v>
      </c>
      <c r="C819" s="5" t="s">
        <v>37</v>
      </c>
      <c r="D819" s="5" t="s">
        <v>36</v>
      </c>
      <c r="E819" s="5" t="s">
        <v>13</v>
      </c>
      <c r="F819" s="5" t="s">
        <v>14</v>
      </c>
      <c r="G819" s="5" t="s">
        <v>15</v>
      </c>
      <c r="H819" s="5">
        <v>71227</v>
      </c>
      <c r="I819" s="5">
        <v>896</v>
      </c>
      <c r="J819" s="6">
        <f t="shared" si="12"/>
        <v>70331</v>
      </c>
    </row>
    <row r="820" spans="1:10">
      <c r="A820" s="5">
        <v>177714</v>
      </c>
      <c r="B820" s="5" t="s">
        <v>16</v>
      </c>
      <c r="C820" s="5" t="s">
        <v>11</v>
      </c>
      <c r="D820" s="5" t="s">
        <v>36</v>
      </c>
      <c r="E820" s="5" t="s">
        <v>19</v>
      </c>
      <c r="F820" s="5" t="s">
        <v>28</v>
      </c>
      <c r="G820" s="5" t="s">
        <v>24</v>
      </c>
      <c r="H820" s="5">
        <v>44382</v>
      </c>
      <c r="I820" s="5">
        <v>272</v>
      </c>
      <c r="J820" s="6">
        <f t="shared" si="12"/>
        <v>44110</v>
      </c>
    </row>
    <row r="821" spans="1:10">
      <c r="A821" s="5">
        <v>77093</v>
      </c>
      <c r="B821" s="5" t="s">
        <v>16</v>
      </c>
      <c r="C821" s="5" t="s">
        <v>35</v>
      </c>
      <c r="D821" s="5" t="s">
        <v>30</v>
      </c>
      <c r="E821" s="5" t="s">
        <v>19</v>
      </c>
      <c r="F821" s="5" t="s">
        <v>14</v>
      </c>
      <c r="G821" s="5" t="s">
        <v>15</v>
      </c>
      <c r="H821" s="5">
        <v>137272</v>
      </c>
      <c r="I821" s="5">
        <v>2971</v>
      </c>
      <c r="J821" s="6">
        <f t="shared" si="12"/>
        <v>134301</v>
      </c>
    </row>
    <row r="822" spans="1:10">
      <c r="A822" s="5">
        <v>7788</v>
      </c>
      <c r="B822" s="5" t="s">
        <v>10</v>
      </c>
      <c r="C822" s="5" t="s">
        <v>39</v>
      </c>
      <c r="D822" s="5" t="s">
        <v>30</v>
      </c>
      <c r="E822" s="5" t="s">
        <v>19</v>
      </c>
      <c r="F822" s="5" t="s">
        <v>14</v>
      </c>
      <c r="G822" s="5" t="s">
        <v>15</v>
      </c>
      <c r="H822" s="5">
        <v>116772</v>
      </c>
      <c r="I822" s="5">
        <v>3507</v>
      </c>
      <c r="J822" s="6">
        <f t="shared" si="12"/>
        <v>113265</v>
      </c>
    </row>
    <row r="823" spans="1:10">
      <c r="A823" s="5">
        <v>193704</v>
      </c>
      <c r="B823" s="5" t="s">
        <v>10</v>
      </c>
      <c r="C823" s="5" t="s">
        <v>38</v>
      </c>
      <c r="D823" s="5" t="s">
        <v>26</v>
      </c>
      <c r="E823" s="5" t="s">
        <v>19</v>
      </c>
      <c r="F823" s="5" t="s">
        <v>14</v>
      </c>
      <c r="G823" s="5" t="s">
        <v>24</v>
      </c>
      <c r="H823" s="5">
        <v>35497</v>
      </c>
      <c r="I823" s="5">
        <v>3720</v>
      </c>
      <c r="J823" s="6">
        <f t="shared" si="12"/>
        <v>31777</v>
      </c>
    </row>
    <row r="824" spans="1:10">
      <c r="A824" s="5">
        <v>79817</v>
      </c>
      <c r="B824" s="5" t="s">
        <v>10</v>
      </c>
      <c r="C824" s="5" t="s">
        <v>38</v>
      </c>
      <c r="D824" s="5" t="s">
        <v>30</v>
      </c>
      <c r="E824" s="5" t="s">
        <v>13</v>
      </c>
      <c r="F824" s="5" t="s">
        <v>14</v>
      </c>
      <c r="G824" s="5" t="s">
        <v>24</v>
      </c>
      <c r="H824" s="5">
        <v>34728</v>
      </c>
      <c r="I824" s="5">
        <v>160</v>
      </c>
      <c r="J824" s="6">
        <f t="shared" si="12"/>
        <v>34568</v>
      </c>
    </row>
    <row r="825" spans="1:10">
      <c r="A825" s="5">
        <v>54297</v>
      </c>
      <c r="B825" s="5" t="s">
        <v>10</v>
      </c>
      <c r="C825" s="5" t="s">
        <v>35</v>
      </c>
      <c r="D825" s="5" t="s">
        <v>36</v>
      </c>
      <c r="E825" s="5" t="s">
        <v>13</v>
      </c>
      <c r="F825" s="5" t="s">
        <v>28</v>
      </c>
      <c r="G825" s="5" t="s">
        <v>24</v>
      </c>
      <c r="H825" s="5">
        <v>58264</v>
      </c>
      <c r="I825" s="5">
        <v>2198</v>
      </c>
      <c r="J825" s="6">
        <f t="shared" si="12"/>
        <v>56066</v>
      </c>
    </row>
    <row r="826" spans="1:10">
      <c r="A826" s="5">
        <v>161943</v>
      </c>
      <c r="B826" s="5" t="s">
        <v>10</v>
      </c>
      <c r="C826" s="5" t="s">
        <v>25</v>
      </c>
      <c r="D826" s="5" t="s">
        <v>21</v>
      </c>
      <c r="E826" s="5" t="s">
        <v>19</v>
      </c>
      <c r="F826" s="5" t="s">
        <v>28</v>
      </c>
      <c r="G826" s="5" t="s">
        <v>24</v>
      </c>
      <c r="H826" s="5">
        <v>74208</v>
      </c>
      <c r="I826" s="5">
        <v>7317</v>
      </c>
      <c r="J826" s="6">
        <f t="shared" si="12"/>
        <v>66891</v>
      </c>
    </row>
    <row r="827" spans="1:10">
      <c r="A827" s="5">
        <v>178022</v>
      </c>
      <c r="B827" s="5" t="s">
        <v>16</v>
      </c>
      <c r="C827" s="5" t="s">
        <v>25</v>
      </c>
      <c r="D827" s="5" t="s">
        <v>33</v>
      </c>
      <c r="E827" s="5" t="s">
        <v>19</v>
      </c>
      <c r="F827" s="5" t="s">
        <v>14</v>
      </c>
      <c r="G827" s="5" t="s">
        <v>15</v>
      </c>
      <c r="H827" s="5">
        <v>69939</v>
      </c>
      <c r="I827" s="5">
        <v>1470</v>
      </c>
      <c r="J827" s="6">
        <f t="shared" si="12"/>
        <v>68469</v>
      </c>
    </row>
    <row r="828" spans="1:10">
      <c r="A828" s="5">
        <v>33275</v>
      </c>
      <c r="B828" s="5" t="s">
        <v>16</v>
      </c>
      <c r="C828" s="5" t="s">
        <v>27</v>
      </c>
      <c r="D828" s="5" t="s">
        <v>26</v>
      </c>
      <c r="E828" s="5" t="s">
        <v>13</v>
      </c>
      <c r="F828" s="5" t="s">
        <v>14</v>
      </c>
      <c r="G828" s="5" t="s">
        <v>15</v>
      </c>
      <c r="H828" s="5">
        <v>26041</v>
      </c>
      <c r="I828" s="5">
        <v>5824</v>
      </c>
      <c r="J828" s="6">
        <f t="shared" si="12"/>
        <v>20217</v>
      </c>
    </row>
    <row r="829" spans="1:10">
      <c r="A829" s="5">
        <v>249669</v>
      </c>
      <c r="B829" s="5" t="s">
        <v>16</v>
      </c>
      <c r="C829" s="5" t="s">
        <v>34</v>
      </c>
      <c r="D829" s="5" t="s">
        <v>30</v>
      </c>
      <c r="E829" s="5" t="s">
        <v>19</v>
      </c>
      <c r="F829" s="5" t="s">
        <v>14</v>
      </c>
      <c r="G829" s="5" t="s">
        <v>24</v>
      </c>
      <c r="H829" s="5">
        <v>77359</v>
      </c>
      <c r="I829" s="5">
        <v>2313</v>
      </c>
      <c r="J829" s="6">
        <f t="shared" si="12"/>
        <v>75046</v>
      </c>
    </row>
    <row r="830" spans="1:10">
      <c r="A830" s="5">
        <v>168241</v>
      </c>
      <c r="B830" s="5" t="s">
        <v>10</v>
      </c>
      <c r="C830" s="5" t="s">
        <v>22</v>
      </c>
      <c r="D830" s="5" t="s">
        <v>23</v>
      </c>
      <c r="E830" s="5" t="s">
        <v>19</v>
      </c>
      <c r="F830" s="5" t="s">
        <v>28</v>
      </c>
      <c r="G830" s="5" t="s">
        <v>15</v>
      </c>
      <c r="H830" s="5">
        <v>74546</v>
      </c>
      <c r="I830" s="5">
        <v>7875</v>
      </c>
      <c r="J830" s="6">
        <f t="shared" si="12"/>
        <v>66671</v>
      </c>
    </row>
    <row r="831" spans="1:10">
      <c r="A831" s="5">
        <v>220425</v>
      </c>
      <c r="B831" s="5" t="s">
        <v>10</v>
      </c>
      <c r="C831" s="5" t="s">
        <v>25</v>
      </c>
      <c r="D831" s="5" t="s">
        <v>29</v>
      </c>
      <c r="E831" s="5" t="s">
        <v>19</v>
      </c>
      <c r="F831" s="5" t="s">
        <v>14</v>
      </c>
      <c r="G831" s="5" t="s">
        <v>15</v>
      </c>
      <c r="H831" s="5">
        <v>106253</v>
      </c>
      <c r="I831" s="5">
        <v>17088</v>
      </c>
      <c r="J831" s="6">
        <f t="shared" si="12"/>
        <v>89165</v>
      </c>
    </row>
    <row r="832" spans="1:10">
      <c r="A832" s="5">
        <v>96183</v>
      </c>
      <c r="B832" s="5" t="s">
        <v>10</v>
      </c>
      <c r="C832" s="5" t="s">
        <v>37</v>
      </c>
      <c r="D832" s="5" t="s">
        <v>32</v>
      </c>
      <c r="E832" s="5" t="s">
        <v>13</v>
      </c>
      <c r="F832" s="5" t="s">
        <v>14</v>
      </c>
      <c r="G832" s="5" t="s">
        <v>15</v>
      </c>
      <c r="H832" s="5">
        <v>9505</v>
      </c>
      <c r="I832" s="5">
        <v>0</v>
      </c>
      <c r="J832" s="6">
        <f t="shared" si="12"/>
        <v>9505</v>
      </c>
    </row>
    <row r="833" spans="1:10">
      <c r="A833" s="5">
        <v>142035</v>
      </c>
      <c r="B833" s="5" t="s">
        <v>16</v>
      </c>
      <c r="C833" s="5" t="s">
        <v>17</v>
      </c>
      <c r="D833" s="5" t="s">
        <v>26</v>
      </c>
      <c r="E833" s="5" t="s">
        <v>19</v>
      </c>
      <c r="F833" s="5" t="s">
        <v>14</v>
      </c>
      <c r="G833" s="5" t="s">
        <v>24</v>
      </c>
      <c r="H833" s="5">
        <v>36431</v>
      </c>
      <c r="I833" s="5">
        <v>324</v>
      </c>
      <c r="J833" s="6">
        <f t="shared" si="12"/>
        <v>36107</v>
      </c>
    </row>
    <row r="834" spans="1:10">
      <c r="A834" s="5">
        <v>80578</v>
      </c>
      <c r="B834" s="5" t="s">
        <v>10</v>
      </c>
      <c r="C834" s="5" t="s">
        <v>38</v>
      </c>
      <c r="D834" s="5" t="s">
        <v>30</v>
      </c>
      <c r="E834" s="5" t="s">
        <v>13</v>
      </c>
      <c r="F834" s="5" t="s">
        <v>28</v>
      </c>
      <c r="G834" s="5" t="s">
        <v>15</v>
      </c>
      <c r="H834" s="5">
        <v>22652</v>
      </c>
      <c r="I834" s="5">
        <v>0</v>
      </c>
      <c r="J834" s="6">
        <f t="shared" ref="J834:J897" si="13">H834-I834</f>
        <v>22652</v>
      </c>
    </row>
    <row r="835" spans="1:10">
      <c r="A835" s="5">
        <v>218513</v>
      </c>
      <c r="B835" s="5" t="s">
        <v>16</v>
      </c>
      <c r="C835" s="5" t="s">
        <v>37</v>
      </c>
      <c r="D835" s="5" t="s">
        <v>33</v>
      </c>
      <c r="E835" s="5" t="s">
        <v>13</v>
      </c>
      <c r="F835" s="5" t="s">
        <v>14</v>
      </c>
      <c r="G835" s="5" t="s">
        <v>15</v>
      </c>
      <c r="H835" s="5">
        <v>17364</v>
      </c>
      <c r="I835" s="5">
        <v>2112</v>
      </c>
      <c r="J835" s="6">
        <f t="shared" si="13"/>
        <v>15252</v>
      </c>
    </row>
    <row r="836" spans="1:10">
      <c r="A836" s="5">
        <v>105290</v>
      </c>
      <c r="B836" s="5" t="s">
        <v>16</v>
      </c>
      <c r="C836" s="5" t="s">
        <v>22</v>
      </c>
      <c r="D836" s="5" t="s">
        <v>36</v>
      </c>
      <c r="E836" s="5" t="s">
        <v>13</v>
      </c>
      <c r="F836" s="5" t="s">
        <v>14</v>
      </c>
      <c r="G836" s="5" t="s">
        <v>15</v>
      </c>
      <c r="H836" s="5">
        <v>34967</v>
      </c>
      <c r="I836" s="5">
        <v>495</v>
      </c>
      <c r="J836" s="6">
        <f t="shared" si="13"/>
        <v>34472</v>
      </c>
    </row>
    <row r="837" spans="1:10">
      <c r="A837" s="5">
        <v>127505</v>
      </c>
      <c r="B837" s="5" t="s">
        <v>16</v>
      </c>
      <c r="C837" s="5" t="s">
        <v>27</v>
      </c>
      <c r="D837" s="5" t="s">
        <v>30</v>
      </c>
      <c r="E837" s="5" t="s">
        <v>13</v>
      </c>
      <c r="F837" s="5" t="s">
        <v>28</v>
      </c>
      <c r="G837" s="5" t="s">
        <v>15</v>
      </c>
      <c r="H837" s="5">
        <v>78369</v>
      </c>
      <c r="I837" s="5">
        <v>1082</v>
      </c>
      <c r="J837" s="6">
        <f t="shared" si="13"/>
        <v>77287</v>
      </c>
    </row>
    <row r="838" spans="1:10">
      <c r="A838" s="5">
        <v>217415</v>
      </c>
      <c r="B838" s="5" t="s">
        <v>10</v>
      </c>
      <c r="C838" s="5" t="s">
        <v>20</v>
      </c>
      <c r="D838" s="5" t="s">
        <v>21</v>
      </c>
      <c r="E838" s="5" t="s">
        <v>19</v>
      </c>
      <c r="F838" s="5" t="s">
        <v>28</v>
      </c>
      <c r="G838" s="5" t="s">
        <v>15</v>
      </c>
      <c r="H838" s="5">
        <v>34612</v>
      </c>
      <c r="I838" s="5">
        <v>0</v>
      </c>
      <c r="J838" s="6">
        <f t="shared" si="13"/>
        <v>34612</v>
      </c>
    </row>
    <row r="839" spans="1:10">
      <c r="A839" s="5">
        <v>242852</v>
      </c>
      <c r="B839" s="5" t="s">
        <v>10</v>
      </c>
      <c r="C839" s="5" t="s">
        <v>17</v>
      </c>
      <c r="D839" s="5" t="s">
        <v>33</v>
      </c>
      <c r="E839" s="5" t="s">
        <v>19</v>
      </c>
      <c r="F839" s="5" t="s">
        <v>28</v>
      </c>
      <c r="G839" s="5" t="s">
        <v>15</v>
      </c>
      <c r="H839" s="5">
        <v>39485</v>
      </c>
      <c r="I839" s="5">
        <v>115</v>
      </c>
      <c r="J839" s="6">
        <f t="shared" si="13"/>
        <v>39370</v>
      </c>
    </row>
    <row r="840" spans="1:10">
      <c r="A840" s="5">
        <v>87257</v>
      </c>
      <c r="B840" s="5" t="s">
        <v>10</v>
      </c>
      <c r="C840" s="5" t="s">
        <v>20</v>
      </c>
      <c r="D840" s="5" t="s">
        <v>32</v>
      </c>
      <c r="E840" s="5" t="s">
        <v>13</v>
      </c>
      <c r="F840" s="5" t="s">
        <v>14</v>
      </c>
      <c r="G840" s="5" t="s">
        <v>15</v>
      </c>
      <c r="H840" s="5">
        <v>11072</v>
      </c>
      <c r="I840" s="5">
        <v>2392</v>
      </c>
      <c r="J840" s="6">
        <f t="shared" si="13"/>
        <v>8680</v>
      </c>
    </row>
    <row r="841" spans="1:10">
      <c r="A841" s="5">
        <v>17403</v>
      </c>
      <c r="B841" s="5" t="s">
        <v>10</v>
      </c>
      <c r="C841" s="5" t="s">
        <v>34</v>
      </c>
      <c r="D841" s="5" t="s">
        <v>23</v>
      </c>
      <c r="E841" s="5" t="s">
        <v>13</v>
      </c>
      <c r="F841" s="5" t="s">
        <v>14</v>
      </c>
      <c r="G841" s="5" t="s">
        <v>15</v>
      </c>
      <c r="H841" s="5">
        <v>75600</v>
      </c>
      <c r="I841" s="5">
        <v>4665</v>
      </c>
      <c r="J841" s="6">
        <f t="shared" si="13"/>
        <v>70935</v>
      </c>
    </row>
    <row r="842" spans="1:10">
      <c r="A842" s="5">
        <v>69177</v>
      </c>
      <c r="B842" s="5" t="s">
        <v>16</v>
      </c>
      <c r="C842" s="5" t="s">
        <v>27</v>
      </c>
      <c r="D842" s="5" t="s">
        <v>30</v>
      </c>
      <c r="E842" s="5" t="s">
        <v>13</v>
      </c>
      <c r="F842" s="5" t="s">
        <v>14</v>
      </c>
      <c r="G842" s="5" t="s">
        <v>15</v>
      </c>
      <c r="H842" s="5">
        <v>36178</v>
      </c>
      <c r="I842" s="5">
        <v>484</v>
      </c>
      <c r="J842" s="6">
        <f t="shared" si="13"/>
        <v>35694</v>
      </c>
    </row>
    <row r="843" spans="1:10">
      <c r="A843" s="5">
        <v>29307</v>
      </c>
      <c r="B843" s="5" t="s">
        <v>10</v>
      </c>
      <c r="C843" s="5" t="s">
        <v>34</v>
      </c>
      <c r="D843" s="5" t="s">
        <v>23</v>
      </c>
      <c r="E843" s="5" t="s">
        <v>13</v>
      </c>
      <c r="F843" s="5" t="s">
        <v>28</v>
      </c>
      <c r="G843" s="5" t="s">
        <v>24</v>
      </c>
      <c r="H843" s="5">
        <v>127940</v>
      </c>
      <c r="I843" s="5">
        <v>1077</v>
      </c>
      <c r="J843" s="6">
        <f t="shared" si="13"/>
        <v>126863</v>
      </c>
    </row>
    <row r="844" spans="1:10">
      <c r="A844" s="5">
        <v>7174</v>
      </c>
      <c r="B844" s="5" t="s">
        <v>10</v>
      </c>
      <c r="C844" s="5" t="s">
        <v>39</v>
      </c>
      <c r="D844" s="5" t="s">
        <v>32</v>
      </c>
      <c r="E844" s="5" t="s">
        <v>13</v>
      </c>
      <c r="F844" s="5" t="s">
        <v>14</v>
      </c>
      <c r="G844" s="5" t="s">
        <v>15</v>
      </c>
      <c r="H844" s="5">
        <v>377234</v>
      </c>
      <c r="I844" s="5">
        <v>28082</v>
      </c>
      <c r="J844" s="6">
        <f t="shared" si="13"/>
        <v>349152</v>
      </c>
    </row>
    <row r="845" spans="1:10">
      <c r="A845" s="5">
        <v>247546</v>
      </c>
      <c r="B845" s="5" t="s">
        <v>10</v>
      </c>
      <c r="C845" s="5" t="s">
        <v>25</v>
      </c>
      <c r="D845" s="5" t="s">
        <v>33</v>
      </c>
      <c r="E845" s="5" t="s">
        <v>19</v>
      </c>
      <c r="F845" s="5" t="s">
        <v>14</v>
      </c>
      <c r="G845" s="5" t="s">
        <v>24</v>
      </c>
      <c r="H845" s="5">
        <v>54022</v>
      </c>
      <c r="I845" s="5">
        <v>759</v>
      </c>
      <c r="J845" s="6">
        <f t="shared" si="13"/>
        <v>53263</v>
      </c>
    </row>
    <row r="846" spans="1:10">
      <c r="A846" s="5">
        <v>147916</v>
      </c>
      <c r="B846" s="5" t="s">
        <v>16</v>
      </c>
      <c r="C846" s="5" t="s">
        <v>17</v>
      </c>
      <c r="D846" s="5" t="s">
        <v>18</v>
      </c>
      <c r="E846" s="5" t="s">
        <v>13</v>
      </c>
      <c r="F846" s="5" t="s">
        <v>14</v>
      </c>
      <c r="G846" s="5" t="s">
        <v>24</v>
      </c>
      <c r="H846" s="5">
        <v>11801</v>
      </c>
      <c r="I846" s="5">
        <v>189</v>
      </c>
      <c r="J846" s="6">
        <f t="shared" si="13"/>
        <v>11612</v>
      </c>
    </row>
    <row r="847" spans="1:10">
      <c r="A847" s="5">
        <v>220521</v>
      </c>
      <c r="B847" s="5" t="s">
        <v>10</v>
      </c>
      <c r="C847" s="5" t="s">
        <v>25</v>
      </c>
      <c r="D847" s="5" t="s">
        <v>23</v>
      </c>
      <c r="E847" s="5" t="s">
        <v>19</v>
      </c>
      <c r="F847" s="5" t="s">
        <v>14</v>
      </c>
      <c r="G847" s="5" t="s">
        <v>24</v>
      </c>
      <c r="H847" s="5">
        <v>50305</v>
      </c>
      <c r="I847" s="5">
        <v>324</v>
      </c>
      <c r="J847" s="6">
        <f t="shared" si="13"/>
        <v>49981</v>
      </c>
    </row>
    <row r="848" spans="1:10">
      <c r="A848" s="5">
        <v>253861</v>
      </c>
      <c r="B848" s="5" t="s">
        <v>10</v>
      </c>
      <c r="C848" s="5" t="s">
        <v>17</v>
      </c>
      <c r="D848" s="5" t="s">
        <v>32</v>
      </c>
      <c r="E848" s="5" t="s">
        <v>19</v>
      </c>
      <c r="F848" s="5" t="s">
        <v>14</v>
      </c>
      <c r="G848" s="5" t="s">
        <v>24</v>
      </c>
      <c r="H848" s="5">
        <v>88866</v>
      </c>
      <c r="I848" s="5">
        <v>0</v>
      </c>
      <c r="J848" s="6">
        <f t="shared" si="13"/>
        <v>88866</v>
      </c>
    </row>
    <row r="849" spans="1:10">
      <c r="A849" s="5">
        <v>48508</v>
      </c>
      <c r="B849" s="5" t="s">
        <v>10</v>
      </c>
      <c r="C849" s="5" t="s">
        <v>34</v>
      </c>
      <c r="D849" s="5" t="s">
        <v>32</v>
      </c>
      <c r="E849" s="5" t="s">
        <v>19</v>
      </c>
      <c r="F849" s="5" t="s">
        <v>14</v>
      </c>
      <c r="G849" s="5" t="s">
        <v>15</v>
      </c>
      <c r="H849" s="5">
        <v>11944</v>
      </c>
      <c r="I849" s="5">
        <v>0</v>
      </c>
      <c r="J849" s="6">
        <f t="shared" si="13"/>
        <v>11944</v>
      </c>
    </row>
    <row r="850" spans="1:10">
      <c r="A850" s="5">
        <v>135993</v>
      </c>
      <c r="B850" s="5" t="s">
        <v>10</v>
      </c>
      <c r="C850" s="5" t="s">
        <v>22</v>
      </c>
      <c r="D850" s="5" t="s">
        <v>26</v>
      </c>
      <c r="E850" s="5" t="s">
        <v>13</v>
      </c>
      <c r="F850" s="5" t="s">
        <v>28</v>
      </c>
      <c r="G850" s="5" t="s">
        <v>24</v>
      </c>
      <c r="H850" s="5">
        <v>39774</v>
      </c>
      <c r="I850" s="5">
        <v>319</v>
      </c>
      <c r="J850" s="6">
        <f t="shared" si="13"/>
        <v>39455</v>
      </c>
    </row>
    <row r="851" spans="1:10">
      <c r="A851" s="5">
        <v>111316</v>
      </c>
      <c r="B851" s="5" t="s">
        <v>16</v>
      </c>
      <c r="C851" s="5" t="s">
        <v>17</v>
      </c>
      <c r="D851" s="5" t="s">
        <v>18</v>
      </c>
      <c r="E851" s="5" t="s">
        <v>19</v>
      </c>
      <c r="F851" s="5" t="s">
        <v>14</v>
      </c>
      <c r="G851" s="5" t="s">
        <v>24</v>
      </c>
      <c r="H851" s="5">
        <v>2132</v>
      </c>
      <c r="I851" s="5">
        <v>0</v>
      </c>
      <c r="J851" s="6">
        <f t="shared" si="13"/>
        <v>2132</v>
      </c>
    </row>
    <row r="852" spans="1:10">
      <c r="A852" s="5">
        <v>78098</v>
      </c>
      <c r="B852" s="5" t="s">
        <v>16</v>
      </c>
      <c r="C852" s="5" t="s">
        <v>27</v>
      </c>
      <c r="D852" s="5" t="s">
        <v>33</v>
      </c>
      <c r="E852" s="5" t="s">
        <v>19</v>
      </c>
      <c r="F852" s="5" t="s">
        <v>28</v>
      </c>
      <c r="G852" s="5" t="s">
        <v>24</v>
      </c>
      <c r="H852" s="5">
        <v>29960</v>
      </c>
      <c r="I852" s="5">
        <v>0</v>
      </c>
      <c r="J852" s="6">
        <f t="shared" si="13"/>
        <v>29960</v>
      </c>
    </row>
    <row r="853" spans="1:10">
      <c r="A853" s="5">
        <v>208478</v>
      </c>
      <c r="B853" s="5" t="s">
        <v>10</v>
      </c>
      <c r="C853" s="5" t="s">
        <v>39</v>
      </c>
      <c r="D853" s="5" t="s">
        <v>32</v>
      </c>
      <c r="E853" s="5" t="s">
        <v>19</v>
      </c>
      <c r="F853" s="5" t="s">
        <v>14</v>
      </c>
      <c r="G853" s="5" t="s">
        <v>24</v>
      </c>
      <c r="H853" s="5">
        <v>5395</v>
      </c>
      <c r="I853" s="5">
        <v>0</v>
      </c>
      <c r="J853" s="6">
        <f t="shared" si="13"/>
        <v>5395</v>
      </c>
    </row>
    <row r="854" spans="1:10">
      <c r="A854" s="5">
        <v>105776</v>
      </c>
      <c r="B854" s="5" t="s">
        <v>10</v>
      </c>
      <c r="C854" s="5" t="s">
        <v>22</v>
      </c>
      <c r="D854" s="5" t="s">
        <v>30</v>
      </c>
      <c r="E854" s="5" t="s">
        <v>13</v>
      </c>
      <c r="F854" s="5" t="s">
        <v>28</v>
      </c>
      <c r="G854" s="5" t="s">
        <v>15</v>
      </c>
      <c r="H854" s="5">
        <v>113383</v>
      </c>
      <c r="I854" s="5">
        <v>1040</v>
      </c>
      <c r="J854" s="6">
        <f t="shared" si="13"/>
        <v>112343</v>
      </c>
    </row>
    <row r="855" spans="1:10">
      <c r="A855" s="5">
        <v>168970</v>
      </c>
      <c r="B855" s="5" t="s">
        <v>16</v>
      </c>
      <c r="C855" s="5" t="s">
        <v>22</v>
      </c>
      <c r="D855" s="5" t="s">
        <v>30</v>
      </c>
      <c r="E855" s="5" t="s">
        <v>19</v>
      </c>
      <c r="F855" s="5" t="s">
        <v>14</v>
      </c>
      <c r="G855" s="5" t="s">
        <v>15</v>
      </c>
      <c r="H855" s="5">
        <v>59246</v>
      </c>
      <c r="I855" s="5">
        <v>3589</v>
      </c>
      <c r="J855" s="6">
        <f t="shared" si="13"/>
        <v>55657</v>
      </c>
    </row>
    <row r="856" spans="1:10">
      <c r="A856" s="5">
        <v>46000</v>
      </c>
      <c r="B856" s="5" t="s">
        <v>10</v>
      </c>
      <c r="C856" s="5" t="s">
        <v>35</v>
      </c>
      <c r="D856" s="5" t="s">
        <v>30</v>
      </c>
      <c r="E856" s="5" t="s">
        <v>19</v>
      </c>
      <c r="F856" s="5" t="s">
        <v>14</v>
      </c>
      <c r="G856" s="5" t="s">
        <v>24</v>
      </c>
      <c r="H856" s="5">
        <v>41182</v>
      </c>
      <c r="I856" s="5">
        <v>759</v>
      </c>
      <c r="J856" s="6">
        <f t="shared" si="13"/>
        <v>40423</v>
      </c>
    </row>
    <row r="857" spans="1:10">
      <c r="A857" s="5">
        <v>28428</v>
      </c>
      <c r="B857" s="5" t="s">
        <v>16</v>
      </c>
      <c r="C857" s="5" t="s">
        <v>11</v>
      </c>
      <c r="D857" s="5" t="s">
        <v>32</v>
      </c>
      <c r="E857" s="5" t="s">
        <v>13</v>
      </c>
      <c r="F857" s="5" t="s">
        <v>14</v>
      </c>
      <c r="G857" s="5" t="s">
        <v>15</v>
      </c>
      <c r="H857" s="5">
        <v>3447</v>
      </c>
      <c r="I857" s="5">
        <v>121</v>
      </c>
      <c r="J857" s="6">
        <f t="shared" si="13"/>
        <v>3326</v>
      </c>
    </row>
    <row r="858" spans="1:10">
      <c r="A858" s="5">
        <v>97435</v>
      </c>
      <c r="B858" s="5" t="s">
        <v>10</v>
      </c>
      <c r="C858" s="5" t="s">
        <v>37</v>
      </c>
      <c r="D858" s="5" t="s">
        <v>33</v>
      </c>
      <c r="E858" s="5" t="s">
        <v>13</v>
      </c>
      <c r="F858" s="5" t="s">
        <v>14</v>
      </c>
      <c r="G858" s="5" t="s">
        <v>15</v>
      </c>
      <c r="H858" s="5">
        <v>91030</v>
      </c>
      <c r="I858" s="5">
        <v>1700</v>
      </c>
      <c r="J858" s="6">
        <f t="shared" si="13"/>
        <v>89330</v>
      </c>
    </row>
    <row r="859" spans="1:10">
      <c r="A859" s="5">
        <v>217957</v>
      </c>
      <c r="B859" s="5" t="s">
        <v>16</v>
      </c>
      <c r="C859" s="5" t="s">
        <v>39</v>
      </c>
      <c r="D859" s="5" t="s">
        <v>32</v>
      </c>
      <c r="E859" s="5" t="s">
        <v>19</v>
      </c>
      <c r="F859" s="5" t="s">
        <v>14</v>
      </c>
      <c r="G859" s="5" t="s">
        <v>15</v>
      </c>
      <c r="H859" s="5">
        <v>41775</v>
      </c>
      <c r="I859" s="5">
        <v>131</v>
      </c>
      <c r="J859" s="6">
        <f t="shared" si="13"/>
        <v>41644</v>
      </c>
    </row>
    <row r="860" spans="1:10">
      <c r="A860" s="5">
        <v>69075</v>
      </c>
      <c r="B860" s="5" t="s">
        <v>10</v>
      </c>
      <c r="C860" s="5" t="s">
        <v>35</v>
      </c>
      <c r="D860" s="5" t="s">
        <v>23</v>
      </c>
      <c r="E860" s="5" t="s">
        <v>19</v>
      </c>
      <c r="F860" s="5" t="s">
        <v>14</v>
      </c>
      <c r="G860" s="5" t="s">
        <v>24</v>
      </c>
      <c r="H860" s="5">
        <v>68974</v>
      </c>
      <c r="I860" s="5">
        <v>4178</v>
      </c>
      <c r="J860" s="6">
        <f t="shared" si="13"/>
        <v>64796</v>
      </c>
    </row>
    <row r="861" spans="1:10">
      <c r="A861" s="5">
        <v>123717</v>
      </c>
      <c r="B861" s="5" t="s">
        <v>10</v>
      </c>
      <c r="C861" s="5" t="s">
        <v>27</v>
      </c>
      <c r="D861" s="5" t="s">
        <v>33</v>
      </c>
      <c r="E861" s="5" t="s">
        <v>13</v>
      </c>
      <c r="F861" s="5" t="s">
        <v>14</v>
      </c>
      <c r="G861" s="5" t="s">
        <v>15</v>
      </c>
      <c r="H861" s="5">
        <v>121815</v>
      </c>
      <c r="I861" s="5">
        <v>5601</v>
      </c>
      <c r="J861" s="6">
        <f t="shared" si="13"/>
        <v>116214</v>
      </c>
    </row>
    <row r="862" spans="1:10">
      <c r="A862" s="5">
        <v>176297</v>
      </c>
      <c r="B862" s="5" t="s">
        <v>16</v>
      </c>
      <c r="C862" s="5" t="s">
        <v>27</v>
      </c>
      <c r="D862" s="5" t="s">
        <v>30</v>
      </c>
      <c r="E862" s="5" t="s">
        <v>13</v>
      </c>
      <c r="F862" s="5" t="s">
        <v>14</v>
      </c>
      <c r="G862" s="5" t="s">
        <v>15</v>
      </c>
      <c r="H862" s="5">
        <v>73515</v>
      </c>
      <c r="I862" s="5">
        <v>1909</v>
      </c>
      <c r="J862" s="6">
        <f t="shared" si="13"/>
        <v>71606</v>
      </c>
    </row>
    <row r="863" spans="1:10">
      <c r="A863" s="5">
        <v>49233</v>
      </c>
      <c r="B863" s="5" t="s">
        <v>10</v>
      </c>
      <c r="C863" s="5" t="s">
        <v>35</v>
      </c>
      <c r="D863" s="5" t="s">
        <v>32</v>
      </c>
      <c r="E863" s="5" t="s">
        <v>13</v>
      </c>
      <c r="F863" s="5" t="s">
        <v>14</v>
      </c>
      <c r="G863" s="5" t="s">
        <v>15</v>
      </c>
      <c r="H863" s="5">
        <v>0</v>
      </c>
      <c r="I863" s="5">
        <v>0</v>
      </c>
      <c r="J863" s="6">
        <f t="shared" si="13"/>
        <v>0</v>
      </c>
    </row>
    <row r="864" spans="1:10">
      <c r="A864" s="5">
        <v>49742</v>
      </c>
      <c r="B864" s="5" t="s">
        <v>10</v>
      </c>
      <c r="C864" s="5" t="s">
        <v>35</v>
      </c>
      <c r="D864" s="5" t="s">
        <v>12</v>
      </c>
      <c r="E864" s="5" t="s">
        <v>13</v>
      </c>
      <c r="F864" s="5" t="s">
        <v>14</v>
      </c>
      <c r="G864" s="5" t="s">
        <v>15</v>
      </c>
      <c r="H864" s="5">
        <v>122376</v>
      </c>
      <c r="I864" s="5">
        <v>41914</v>
      </c>
      <c r="J864" s="6">
        <f t="shared" si="13"/>
        <v>80462</v>
      </c>
    </row>
    <row r="865" spans="1:10">
      <c r="A865" s="5">
        <v>121786</v>
      </c>
      <c r="B865" s="5" t="s">
        <v>16</v>
      </c>
      <c r="C865" s="5" t="s">
        <v>22</v>
      </c>
      <c r="D865" s="5" t="s">
        <v>30</v>
      </c>
      <c r="E865" s="5" t="s">
        <v>13</v>
      </c>
      <c r="F865" s="5" t="s">
        <v>28</v>
      </c>
      <c r="G865" s="5" t="s">
        <v>15</v>
      </c>
      <c r="H865" s="5">
        <v>75117</v>
      </c>
      <c r="I865" s="5">
        <v>184</v>
      </c>
      <c r="J865" s="6">
        <f t="shared" si="13"/>
        <v>74933</v>
      </c>
    </row>
    <row r="866" spans="1:10">
      <c r="A866" s="5">
        <v>38895</v>
      </c>
      <c r="B866" s="5" t="s">
        <v>10</v>
      </c>
      <c r="C866" s="5" t="s">
        <v>11</v>
      </c>
      <c r="D866" s="5" t="s">
        <v>23</v>
      </c>
      <c r="E866" s="5" t="s">
        <v>13</v>
      </c>
      <c r="F866" s="5" t="s">
        <v>14</v>
      </c>
      <c r="G866" s="5" t="s">
        <v>24</v>
      </c>
      <c r="H866" s="5">
        <v>149842</v>
      </c>
      <c r="I866" s="5">
        <v>3335</v>
      </c>
      <c r="J866" s="6">
        <f t="shared" si="13"/>
        <v>146507</v>
      </c>
    </row>
    <row r="867" spans="1:10">
      <c r="A867" s="5">
        <v>8660</v>
      </c>
      <c r="B867" s="5" t="s">
        <v>16</v>
      </c>
      <c r="C867" s="5" t="s">
        <v>37</v>
      </c>
      <c r="D867" s="5" t="s">
        <v>21</v>
      </c>
      <c r="E867" s="5" t="s">
        <v>19</v>
      </c>
      <c r="F867" s="5" t="s">
        <v>28</v>
      </c>
      <c r="G867" s="5" t="s">
        <v>15</v>
      </c>
      <c r="H867" s="5">
        <v>49250</v>
      </c>
      <c r="I867" s="5">
        <v>83</v>
      </c>
      <c r="J867" s="6">
        <f t="shared" si="13"/>
        <v>49167</v>
      </c>
    </row>
    <row r="868" spans="1:10">
      <c r="A868" s="5">
        <v>39980</v>
      </c>
      <c r="B868" s="5" t="s">
        <v>10</v>
      </c>
      <c r="C868" s="5" t="s">
        <v>35</v>
      </c>
      <c r="D868" s="5" t="s">
        <v>32</v>
      </c>
      <c r="E868" s="5" t="s">
        <v>13</v>
      </c>
      <c r="F868" s="5" t="s">
        <v>14</v>
      </c>
      <c r="G868" s="5" t="s">
        <v>24</v>
      </c>
      <c r="H868" s="5">
        <v>93439</v>
      </c>
      <c r="I868" s="5">
        <v>0</v>
      </c>
      <c r="J868" s="6">
        <f t="shared" si="13"/>
        <v>93439</v>
      </c>
    </row>
    <row r="869" spans="1:10">
      <c r="A869" s="5">
        <v>16978</v>
      </c>
      <c r="B869" s="5" t="s">
        <v>16</v>
      </c>
      <c r="C869" s="5" t="s">
        <v>11</v>
      </c>
      <c r="D869" s="5" t="s">
        <v>12</v>
      </c>
      <c r="E869" s="5" t="s">
        <v>13</v>
      </c>
      <c r="F869" s="5" t="s">
        <v>14</v>
      </c>
      <c r="G869" s="5" t="s">
        <v>15</v>
      </c>
      <c r="H869" s="5">
        <v>39499</v>
      </c>
      <c r="I869" s="5">
        <v>532</v>
      </c>
      <c r="J869" s="6">
        <f t="shared" si="13"/>
        <v>38967</v>
      </c>
    </row>
    <row r="870" spans="1:10">
      <c r="A870" s="5">
        <v>180577</v>
      </c>
      <c r="B870" s="5" t="s">
        <v>16</v>
      </c>
      <c r="C870" s="5" t="s">
        <v>17</v>
      </c>
      <c r="D870" s="5" t="s">
        <v>36</v>
      </c>
      <c r="E870" s="5" t="s">
        <v>19</v>
      </c>
      <c r="F870" s="5" t="s">
        <v>14</v>
      </c>
      <c r="G870" s="5" t="s">
        <v>24</v>
      </c>
      <c r="H870" s="5">
        <v>4148</v>
      </c>
      <c r="I870" s="5">
        <v>18</v>
      </c>
      <c r="J870" s="6">
        <f t="shared" si="13"/>
        <v>4130</v>
      </c>
    </row>
    <row r="871" spans="1:10">
      <c r="A871" s="5">
        <v>154567</v>
      </c>
      <c r="B871" s="5" t="s">
        <v>16</v>
      </c>
      <c r="C871" s="5" t="s">
        <v>25</v>
      </c>
      <c r="D871" s="5" t="s">
        <v>21</v>
      </c>
      <c r="E871" s="5" t="s">
        <v>13</v>
      </c>
      <c r="F871" s="5" t="s">
        <v>14</v>
      </c>
      <c r="G871" s="5" t="s">
        <v>15</v>
      </c>
      <c r="H871" s="5">
        <v>52490</v>
      </c>
      <c r="I871" s="5">
        <v>294</v>
      </c>
      <c r="J871" s="6">
        <f t="shared" si="13"/>
        <v>52196</v>
      </c>
    </row>
    <row r="872" spans="1:10">
      <c r="A872" s="5">
        <v>226474</v>
      </c>
      <c r="B872" s="5" t="s">
        <v>10</v>
      </c>
      <c r="C872" s="5" t="s">
        <v>25</v>
      </c>
      <c r="D872" s="5" t="s">
        <v>23</v>
      </c>
      <c r="E872" s="5" t="s">
        <v>19</v>
      </c>
      <c r="F872" s="5" t="s">
        <v>14</v>
      </c>
      <c r="G872" s="5" t="s">
        <v>15</v>
      </c>
      <c r="H872" s="5">
        <v>138377</v>
      </c>
      <c r="I872" s="5">
        <v>6605</v>
      </c>
      <c r="J872" s="6">
        <f t="shared" si="13"/>
        <v>131772</v>
      </c>
    </row>
    <row r="873" spans="1:10">
      <c r="A873" s="5">
        <v>154411</v>
      </c>
      <c r="B873" s="5" t="s">
        <v>16</v>
      </c>
      <c r="C873" s="5" t="s">
        <v>35</v>
      </c>
      <c r="D873" s="5" t="s">
        <v>30</v>
      </c>
      <c r="E873" s="5" t="s">
        <v>13</v>
      </c>
      <c r="F873" s="5" t="s">
        <v>28</v>
      </c>
      <c r="G873" s="5" t="s">
        <v>15</v>
      </c>
      <c r="H873" s="5">
        <v>11874</v>
      </c>
      <c r="I873" s="5">
        <v>0</v>
      </c>
      <c r="J873" s="6">
        <f t="shared" si="13"/>
        <v>11874</v>
      </c>
    </row>
    <row r="874" spans="1:10">
      <c r="A874" s="5">
        <v>7270</v>
      </c>
      <c r="B874" s="5" t="s">
        <v>16</v>
      </c>
      <c r="C874" s="5" t="s">
        <v>20</v>
      </c>
      <c r="D874" s="5" t="s">
        <v>32</v>
      </c>
      <c r="E874" s="5" t="s">
        <v>13</v>
      </c>
      <c r="F874" s="5" t="s">
        <v>14</v>
      </c>
      <c r="G874" s="5" t="s">
        <v>15</v>
      </c>
      <c r="H874" s="5">
        <v>20920</v>
      </c>
      <c r="I874" s="5">
        <v>0</v>
      </c>
      <c r="J874" s="6">
        <f t="shared" si="13"/>
        <v>20920</v>
      </c>
    </row>
    <row r="875" spans="1:10">
      <c r="A875" s="5">
        <v>241235</v>
      </c>
      <c r="B875" s="5" t="s">
        <v>10</v>
      </c>
      <c r="C875" s="5" t="s">
        <v>35</v>
      </c>
      <c r="D875" s="5" t="s">
        <v>18</v>
      </c>
      <c r="E875" s="5" t="s">
        <v>13</v>
      </c>
      <c r="F875" s="5" t="s">
        <v>28</v>
      </c>
      <c r="G875" s="5" t="s">
        <v>15</v>
      </c>
      <c r="H875" s="5">
        <v>81692</v>
      </c>
      <c r="I875" s="5">
        <v>1495</v>
      </c>
      <c r="J875" s="6">
        <f t="shared" si="13"/>
        <v>80197</v>
      </c>
    </row>
    <row r="876" spans="1:10">
      <c r="A876" s="5">
        <v>173120</v>
      </c>
      <c r="B876" s="5" t="s">
        <v>10</v>
      </c>
      <c r="C876" s="5" t="s">
        <v>20</v>
      </c>
      <c r="D876" s="5" t="s">
        <v>32</v>
      </c>
      <c r="E876" s="5" t="s">
        <v>13</v>
      </c>
      <c r="F876" s="5" t="s">
        <v>14</v>
      </c>
      <c r="G876" s="5" t="s">
        <v>15</v>
      </c>
      <c r="H876" s="5">
        <v>48939</v>
      </c>
      <c r="I876" s="5">
        <v>597</v>
      </c>
      <c r="J876" s="6">
        <f t="shared" si="13"/>
        <v>48342</v>
      </c>
    </row>
    <row r="877" spans="1:10">
      <c r="A877" s="5">
        <v>64798</v>
      </c>
      <c r="B877" s="5" t="s">
        <v>16</v>
      </c>
      <c r="C877" s="5" t="s">
        <v>27</v>
      </c>
      <c r="D877" s="5" t="s">
        <v>32</v>
      </c>
      <c r="E877" s="5" t="s">
        <v>13</v>
      </c>
      <c r="F877" s="5" t="s">
        <v>14</v>
      </c>
      <c r="G877" s="5" t="s">
        <v>24</v>
      </c>
      <c r="H877" s="5">
        <v>12989</v>
      </c>
      <c r="I877" s="5">
        <v>0</v>
      </c>
      <c r="J877" s="6">
        <f t="shared" si="13"/>
        <v>12989</v>
      </c>
    </row>
    <row r="878" spans="1:10">
      <c r="A878" s="5">
        <v>137329</v>
      </c>
      <c r="B878" s="5" t="s">
        <v>10</v>
      </c>
      <c r="C878" s="5" t="s">
        <v>22</v>
      </c>
      <c r="D878" s="5" t="s">
        <v>30</v>
      </c>
      <c r="E878" s="5" t="s">
        <v>19</v>
      </c>
      <c r="F878" s="5" t="s">
        <v>14</v>
      </c>
      <c r="G878" s="5" t="s">
        <v>15</v>
      </c>
      <c r="H878" s="5">
        <v>227664</v>
      </c>
      <c r="I878" s="5">
        <v>10694</v>
      </c>
      <c r="J878" s="6">
        <f t="shared" si="13"/>
        <v>216970</v>
      </c>
    </row>
    <row r="879" spans="1:10">
      <c r="A879" s="5">
        <v>31546</v>
      </c>
      <c r="B879" s="5" t="s">
        <v>10</v>
      </c>
      <c r="C879" s="5" t="s">
        <v>38</v>
      </c>
      <c r="D879" s="5" t="s">
        <v>33</v>
      </c>
      <c r="E879" s="5" t="s">
        <v>13</v>
      </c>
      <c r="F879" s="5" t="s">
        <v>14</v>
      </c>
      <c r="G879" s="5" t="s">
        <v>15</v>
      </c>
      <c r="H879" s="5">
        <v>71476</v>
      </c>
      <c r="I879" s="5">
        <v>654</v>
      </c>
      <c r="J879" s="6">
        <f t="shared" si="13"/>
        <v>70822</v>
      </c>
    </row>
    <row r="880" spans="1:10">
      <c r="A880" s="5">
        <v>142407</v>
      </c>
      <c r="B880" s="5" t="s">
        <v>10</v>
      </c>
      <c r="C880" s="5" t="s">
        <v>17</v>
      </c>
      <c r="D880" s="5" t="s">
        <v>18</v>
      </c>
      <c r="E880" s="5" t="s">
        <v>19</v>
      </c>
      <c r="F880" s="5" t="s">
        <v>14</v>
      </c>
      <c r="G880" s="5" t="s">
        <v>24</v>
      </c>
      <c r="H880" s="5">
        <v>20569</v>
      </c>
      <c r="I880" s="5">
        <v>68</v>
      </c>
      <c r="J880" s="6">
        <f t="shared" si="13"/>
        <v>20501</v>
      </c>
    </row>
    <row r="881" spans="1:10">
      <c r="A881" s="5">
        <v>90731</v>
      </c>
      <c r="B881" s="5" t="s">
        <v>10</v>
      </c>
      <c r="C881" s="5" t="s">
        <v>38</v>
      </c>
      <c r="D881" s="5" t="s">
        <v>33</v>
      </c>
      <c r="E881" s="5" t="s">
        <v>13</v>
      </c>
      <c r="F881" s="5" t="s">
        <v>14</v>
      </c>
      <c r="G881" s="5" t="s">
        <v>15</v>
      </c>
      <c r="H881" s="5">
        <v>20272</v>
      </c>
      <c r="I881" s="5">
        <v>6150</v>
      </c>
      <c r="J881" s="6">
        <f t="shared" si="13"/>
        <v>14122</v>
      </c>
    </row>
    <row r="882" spans="1:10">
      <c r="A882" s="5">
        <v>248493</v>
      </c>
      <c r="B882" s="5" t="s">
        <v>16</v>
      </c>
      <c r="C882" s="5" t="s">
        <v>22</v>
      </c>
      <c r="D882" s="5" t="s">
        <v>33</v>
      </c>
      <c r="E882" s="5" t="s">
        <v>13</v>
      </c>
      <c r="F882" s="5" t="s">
        <v>14</v>
      </c>
      <c r="G882" s="5" t="s">
        <v>24</v>
      </c>
      <c r="H882" s="5">
        <v>59941</v>
      </c>
      <c r="I882" s="5">
        <v>1677</v>
      </c>
      <c r="J882" s="6">
        <f t="shared" si="13"/>
        <v>58264</v>
      </c>
    </row>
    <row r="883" spans="1:10">
      <c r="A883" s="5">
        <v>36906</v>
      </c>
      <c r="B883" s="5" t="s">
        <v>16</v>
      </c>
      <c r="C883" s="5" t="s">
        <v>35</v>
      </c>
      <c r="D883" s="5" t="s">
        <v>33</v>
      </c>
      <c r="E883" s="5" t="s">
        <v>13</v>
      </c>
      <c r="F883" s="5" t="s">
        <v>28</v>
      </c>
      <c r="G883" s="5" t="s">
        <v>15</v>
      </c>
      <c r="H883" s="5">
        <v>38</v>
      </c>
      <c r="I883" s="5">
        <v>0</v>
      </c>
      <c r="J883" s="6">
        <f t="shared" si="13"/>
        <v>38</v>
      </c>
    </row>
    <row r="884" spans="1:10">
      <c r="A884" s="5">
        <v>25268</v>
      </c>
      <c r="B884" s="5" t="s">
        <v>16</v>
      </c>
      <c r="C884" s="5" t="s">
        <v>11</v>
      </c>
      <c r="D884" s="5" t="s">
        <v>32</v>
      </c>
      <c r="E884" s="5" t="s">
        <v>13</v>
      </c>
      <c r="F884" s="5" t="s">
        <v>14</v>
      </c>
      <c r="G884" s="5" t="s">
        <v>15</v>
      </c>
      <c r="H884" s="5">
        <v>6093</v>
      </c>
      <c r="I884" s="5">
        <v>0</v>
      </c>
      <c r="J884" s="6">
        <f t="shared" si="13"/>
        <v>6093</v>
      </c>
    </row>
    <row r="885" spans="1:10">
      <c r="A885" s="5">
        <v>206128</v>
      </c>
      <c r="B885" s="5" t="s">
        <v>16</v>
      </c>
      <c r="C885" s="5" t="s">
        <v>11</v>
      </c>
      <c r="D885" s="5" t="s">
        <v>32</v>
      </c>
      <c r="E885" s="5" t="s">
        <v>13</v>
      </c>
      <c r="F885" s="5" t="s">
        <v>14</v>
      </c>
      <c r="G885" s="5" t="s">
        <v>24</v>
      </c>
      <c r="H885" s="5">
        <v>-32058</v>
      </c>
      <c r="I885" s="5">
        <v>487</v>
      </c>
      <c r="J885" s="6">
        <f t="shared" si="13"/>
        <v>-32545</v>
      </c>
    </row>
    <row r="886" spans="1:10">
      <c r="A886" s="5">
        <v>9748</v>
      </c>
      <c r="B886" s="5" t="s">
        <v>16</v>
      </c>
      <c r="C886" s="5" t="s">
        <v>20</v>
      </c>
      <c r="D886" s="5" t="s">
        <v>32</v>
      </c>
      <c r="E886" s="5" t="s">
        <v>19</v>
      </c>
      <c r="F886" s="5" t="s">
        <v>14</v>
      </c>
      <c r="G886" s="5" t="s">
        <v>24</v>
      </c>
      <c r="H886" s="5">
        <v>4081</v>
      </c>
      <c r="I886" s="5">
        <v>0</v>
      </c>
      <c r="J886" s="6">
        <f t="shared" si="13"/>
        <v>4081</v>
      </c>
    </row>
    <row r="887" spans="1:10">
      <c r="A887" s="5">
        <v>235673</v>
      </c>
      <c r="B887" s="5" t="s">
        <v>10</v>
      </c>
      <c r="C887" s="5" t="s">
        <v>17</v>
      </c>
      <c r="D887" s="5" t="s">
        <v>30</v>
      </c>
      <c r="E887" s="5" t="s">
        <v>19</v>
      </c>
      <c r="F887" s="5" t="s">
        <v>28</v>
      </c>
      <c r="G887" s="5" t="s">
        <v>15</v>
      </c>
      <c r="H887" s="5">
        <v>58791</v>
      </c>
      <c r="I887" s="5">
        <v>1143</v>
      </c>
      <c r="J887" s="6">
        <f t="shared" si="13"/>
        <v>57648</v>
      </c>
    </row>
    <row r="888" spans="1:10">
      <c r="A888" s="5">
        <v>63047</v>
      </c>
      <c r="B888" s="5" t="s">
        <v>10</v>
      </c>
      <c r="C888" s="5" t="s">
        <v>27</v>
      </c>
      <c r="D888" s="5" t="s">
        <v>36</v>
      </c>
      <c r="E888" s="5" t="s">
        <v>13</v>
      </c>
      <c r="F888" s="5" t="s">
        <v>28</v>
      </c>
      <c r="G888" s="5" t="s">
        <v>24</v>
      </c>
      <c r="H888" s="5">
        <v>88773</v>
      </c>
      <c r="I888" s="5">
        <v>829</v>
      </c>
      <c r="J888" s="6">
        <f t="shared" si="13"/>
        <v>87944</v>
      </c>
    </row>
    <row r="889" spans="1:10">
      <c r="A889" s="5">
        <v>91336</v>
      </c>
      <c r="B889" s="5" t="s">
        <v>16</v>
      </c>
      <c r="C889" s="5" t="s">
        <v>39</v>
      </c>
      <c r="D889" s="5" t="s">
        <v>32</v>
      </c>
      <c r="E889" s="5" t="s">
        <v>13</v>
      </c>
      <c r="F889" s="5" t="s">
        <v>14</v>
      </c>
      <c r="G889" s="5" t="s">
        <v>15</v>
      </c>
      <c r="H889" s="5">
        <v>82385</v>
      </c>
      <c r="I889" s="5">
        <v>287</v>
      </c>
      <c r="J889" s="6">
        <f t="shared" si="13"/>
        <v>82098</v>
      </c>
    </row>
    <row r="890" spans="1:10">
      <c r="A890" s="5">
        <v>161844</v>
      </c>
      <c r="B890" s="5" t="s">
        <v>10</v>
      </c>
      <c r="C890" s="5" t="s">
        <v>17</v>
      </c>
      <c r="D890" s="5" t="s">
        <v>21</v>
      </c>
      <c r="E890" s="5" t="s">
        <v>19</v>
      </c>
      <c r="F890" s="5" t="s">
        <v>14</v>
      </c>
      <c r="G890" s="5" t="s">
        <v>15</v>
      </c>
      <c r="H890" s="5">
        <v>38265</v>
      </c>
      <c r="I890" s="5">
        <v>2710</v>
      </c>
      <c r="J890" s="6">
        <f t="shared" si="13"/>
        <v>35555</v>
      </c>
    </row>
    <row r="891" spans="1:10">
      <c r="A891" s="5">
        <v>84075</v>
      </c>
      <c r="B891" s="5" t="s">
        <v>10</v>
      </c>
      <c r="C891" s="5" t="s">
        <v>34</v>
      </c>
      <c r="D891" s="5" t="s">
        <v>29</v>
      </c>
      <c r="E891" s="5" t="s">
        <v>19</v>
      </c>
      <c r="F891" s="5" t="s">
        <v>14</v>
      </c>
      <c r="G891" s="5" t="s">
        <v>24</v>
      </c>
      <c r="H891" s="5">
        <v>63136</v>
      </c>
      <c r="I891" s="5">
        <v>11149</v>
      </c>
      <c r="J891" s="6">
        <f t="shared" si="13"/>
        <v>51987</v>
      </c>
    </row>
    <row r="892" spans="1:10">
      <c r="A892" s="5">
        <v>247868</v>
      </c>
      <c r="B892" s="5" t="s">
        <v>16</v>
      </c>
      <c r="C892" s="5" t="s">
        <v>17</v>
      </c>
      <c r="D892" s="5" t="s">
        <v>36</v>
      </c>
      <c r="E892" s="5" t="s">
        <v>19</v>
      </c>
      <c r="F892" s="5" t="s">
        <v>14</v>
      </c>
      <c r="G892" s="5" t="s">
        <v>24</v>
      </c>
      <c r="H892" s="5">
        <v>24605</v>
      </c>
      <c r="I892" s="5">
        <v>752</v>
      </c>
      <c r="J892" s="6">
        <f t="shared" si="13"/>
        <v>23853</v>
      </c>
    </row>
    <row r="893" spans="1:10">
      <c r="A893" s="5">
        <v>228719</v>
      </c>
      <c r="B893" s="5" t="s">
        <v>10</v>
      </c>
      <c r="C893" s="5" t="s">
        <v>25</v>
      </c>
      <c r="D893" s="5" t="s">
        <v>29</v>
      </c>
      <c r="E893" s="5" t="s">
        <v>13</v>
      </c>
      <c r="F893" s="5" t="s">
        <v>28</v>
      </c>
      <c r="G893" s="5" t="s">
        <v>24</v>
      </c>
      <c r="H893" s="5">
        <v>142628</v>
      </c>
      <c r="I893" s="5">
        <v>14982</v>
      </c>
      <c r="J893" s="6">
        <f t="shared" si="13"/>
        <v>127646</v>
      </c>
    </row>
    <row r="894" spans="1:10">
      <c r="A894" s="5">
        <v>222143</v>
      </c>
      <c r="B894" s="5" t="s">
        <v>10</v>
      </c>
      <c r="C894" s="5" t="s">
        <v>22</v>
      </c>
      <c r="D894" s="5" t="s">
        <v>32</v>
      </c>
      <c r="E894" s="5" t="s">
        <v>13</v>
      </c>
      <c r="F894" s="5" t="s">
        <v>14</v>
      </c>
      <c r="G894" s="5" t="s">
        <v>24</v>
      </c>
      <c r="H894" s="5">
        <v>3270</v>
      </c>
      <c r="I894" s="5">
        <v>0</v>
      </c>
      <c r="J894" s="6">
        <f t="shared" si="13"/>
        <v>3270</v>
      </c>
    </row>
    <row r="895" spans="1:10">
      <c r="A895" s="5">
        <v>88435</v>
      </c>
      <c r="B895" s="5" t="s">
        <v>16</v>
      </c>
      <c r="C895" s="5" t="s">
        <v>37</v>
      </c>
      <c r="D895" s="5" t="s">
        <v>33</v>
      </c>
      <c r="E895" s="5" t="s">
        <v>19</v>
      </c>
      <c r="F895" s="5" t="s">
        <v>14</v>
      </c>
      <c r="G895" s="5" t="s">
        <v>24</v>
      </c>
      <c r="H895" s="5">
        <v>50446</v>
      </c>
      <c r="I895" s="5">
        <v>269</v>
      </c>
      <c r="J895" s="6">
        <f t="shared" si="13"/>
        <v>50177</v>
      </c>
    </row>
    <row r="896" spans="1:10">
      <c r="A896" s="5">
        <v>183461</v>
      </c>
      <c r="B896" s="5" t="s">
        <v>10</v>
      </c>
      <c r="C896" s="5" t="s">
        <v>20</v>
      </c>
      <c r="D896" s="5" t="s">
        <v>32</v>
      </c>
      <c r="E896" s="5" t="s">
        <v>19</v>
      </c>
      <c r="F896" s="5" t="s">
        <v>14</v>
      </c>
      <c r="G896" s="5" t="s">
        <v>15</v>
      </c>
      <c r="H896" s="5">
        <v>39044</v>
      </c>
      <c r="I896" s="5">
        <v>129</v>
      </c>
      <c r="J896" s="6">
        <f t="shared" si="13"/>
        <v>38915</v>
      </c>
    </row>
    <row r="897" spans="1:10">
      <c r="A897" s="5">
        <v>145545</v>
      </c>
      <c r="B897" s="5" t="s">
        <v>10</v>
      </c>
      <c r="C897" s="5" t="s">
        <v>22</v>
      </c>
      <c r="D897" s="5" t="s">
        <v>32</v>
      </c>
      <c r="E897" s="5" t="s">
        <v>19</v>
      </c>
      <c r="F897" s="5" t="s">
        <v>28</v>
      </c>
      <c r="G897" s="5" t="s">
        <v>24</v>
      </c>
      <c r="H897" s="5">
        <v>458</v>
      </c>
      <c r="I897" s="5">
        <v>0</v>
      </c>
      <c r="J897" s="6">
        <f t="shared" si="13"/>
        <v>458</v>
      </c>
    </row>
    <row r="898" spans="1:10">
      <c r="A898" s="5">
        <v>91304</v>
      </c>
      <c r="B898" s="5" t="s">
        <v>10</v>
      </c>
      <c r="C898" s="5" t="s">
        <v>37</v>
      </c>
      <c r="D898" s="5" t="s">
        <v>36</v>
      </c>
      <c r="E898" s="5" t="s">
        <v>13</v>
      </c>
      <c r="F898" s="5" t="s">
        <v>14</v>
      </c>
      <c r="G898" s="5" t="s">
        <v>15</v>
      </c>
      <c r="H898" s="5">
        <v>112781</v>
      </c>
      <c r="I898" s="5">
        <v>12548</v>
      </c>
      <c r="J898" s="6">
        <f t="shared" ref="J898:J961" si="14">H898-I898</f>
        <v>100233</v>
      </c>
    </row>
    <row r="899" spans="1:10">
      <c r="A899" s="5">
        <v>97312</v>
      </c>
      <c r="B899" s="5" t="s">
        <v>16</v>
      </c>
      <c r="C899" s="5" t="s">
        <v>39</v>
      </c>
      <c r="D899" s="5" t="s">
        <v>32</v>
      </c>
      <c r="E899" s="5" t="s">
        <v>13</v>
      </c>
      <c r="F899" s="5" t="s">
        <v>14</v>
      </c>
      <c r="G899" s="5" t="s">
        <v>15</v>
      </c>
      <c r="H899" s="5">
        <v>17843</v>
      </c>
      <c r="I899" s="5">
        <v>0</v>
      </c>
      <c r="J899" s="6">
        <f t="shared" si="14"/>
        <v>17843</v>
      </c>
    </row>
    <row r="900" spans="1:10">
      <c r="A900" s="5">
        <v>166553</v>
      </c>
      <c r="B900" s="5" t="s">
        <v>10</v>
      </c>
      <c r="C900" s="5" t="s">
        <v>22</v>
      </c>
      <c r="D900" s="5" t="s">
        <v>30</v>
      </c>
      <c r="E900" s="5" t="s">
        <v>13</v>
      </c>
      <c r="F900" s="5" t="s">
        <v>14</v>
      </c>
      <c r="G900" s="5" t="s">
        <v>15</v>
      </c>
      <c r="H900" s="5">
        <v>117716</v>
      </c>
      <c r="I900" s="5">
        <v>9327</v>
      </c>
      <c r="J900" s="6">
        <f t="shared" si="14"/>
        <v>108389</v>
      </c>
    </row>
    <row r="901" spans="1:10">
      <c r="A901" s="5">
        <v>90600</v>
      </c>
      <c r="B901" s="5" t="s">
        <v>16</v>
      </c>
      <c r="C901" s="5" t="s">
        <v>37</v>
      </c>
      <c r="D901" s="5" t="s">
        <v>26</v>
      </c>
      <c r="E901" s="5" t="s">
        <v>13</v>
      </c>
      <c r="F901" s="5" t="s">
        <v>28</v>
      </c>
      <c r="G901" s="5" t="s">
        <v>15</v>
      </c>
      <c r="H901" s="5">
        <v>49587</v>
      </c>
      <c r="I901" s="5">
        <v>542</v>
      </c>
      <c r="J901" s="6">
        <f t="shared" si="14"/>
        <v>49045</v>
      </c>
    </row>
    <row r="902" spans="1:10">
      <c r="A902" s="5">
        <v>51995</v>
      </c>
      <c r="B902" s="5" t="s">
        <v>16</v>
      </c>
      <c r="C902" s="5" t="s">
        <v>35</v>
      </c>
      <c r="D902" s="5" t="s">
        <v>23</v>
      </c>
      <c r="E902" s="5" t="s">
        <v>13</v>
      </c>
      <c r="F902" s="5" t="s">
        <v>28</v>
      </c>
      <c r="G902" s="5" t="s">
        <v>15</v>
      </c>
      <c r="H902" s="5">
        <v>28927</v>
      </c>
      <c r="I902" s="5">
        <v>599</v>
      </c>
      <c r="J902" s="6">
        <f t="shared" si="14"/>
        <v>28328</v>
      </c>
    </row>
    <row r="903" spans="1:10">
      <c r="A903" s="5">
        <v>37722</v>
      </c>
      <c r="B903" s="5" t="s">
        <v>10</v>
      </c>
      <c r="C903" s="5" t="s">
        <v>39</v>
      </c>
      <c r="D903" s="5" t="s">
        <v>32</v>
      </c>
      <c r="E903" s="5" t="s">
        <v>13</v>
      </c>
      <c r="F903" s="5" t="s">
        <v>28</v>
      </c>
      <c r="G903" s="5" t="s">
        <v>15</v>
      </c>
      <c r="H903" s="5">
        <v>67728</v>
      </c>
      <c r="I903" s="5">
        <v>18160</v>
      </c>
      <c r="J903" s="6">
        <f t="shared" si="14"/>
        <v>49568</v>
      </c>
    </row>
    <row r="904" spans="1:10">
      <c r="A904" s="5">
        <v>237221</v>
      </c>
      <c r="B904" s="5" t="s">
        <v>16</v>
      </c>
      <c r="C904" s="5" t="s">
        <v>17</v>
      </c>
      <c r="D904" s="5" t="s">
        <v>21</v>
      </c>
      <c r="E904" s="5" t="s">
        <v>19</v>
      </c>
      <c r="F904" s="5" t="s">
        <v>14</v>
      </c>
      <c r="G904" s="5" t="s">
        <v>24</v>
      </c>
      <c r="H904" s="5">
        <v>31064</v>
      </c>
      <c r="I904" s="5">
        <v>282</v>
      </c>
      <c r="J904" s="6">
        <f t="shared" si="14"/>
        <v>30782</v>
      </c>
    </row>
    <row r="905" spans="1:10">
      <c r="A905" s="5">
        <v>95049</v>
      </c>
      <c r="B905" s="5" t="s">
        <v>10</v>
      </c>
      <c r="C905" s="5" t="s">
        <v>38</v>
      </c>
      <c r="D905" s="5" t="s">
        <v>12</v>
      </c>
      <c r="E905" s="5" t="s">
        <v>13</v>
      </c>
      <c r="F905" s="5" t="s">
        <v>14</v>
      </c>
      <c r="G905" s="5" t="s">
        <v>15</v>
      </c>
      <c r="H905" s="5">
        <v>328743</v>
      </c>
      <c r="I905" s="5">
        <v>0</v>
      </c>
      <c r="J905" s="6">
        <f t="shared" si="14"/>
        <v>328743</v>
      </c>
    </row>
    <row r="906" spans="1:10">
      <c r="A906" s="5">
        <v>84823</v>
      </c>
      <c r="B906" s="5" t="s">
        <v>16</v>
      </c>
      <c r="C906" s="5" t="s">
        <v>11</v>
      </c>
      <c r="D906" s="5" t="s">
        <v>18</v>
      </c>
      <c r="E906" s="5" t="s">
        <v>19</v>
      </c>
      <c r="F906" s="5" t="s">
        <v>14</v>
      </c>
      <c r="G906" s="5" t="s">
        <v>15</v>
      </c>
      <c r="H906" s="5">
        <v>49063</v>
      </c>
      <c r="I906" s="5">
        <v>1000</v>
      </c>
      <c r="J906" s="6">
        <f t="shared" si="14"/>
        <v>48063</v>
      </c>
    </row>
    <row r="907" spans="1:10">
      <c r="A907" s="5">
        <v>92893</v>
      </c>
      <c r="B907" s="5" t="s">
        <v>16</v>
      </c>
      <c r="C907" s="5" t="s">
        <v>37</v>
      </c>
      <c r="D907" s="5" t="s">
        <v>30</v>
      </c>
      <c r="E907" s="5" t="s">
        <v>13</v>
      </c>
      <c r="F907" s="5" t="s">
        <v>14</v>
      </c>
      <c r="G907" s="5" t="s">
        <v>15</v>
      </c>
      <c r="H907" s="5">
        <v>26983</v>
      </c>
      <c r="I907" s="5">
        <v>1109</v>
      </c>
      <c r="J907" s="6">
        <f t="shared" si="14"/>
        <v>25874</v>
      </c>
    </row>
    <row r="908" spans="1:10">
      <c r="A908" s="5">
        <v>91058</v>
      </c>
      <c r="B908" s="5" t="s">
        <v>16</v>
      </c>
      <c r="C908" s="5" t="s">
        <v>38</v>
      </c>
      <c r="D908" s="5" t="s">
        <v>18</v>
      </c>
      <c r="E908" s="5" t="s">
        <v>13</v>
      </c>
      <c r="F908" s="5" t="s">
        <v>14</v>
      </c>
      <c r="G908" s="5" t="s">
        <v>15</v>
      </c>
      <c r="H908" s="5">
        <v>18227</v>
      </c>
      <c r="I908" s="5">
        <v>481</v>
      </c>
      <c r="J908" s="6">
        <f t="shared" si="14"/>
        <v>17746</v>
      </c>
    </row>
    <row r="909" spans="1:10">
      <c r="A909" s="5">
        <v>45215</v>
      </c>
      <c r="B909" s="5" t="s">
        <v>16</v>
      </c>
      <c r="C909" s="5" t="s">
        <v>35</v>
      </c>
      <c r="D909" s="5" t="s">
        <v>36</v>
      </c>
      <c r="E909" s="5" t="s">
        <v>13</v>
      </c>
      <c r="F909" s="5" t="s">
        <v>14</v>
      </c>
      <c r="G909" s="5" t="s">
        <v>24</v>
      </c>
      <c r="H909" s="5">
        <v>15687</v>
      </c>
      <c r="I909" s="5">
        <v>394</v>
      </c>
      <c r="J909" s="6">
        <f t="shared" si="14"/>
        <v>15293</v>
      </c>
    </row>
    <row r="910" spans="1:10">
      <c r="A910" s="5">
        <v>133960</v>
      </c>
      <c r="B910" s="5" t="s">
        <v>10</v>
      </c>
      <c r="C910" s="5" t="s">
        <v>31</v>
      </c>
      <c r="D910" s="5" t="s">
        <v>26</v>
      </c>
      <c r="E910" s="5" t="s">
        <v>19</v>
      </c>
      <c r="F910" s="5" t="s">
        <v>14</v>
      </c>
      <c r="G910" s="5" t="s">
        <v>24</v>
      </c>
      <c r="H910" s="5">
        <v>5369</v>
      </c>
      <c r="I910" s="5">
        <v>270</v>
      </c>
      <c r="J910" s="6">
        <f t="shared" si="14"/>
        <v>5099</v>
      </c>
    </row>
    <row r="911" spans="1:10">
      <c r="A911" s="5">
        <v>17674</v>
      </c>
      <c r="B911" s="5" t="s">
        <v>16</v>
      </c>
      <c r="C911" s="5" t="s">
        <v>34</v>
      </c>
      <c r="D911" s="5" t="s">
        <v>32</v>
      </c>
      <c r="E911" s="5" t="s">
        <v>19</v>
      </c>
      <c r="F911" s="5" t="s">
        <v>28</v>
      </c>
      <c r="G911" s="5" t="s">
        <v>15</v>
      </c>
      <c r="H911" s="5">
        <v>25214</v>
      </c>
      <c r="I911" s="5">
        <v>0</v>
      </c>
      <c r="J911" s="6">
        <f t="shared" si="14"/>
        <v>25214</v>
      </c>
    </row>
    <row r="912" spans="1:10">
      <c r="A912" s="5">
        <v>121669</v>
      </c>
      <c r="B912" s="5" t="s">
        <v>16</v>
      </c>
      <c r="C912" s="5" t="s">
        <v>22</v>
      </c>
      <c r="D912" s="5" t="s">
        <v>21</v>
      </c>
      <c r="E912" s="5" t="s">
        <v>13</v>
      </c>
      <c r="F912" s="5" t="s">
        <v>28</v>
      </c>
      <c r="G912" s="5" t="s">
        <v>15</v>
      </c>
      <c r="H912" s="5">
        <v>18</v>
      </c>
      <c r="I912" s="5">
        <v>0</v>
      </c>
      <c r="J912" s="6">
        <f t="shared" si="14"/>
        <v>18</v>
      </c>
    </row>
    <row r="913" spans="1:10">
      <c r="A913" s="5">
        <v>214730</v>
      </c>
      <c r="B913" s="5" t="s">
        <v>16</v>
      </c>
      <c r="C913" s="5" t="s">
        <v>34</v>
      </c>
      <c r="D913" s="5" t="s">
        <v>30</v>
      </c>
      <c r="E913" s="5" t="s">
        <v>13</v>
      </c>
      <c r="F913" s="5" t="s">
        <v>14</v>
      </c>
      <c r="G913" s="5" t="s">
        <v>15</v>
      </c>
      <c r="H913" s="5">
        <v>69307</v>
      </c>
      <c r="I913" s="5">
        <v>0</v>
      </c>
      <c r="J913" s="6">
        <f t="shared" si="14"/>
        <v>69307</v>
      </c>
    </row>
    <row r="914" spans="1:10">
      <c r="A914" s="5">
        <v>138562</v>
      </c>
      <c r="B914" s="5" t="s">
        <v>16</v>
      </c>
      <c r="C914" s="5" t="s">
        <v>22</v>
      </c>
      <c r="D914" s="5" t="s">
        <v>30</v>
      </c>
      <c r="E914" s="5" t="s">
        <v>13</v>
      </c>
      <c r="F914" s="5" t="s">
        <v>14</v>
      </c>
      <c r="G914" s="5" t="s">
        <v>15</v>
      </c>
      <c r="H914" s="5">
        <v>86371</v>
      </c>
      <c r="I914" s="5">
        <v>4503</v>
      </c>
      <c r="J914" s="6">
        <f t="shared" si="14"/>
        <v>81868</v>
      </c>
    </row>
    <row r="915" spans="1:10">
      <c r="A915" s="5">
        <v>38177</v>
      </c>
      <c r="B915" s="5" t="s">
        <v>16</v>
      </c>
      <c r="C915" s="5" t="s">
        <v>37</v>
      </c>
      <c r="D915" s="5" t="s">
        <v>26</v>
      </c>
      <c r="E915" s="5" t="s">
        <v>13</v>
      </c>
      <c r="F915" s="5" t="s">
        <v>14</v>
      </c>
      <c r="G915" s="5" t="s">
        <v>15</v>
      </c>
      <c r="H915" s="5">
        <v>21247</v>
      </c>
      <c r="I915" s="5">
        <v>568</v>
      </c>
      <c r="J915" s="6">
        <f t="shared" si="14"/>
        <v>20679</v>
      </c>
    </row>
    <row r="916" spans="1:10">
      <c r="A916" s="5">
        <v>155738</v>
      </c>
      <c r="B916" s="5" t="s">
        <v>16</v>
      </c>
      <c r="C916" s="5" t="s">
        <v>38</v>
      </c>
      <c r="D916" s="5" t="s">
        <v>30</v>
      </c>
      <c r="E916" s="5" t="s">
        <v>13</v>
      </c>
      <c r="F916" s="5" t="s">
        <v>14</v>
      </c>
      <c r="G916" s="5" t="s">
        <v>15</v>
      </c>
      <c r="H916" s="5">
        <v>13556</v>
      </c>
      <c r="I916" s="5">
        <v>0</v>
      </c>
      <c r="J916" s="6">
        <f t="shared" si="14"/>
        <v>13556</v>
      </c>
    </row>
    <row r="917" spans="1:10">
      <c r="A917" s="5">
        <v>119844</v>
      </c>
      <c r="B917" s="5" t="s">
        <v>10</v>
      </c>
      <c r="C917" s="5" t="s">
        <v>11</v>
      </c>
      <c r="D917" s="5" t="s">
        <v>30</v>
      </c>
      <c r="E917" s="5" t="s">
        <v>13</v>
      </c>
      <c r="F917" s="5" t="s">
        <v>14</v>
      </c>
      <c r="G917" s="5" t="s">
        <v>24</v>
      </c>
      <c r="H917" s="5">
        <v>65600</v>
      </c>
      <c r="I917" s="5">
        <v>2501</v>
      </c>
      <c r="J917" s="6">
        <f t="shared" si="14"/>
        <v>63099</v>
      </c>
    </row>
    <row r="918" spans="1:10">
      <c r="A918" s="5">
        <v>173864</v>
      </c>
      <c r="B918" s="5" t="s">
        <v>10</v>
      </c>
      <c r="C918" s="5" t="s">
        <v>22</v>
      </c>
      <c r="D918" s="5" t="s">
        <v>26</v>
      </c>
      <c r="E918" s="5" t="s">
        <v>19</v>
      </c>
      <c r="F918" s="5" t="s">
        <v>14</v>
      </c>
      <c r="G918" s="5" t="s">
        <v>24</v>
      </c>
      <c r="H918" s="5">
        <v>60941</v>
      </c>
      <c r="I918" s="5">
        <v>2146</v>
      </c>
      <c r="J918" s="6">
        <f t="shared" si="14"/>
        <v>58795</v>
      </c>
    </row>
    <row r="919" spans="1:10">
      <c r="A919" s="5">
        <v>216383</v>
      </c>
      <c r="B919" s="5" t="s">
        <v>10</v>
      </c>
      <c r="C919" s="5" t="s">
        <v>34</v>
      </c>
      <c r="D919" s="5" t="s">
        <v>29</v>
      </c>
      <c r="E919" s="5" t="s">
        <v>13</v>
      </c>
      <c r="F919" s="5" t="s">
        <v>14</v>
      </c>
      <c r="G919" s="5" t="s">
        <v>15</v>
      </c>
      <c r="H919" s="5">
        <v>94472</v>
      </c>
      <c r="I919" s="5">
        <v>8991</v>
      </c>
      <c r="J919" s="6">
        <f t="shared" si="14"/>
        <v>85481</v>
      </c>
    </row>
    <row r="920" spans="1:10">
      <c r="A920" s="5">
        <v>9205</v>
      </c>
      <c r="B920" s="5" t="s">
        <v>10</v>
      </c>
      <c r="C920" s="5" t="s">
        <v>34</v>
      </c>
      <c r="D920" s="5" t="s">
        <v>36</v>
      </c>
      <c r="E920" s="5" t="s">
        <v>13</v>
      </c>
      <c r="F920" s="5" t="s">
        <v>14</v>
      </c>
      <c r="G920" s="5" t="s">
        <v>15</v>
      </c>
      <c r="H920" s="5">
        <v>77297</v>
      </c>
      <c r="I920" s="5">
        <v>1271</v>
      </c>
      <c r="J920" s="6">
        <f t="shared" si="14"/>
        <v>76026</v>
      </c>
    </row>
    <row r="921" spans="1:10">
      <c r="A921" s="5">
        <v>50965</v>
      </c>
      <c r="B921" s="5" t="s">
        <v>16</v>
      </c>
      <c r="C921" s="5" t="s">
        <v>35</v>
      </c>
      <c r="D921" s="5" t="s">
        <v>33</v>
      </c>
      <c r="E921" s="5" t="s">
        <v>13</v>
      </c>
      <c r="F921" s="5" t="s">
        <v>14</v>
      </c>
      <c r="G921" s="5" t="s">
        <v>15</v>
      </c>
      <c r="H921" s="5">
        <v>32763</v>
      </c>
      <c r="I921" s="5">
        <v>283</v>
      </c>
      <c r="J921" s="6">
        <f t="shared" si="14"/>
        <v>32480</v>
      </c>
    </row>
    <row r="922" spans="1:10">
      <c r="A922" s="5">
        <v>15545</v>
      </c>
      <c r="B922" s="5" t="s">
        <v>16</v>
      </c>
      <c r="C922" s="5" t="s">
        <v>11</v>
      </c>
      <c r="D922" s="5" t="s">
        <v>30</v>
      </c>
      <c r="E922" s="5" t="s">
        <v>13</v>
      </c>
      <c r="F922" s="5" t="s">
        <v>14</v>
      </c>
      <c r="G922" s="5" t="s">
        <v>15</v>
      </c>
      <c r="H922" s="5">
        <v>38194</v>
      </c>
      <c r="I922" s="5">
        <v>8101</v>
      </c>
      <c r="J922" s="6">
        <f t="shared" si="14"/>
        <v>30093</v>
      </c>
    </row>
    <row r="923" spans="1:10">
      <c r="A923" s="5">
        <v>47458</v>
      </c>
      <c r="B923" s="5" t="s">
        <v>10</v>
      </c>
      <c r="C923" s="5" t="s">
        <v>11</v>
      </c>
      <c r="D923" s="5" t="s">
        <v>32</v>
      </c>
      <c r="E923" s="5" t="s">
        <v>19</v>
      </c>
      <c r="F923" s="5" t="s">
        <v>14</v>
      </c>
      <c r="G923" s="5" t="s">
        <v>24</v>
      </c>
      <c r="H923" s="5">
        <v>19101</v>
      </c>
      <c r="I923" s="5">
        <v>0</v>
      </c>
      <c r="J923" s="6">
        <f t="shared" si="14"/>
        <v>19101</v>
      </c>
    </row>
    <row r="924" spans="1:10">
      <c r="A924" s="5">
        <v>43154</v>
      </c>
      <c r="B924" s="5" t="s">
        <v>16</v>
      </c>
      <c r="C924" s="5" t="s">
        <v>11</v>
      </c>
      <c r="D924" s="5" t="s">
        <v>30</v>
      </c>
      <c r="E924" s="5" t="s">
        <v>19</v>
      </c>
      <c r="F924" s="5" t="s">
        <v>14</v>
      </c>
      <c r="G924" s="5" t="s">
        <v>15</v>
      </c>
      <c r="H924" s="5">
        <v>71716</v>
      </c>
      <c r="I924" s="5">
        <v>2334</v>
      </c>
      <c r="J924" s="6">
        <f t="shared" si="14"/>
        <v>69382</v>
      </c>
    </row>
    <row r="925" spans="1:10">
      <c r="A925" s="5">
        <v>141693</v>
      </c>
      <c r="B925" s="5" t="s">
        <v>10</v>
      </c>
      <c r="C925" s="5" t="s">
        <v>31</v>
      </c>
      <c r="D925" s="5" t="s">
        <v>26</v>
      </c>
      <c r="E925" s="5" t="s">
        <v>19</v>
      </c>
      <c r="F925" s="5" t="s">
        <v>14</v>
      </c>
      <c r="G925" s="5" t="s">
        <v>24</v>
      </c>
      <c r="H925" s="5">
        <v>21626</v>
      </c>
      <c r="I925" s="5">
        <v>540</v>
      </c>
      <c r="J925" s="6">
        <f t="shared" si="14"/>
        <v>21086</v>
      </c>
    </row>
    <row r="926" spans="1:10">
      <c r="A926" s="5">
        <v>248962</v>
      </c>
      <c r="B926" s="5" t="s">
        <v>16</v>
      </c>
      <c r="C926" s="5" t="s">
        <v>25</v>
      </c>
      <c r="D926" s="5" t="s">
        <v>18</v>
      </c>
      <c r="E926" s="5" t="s">
        <v>13</v>
      </c>
      <c r="F926" s="5" t="s">
        <v>14</v>
      </c>
      <c r="G926" s="5" t="s">
        <v>15</v>
      </c>
      <c r="H926" s="5">
        <v>23782</v>
      </c>
      <c r="I926" s="5">
        <v>273</v>
      </c>
      <c r="J926" s="6">
        <f t="shared" si="14"/>
        <v>23509</v>
      </c>
    </row>
    <row r="927" spans="1:10">
      <c r="A927" s="5">
        <v>35604</v>
      </c>
      <c r="B927" s="5" t="s">
        <v>16</v>
      </c>
      <c r="C927" s="5" t="s">
        <v>35</v>
      </c>
      <c r="D927" s="5" t="s">
        <v>18</v>
      </c>
      <c r="E927" s="5" t="s">
        <v>19</v>
      </c>
      <c r="F927" s="5" t="s">
        <v>14</v>
      </c>
      <c r="G927" s="5" t="s">
        <v>24</v>
      </c>
      <c r="H927" s="5">
        <v>43570</v>
      </c>
      <c r="I927" s="5">
        <v>939</v>
      </c>
      <c r="J927" s="6">
        <f t="shared" si="14"/>
        <v>42631</v>
      </c>
    </row>
    <row r="928" spans="1:10">
      <c r="A928" s="5">
        <v>234753</v>
      </c>
      <c r="B928" s="5" t="s">
        <v>16</v>
      </c>
      <c r="C928" s="5" t="s">
        <v>27</v>
      </c>
      <c r="D928" s="5" t="s">
        <v>12</v>
      </c>
      <c r="E928" s="5" t="s">
        <v>19</v>
      </c>
      <c r="F928" s="5" t="s">
        <v>14</v>
      </c>
      <c r="G928" s="5" t="s">
        <v>24</v>
      </c>
      <c r="H928" s="5">
        <v>25239</v>
      </c>
      <c r="I928" s="5">
        <v>431</v>
      </c>
      <c r="J928" s="6">
        <f t="shared" si="14"/>
        <v>24808</v>
      </c>
    </row>
    <row r="929" spans="1:10">
      <c r="A929" s="5">
        <v>221400</v>
      </c>
      <c r="B929" s="5" t="s">
        <v>16</v>
      </c>
      <c r="C929" s="5" t="s">
        <v>25</v>
      </c>
      <c r="D929" s="5" t="s">
        <v>33</v>
      </c>
      <c r="E929" s="5" t="s">
        <v>19</v>
      </c>
      <c r="F929" s="5" t="s">
        <v>14</v>
      </c>
      <c r="G929" s="5" t="s">
        <v>24</v>
      </c>
      <c r="H929" s="5">
        <v>53544</v>
      </c>
      <c r="I929" s="5">
        <v>1300</v>
      </c>
      <c r="J929" s="6">
        <f t="shared" si="14"/>
        <v>52244</v>
      </c>
    </row>
    <row r="930" spans="1:10">
      <c r="A930" s="5">
        <v>94204</v>
      </c>
      <c r="B930" s="5" t="s">
        <v>16</v>
      </c>
      <c r="C930" s="5" t="s">
        <v>37</v>
      </c>
      <c r="D930" s="5" t="s">
        <v>30</v>
      </c>
      <c r="E930" s="5" t="s">
        <v>13</v>
      </c>
      <c r="F930" s="5" t="s">
        <v>14</v>
      </c>
      <c r="G930" s="5" t="s">
        <v>15</v>
      </c>
      <c r="H930" s="5">
        <v>125466</v>
      </c>
      <c r="I930" s="5">
        <v>21075</v>
      </c>
      <c r="J930" s="6">
        <f t="shared" si="14"/>
        <v>104391</v>
      </c>
    </row>
    <row r="931" spans="1:10">
      <c r="A931" s="5">
        <v>233508</v>
      </c>
      <c r="B931" s="5" t="s">
        <v>10</v>
      </c>
      <c r="C931" s="5" t="s">
        <v>17</v>
      </c>
      <c r="D931" s="5" t="s">
        <v>30</v>
      </c>
      <c r="E931" s="5" t="s">
        <v>19</v>
      </c>
      <c r="F931" s="5" t="s">
        <v>14</v>
      </c>
      <c r="G931" s="5" t="s">
        <v>24</v>
      </c>
      <c r="H931" s="5">
        <v>54503</v>
      </c>
      <c r="I931" s="5">
        <v>3353</v>
      </c>
      <c r="J931" s="6">
        <f t="shared" si="14"/>
        <v>51150</v>
      </c>
    </row>
    <row r="932" spans="1:10">
      <c r="A932" s="5">
        <v>60482</v>
      </c>
      <c r="B932" s="5" t="s">
        <v>16</v>
      </c>
      <c r="C932" s="5" t="s">
        <v>35</v>
      </c>
      <c r="D932" s="5" t="s">
        <v>12</v>
      </c>
      <c r="E932" s="5" t="s">
        <v>19</v>
      </c>
      <c r="F932" s="5" t="s">
        <v>14</v>
      </c>
      <c r="G932" s="5" t="s">
        <v>15</v>
      </c>
      <c r="H932" s="5">
        <v>57941</v>
      </c>
      <c r="I932" s="5">
        <v>804</v>
      </c>
      <c r="J932" s="6">
        <f t="shared" si="14"/>
        <v>57137</v>
      </c>
    </row>
    <row r="933" spans="1:10">
      <c r="A933" s="5">
        <v>78884</v>
      </c>
      <c r="B933" s="5" t="s">
        <v>10</v>
      </c>
      <c r="C933" s="5" t="s">
        <v>39</v>
      </c>
      <c r="D933" s="5" t="s">
        <v>32</v>
      </c>
      <c r="E933" s="5" t="s">
        <v>13</v>
      </c>
      <c r="F933" s="5" t="s">
        <v>14</v>
      </c>
      <c r="G933" s="5" t="s">
        <v>15</v>
      </c>
      <c r="H933" s="5">
        <v>10740</v>
      </c>
      <c r="I933" s="5">
        <v>0</v>
      </c>
      <c r="J933" s="6">
        <f t="shared" si="14"/>
        <v>10740</v>
      </c>
    </row>
    <row r="934" spans="1:10">
      <c r="A934" s="5">
        <v>30831</v>
      </c>
      <c r="B934" s="5" t="s">
        <v>10</v>
      </c>
      <c r="C934" s="5" t="s">
        <v>11</v>
      </c>
      <c r="D934" s="5" t="s">
        <v>30</v>
      </c>
      <c r="E934" s="5" t="s">
        <v>13</v>
      </c>
      <c r="F934" s="5" t="s">
        <v>14</v>
      </c>
      <c r="G934" s="5" t="s">
        <v>15</v>
      </c>
      <c r="H934" s="5">
        <v>157614</v>
      </c>
      <c r="I934" s="5">
        <v>374</v>
      </c>
      <c r="J934" s="6">
        <f t="shared" si="14"/>
        <v>157240</v>
      </c>
    </row>
    <row r="935" spans="1:10">
      <c r="A935" s="5">
        <v>234758</v>
      </c>
      <c r="B935" s="5" t="s">
        <v>16</v>
      </c>
      <c r="C935" s="5" t="s">
        <v>17</v>
      </c>
      <c r="D935" s="5" t="s">
        <v>30</v>
      </c>
      <c r="E935" s="5" t="s">
        <v>19</v>
      </c>
      <c r="F935" s="5" t="s">
        <v>28</v>
      </c>
      <c r="G935" s="5" t="s">
        <v>15</v>
      </c>
      <c r="H935" s="5">
        <v>11580</v>
      </c>
      <c r="I935" s="5">
        <v>0</v>
      </c>
      <c r="J935" s="6">
        <f t="shared" si="14"/>
        <v>11580</v>
      </c>
    </row>
    <row r="936" spans="1:10">
      <c r="A936" s="5">
        <v>170323</v>
      </c>
      <c r="B936" s="5" t="s">
        <v>10</v>
      </c>
      <c r="C936" s="5" t="s">
        <v>17</v>
      </c>
      <c r="D936" s="5" t="s">
        <v>29</v>
      </c>
      <c r="E936" s="5" t="s">
        <v>19</v>
      </c>
      <c r="F936" s="5" t="s">
        <v>14</v>
      </c>
      <c r="G936" s="5" t="s">
        <v>24</v>
      </c>
      <c r="H936" s="5">
        <v>42571</v>
      </c>
      <c r="I936" s="5">
        <v>418</v>
      </c>
      <c r="J936" s="6">
        <f t="shared" si="14"/>
        <v>42153</v>
      </c>
    </row>
    <row r="937" spans="1:10">
      <c r="A937" s="5">
        <v>169245</v>
      </c>
      <c r="B937" s="5" t="s">
        <v>10</v>
      </c>
      <c r="C937" s="5" t="s">
        <v>34</v>
      </c>
      <c r="D937" s="5" t="s">
        <v>30</v>
      </c>
      <c r="E937" s="5" t="s">
        <v>13</v>
      </c>
      <c r="F937" s="5" t="s">
        <v>14</v>
      </c>
      <c r="G937" s="5" t="s">
        <v>15</v>
      </c>
      <c r="H937" s="5">
        <v>270704</v>
      </c>
      <c r="I937" s="5">
        <v>1041</v>
      </c>
      <c r="J937" s="6">
        <f t="shared" si="14"/>
        <v>269663</v>
      </c>
    </row>
    <row r="938" spans="1:10">
      <c r="A938" s="5">
        <v>251462</v>
      </c>
      <c r="B938" s="5" t="s">
        <v>16</v>
      </c>
      <c r="C938" s="5" t="s">
        <v>17</v>
      </c>
      <c r="D938" s="5" t="s">
        <v>21</v>
      </c>
      <c r="E938" s="5" t="s">
        <v>19</v>
      </c>
      <c r="F938" s="5" t="s">
        <v>14</v>
      </c>
      <c r="G938" s="5" t="s">
        <v>24</v>
      </c>
      <c r="H938" s="5">
        <v>30678</v>
      </c>
      <c r="I938" s="5">
        <v>280</v>
      </c>
      <c r="J938" s="6">
        <f t="shared" si="14"/>
        <v>30398</v>
      </c>
    </row>
    <row r="939" spans="1:10">
      <c r="A939" s="5">
        <v>164027</v>
      </c>
      <c r="B939" s="5" t="s">
        <v>10</v>
      </c>
      <c r="C939" s="5" t="s">
        <v>31</v>
      </c>
      <c r="D939" s="5" t="s">
        <v>36</v>
      </c>
      <c r="E939" s="5" t="s">
        <v>19</v>
      </c>
      <c r="F939" s="5" t="s">
        <v>14</v>
      </c>
      <c r="G939" s="5" t="s">
        <v>15</v>
      </c>
      <c r="H939" s="5">
        <v>5685</v>
      </c>
      <c r="I939" s="5">
        <v>0</v>
      </c>
      <c r="J939" s="6">
        <f t="shared" si="14"/>
        <v>5685</v>
      </c>
    </row>
    <row r="940" spans="1:10">
      <c r="A940" s="5">
        <v>101893</v>
      </c>
      <c r="B940" s="5" t="s">
        <v>16</v>
      </c>
      <c r="C940" s="5" t="s">
        <v>11</v>
      </c>
      <c r="D940" s="5" t="s">
        <v>33</v>
      </c>
      <c r="E940" s="5" t="s">
        <v>13</v>
      </c>
      <c r="F940" s="5" t="s">
        <v>28</v>
      </c>
      <c r="G940" s="5" t="s">
        <v>15</v>
      </c>
      <c r="H940" s="5">
        <v>24192</v>
      </c>
      <c r="I940" s="5">
        <v>2178</v>
      </c>
      <c r="J940" s="6">
        <f t="shared" si="14"/>
        <v>22014</v>
      </c>
    </row>
    <row r="941" spans="1:10">
      <c r="A941" s="5">
        <v>4402</v>
      </c>
      <c r="B941" s="5" t="s">
        <v>10</v>
      </c>
      <c r="C941" s="5" t="s">
        <v>37</v>
      </c>
      <c r="D941" s="5" t="s">
        <v>12</v>
      </c>
      <c r="E941" s="5" t="s">
        <v>13</v>
      </c>
      <c r="F941" s="5" t="s">
        <v>14</v>
      </c>
      <c r="G941" s="5" t="s">
        <v>15</v>
      </c>
      <c r="H941" s="5">
        <v>19208</v>
      </c>
      <c r="I941" s="5">
        <v>415</v>
      </c>
      <c r="J941" s="6">
        <f t="shared" si="14"/>
        <v>18793</v>
      </c>
    </row>
    <row r="942" spans="1:10">
      <c r="A942" s="5">
        <v>193301</v>
      </c>
      <c r="B942" s="5" t="s">
        <v>10</v>
      </c>
      <c r="C942" s="5" t="s">
        <v>34</v>
      </c>
      <c r="D942" s="5" t="s">
        <v>12</v>
      </c>
      <c r="E942" s="5" t="s">
        <v>19</v>
      </c>
      <c r="F942" s="5" t="s">
        <v>14</v>
      </c>
      <c r="G942" s="5" t="s">
        <v>15</v>
      </c>
      <c r="H942" s="5">
        <v>78412</v>
      </c>
      <c r="I942" s="5">
        <v>270</v>
      </c>
      <c r="J942" s="6">
        <f t="shared" si="14"/>
        <v>78142</v>
      </c>
    </row>
    <row r="943" spans="1:10">
      <c r="A943" s="5">
        <v>253979</v>
      </c>
      <c r="B943" s="5" t="s">
        <v>10</v>
      </c>
      <c r="C943" s="5" t="s">
        <v>17</v>
      </c>
      <c r="D943" s="5" t="s">
        <v>26</v>
      </c>
      <c r="E943" s="5" t="s">
        <v>19</v>
      </c>
      <c r="F943" s="5" t="s">
        <v>14</v>
      </c>
      <c r="G943" s="5" t="s">
        <v>24</v>
      </c>
      <c r="H943" s="5">
        <v>87780</v>
      </c>
      <c r="I943" s="5">
        <v>4598</v>
      </c>
      <c r="J943" s="6">
        <f t="shared" si="14"/>
        <v>83182</v>
      </c>
    </row>
    <row r="944" spans="1:10">
      <c r="A944" s="5">
        <v>122342</v>
      </c>
      <c r="B944" s="5" t="s">
        <v>10</v>
      </c>
      <c r="C944" s="5" t="s">
        <v>22</v>
      </c>
      <c r="D944" s="5" t="s">
        <v>23</v>
      </c>
      <c r="E944" s="5" t="s">
        <v>19</v>
      </c>
      <c r="F944" s="5" t="s">
        <v>28</v>
      </c>
      <c r="G944" s="5" t="s">
        <v>15</v>
      </c>
      <c r="H944" s="5">
        <v>82842</v>
      </c>
      <c r="I944" s="5">
        <v>22459</v>
      </c>
      <c r="J944" s="6">
        <f t="shared" si="14"/>
        <v>60383</v>
      </c>
    </row>
    <row r="945" spans="1:10">
      <c r="A945" s="5">
        <v>72789</v>
      </c>
      <c r="B945" s="5" t="s">
        <v>16</v>
      </c>
      <c r="C945" s="5" t="s">
        <v>35</v>
      </c>
      <c r="D945" s="5" t="s">
        <v>32</v>
      </c>
      <c r="E945" s="5" t="s">
        <v>19</v>
      </c>
      <c r="F945" s="5" t="s">
        <v>14</v>
      </c>
      <c r="G945" s="5" t="s">
        <v>24</v>
      </c>
      <c r="H945" s="5">
        <v>619</v>
      </c>
      <c r="I945" s="5">
        <v>0</v>
      </c>
      <c r="J945" s="6">
        <f t="shared" si="14"/>
        <v>619</v>
      </c>
    </row>
    <row r="946" spans="1:10">
      <c r="A946" s="5">
        <v>243444</v>
      </c>
      <c r="B946" s="5" t="s">
        <v>16</v>
      </c>
      <c r="C946" s="5" t="s">
        <v>17</v>
      </c>
      <c r="D946" s="5" t="s">
        <v>33</v>
      </c>
      <c r="E946" s="5" t="s">
        <v>19</v>
      </c>
      <c r="F946" s="5" t="s">
        <v>28</v>
      </c>
      <c r="G946" s="5" t="s">
        <v>24</v>
      </c>
      <c r="H946" s="5">
        <v>39749</v>
      </c>
      <c r="I946" s="5">
        <v>0</v>
      </c>
      <c r="J946" s="6">
        <f t="shared" si="14"/>
        <v>39749</v>
      </c>
    </row>
    <row r="947" spans="1:10">
      <c r="A947" s="5">
        <v>39919</v>
      </c>
      <c r="B947" s="5" t="s">
        <v>16</v>
      </c>
      <c r="C947" s="5" t="s">
        <v>35</v>
      </c>
      <c r="D947" s="5" t="s">
        <v>23</v>
      </c>
      <c r="E947" s="5" t="s">
        <v>13</v>
      </c>
      <c r="F947" s="5" t="s">
        <v>14</v>
      </c>
      <c r="G947" s="5" t="s">
        <v>15</v>
      </c>
      <c r="H947" s="5">
        <v>14397</v>
      </c>
      <c r="I947" s="5">
        <v>0</v>
      </c>
      <c r="J947" s="6">
        <f t="shared" si="14"/>
        <v>14397</v>
      </c>
    </row>
    <row r="948" spans="1:10">
      <c r="A948" s="5">
        <v>185076</v>
      </c>
      <c r="B948" s="5" t="s">
        <v>16</v>
      </c>
      <c r="C948" s="5" t="s">
        <v>11</v>
      </c>
      <c r="D948" s="5" t="s">
        <v>26</v>
      </c>
      <c r="E948" s="5" t="s">
        <v>13</v>
      </c>
      <c r="F948" s="5" t="s">
        <v>14</v>
      </c>
      <c r="G948" s="5" t="s">
        <v>24</v>
      </c>
      <c r="H948" s="5">
        <v>9974</v>
      </c>
      <c r="I948" s="5">
        <v>320</v>
      </c>
      <c r="J948" s="6">
        <f t="shared" si="14"/>
        <v>9654</v>
      </c>
    </row>
    <row r="949" spans="1:10">
      <c r="A949" s="5">
        <v>115494</v>
      </c>
      <c r="B949" s="5" t="s">
        <v>10</v>
      </c>
      <c r="C949" s="5" t="s">
        <v>25</v>
      </c>
      <c r="D949" s="5" t="s">
        <v>30</v>
      </c>
      <c r="E949" s="5" t="s">
        <v>19</v>
      </c>
      <c r="F949" s="5" t="s">
        <v>14</v>
      </c>
      <c r="G949" s="5" t="s">
        <v>15</v>
      </c>
      <c r="H949" s="5">
        <v>52533</v>
      </c>
      <c r="I949" s="5">
        <v>2855</v>
      </c>
      <c r="J949" s="6">
        <f t="shared" si="14"/>
        <v>49678</v>
      </c>
    </row>
    <row r="950" spans="1:10">
      <c r="A950" s="5">
        <v>233072</v>
      </c>
      <c r="B950" s="5" t="s">
        <v>10</v>
      </c>
      <c r="C950" s="5" t="s">
        <v>25</v>
      </c>
      <c r="D950" s="5" t="s">
        <v>32</v>
      </c>
      <c r="E950" s="5" t="s">
        <v>19</v>
      </c>
      <c r="F950" s="5" t="s">
        <v>14</v>
      </c>
      <c r="G950" s="5" t="s">
        <v>24</v>
      </c>
      <c r="H950" s="5">
        <v>7</v>
      </c>
      <c r="I950" s="5">
        <v>0</v>
      </c>
      <c r="J950" s="6">
        <f t="shared" si="14"/>
        <v>7</v>
      </c>
    </row>
    <row r="951" spans="1:10">
      <c r="A951" s="5">
        <v>110529</v>
      </c>
      <c r="B951" s="5" t="s">
        <v>16</v>
      </c>
      <c r="C951" s="5" t="s">
        <v>27</v>
      </c>
      <c r="D951" s="5" t="s">
        <v>36</v>
      </c>
      <c r="E951" s="5" t="s">
        <v>19</v>
      </c>
      <c r="F951" s="5" t="s">
        <v>14</v>
      </c>
      <c r="G951" s="5" t="s">
        <v>24</v>
      </c>
      <c r="H951" s="5">
        <v>11043</v>
      </c>
      <c r="I951" s="5">
        <v>0</v>
      </c>
      <c r="J951" s="6">
        <f t="shared" si="14"/>
        <v>11043</v>
      </c>
    </row>
    <row r="952" spans="1:10">
      <c r="A952" s="5">
        <v>13459</v>
      </c>
      <c r="B952" s="5" t="s">
        <v>16</v>
      </c>
      <c r="C952" s="5" t="s">
        <v>37</v>
      </c>
      <c r="D952" s="5" t="s">
        <v>32</v>
      </c>
      <c r="E952" s="5" t="s">
        <v>13</v>
      </c>
      <c r="F952" s="5" t="s">
        <v>14</v>
      </c>
      <c r="G952" s="5" t="s">
        <v>15</v>
      </c>
      <c r="H952" s="5">
        <v>15365</v>
      </c>
      <c r="I952" s="5">
        <v>202</v>
      </c>
      <c r="J952" s="6">
        <f t="shared" si="14"/>
        <v>15163</v>
      </c>
    </row>
    <row r="953" spans="1:10">
      <c r="A953" s="5">
        <v>201966</v>
      </c>
      <c r="B953" s="5" t="s">
        <v>10</v>
      </c>
      <c r="C953" s="5" t="s">
        <v>38</v>
      </c>
      <c r="D953" s="5" t="s">
        <v>21</v>
      </c>
      <c r="E953" s="5" t="s">
        <v>13</v>
      </c>
      <c r="F953" s="5" t="s">
        <v>14</v>
      </c>
      <c r="G953" s="5" t="s">
        <v>15</v>
      </c>
      <c r="H953" s="5">
        <v>36458</v>
      </c>
      <c r="I953" s="5">
        <v>4209</v>
      </c>
      <c r="J953" s="6">
        <f t="shared" si="14"/>
        <v>32249</v>
      </c>
    </row>
    <row r="954" spans="1:10">
      <c r="A954" s="5">
        <v>27980</v>
      </c>
      <c r="B954" s="5" t="s">
        <v>10</v>
      </c>
      <c r="C954" s="5" t="s">
        <v>11</v>
      </c>
      <c r="D954" s="5" t="s">
        <v>12</v>
      </c>
      <c r="E954" s="5" t="s">
        <v>13</v>
      </c>
      <c r="F954" s="5" t="s">
        <v>14</v>
      </c>
      <c r="G954" s="5" t="s">
        <v>15</v>
      </c>
      <c r="H954" s="5">
        <v>66395</v>
      </c>
      <c r="I954" s="5">
        <v>2319</v>
      </c>
      <c r="J954" s="6">
        <f t="shared" si="14"/>
        <v>64076</v>
      </c>
    </row>
    <row r="955" spans="1:10">
      <c r="A955" s="5">
        <v>215770</v>
      </c>
      <c r="B955" s="5" t="s">
        <v>10</v>
      </c>
      <c r="C955" s="5" t="s">
        <v>38</v>
      </c>
      <c r="D955" s="5" t="s">
        <v>23</v>
      </c>
      <c r="E955" s="5" t="s">
        <v>13</v>
      </c>
      <c r="F955" s="5" t="s">
        <v>14</v>
      </c>
      <c r="G955" s="5" t="s">
        <v>15</v>
      </c>
      <c r="H955" s="5">
        <v>50789</v>
      </c>
      <c r="I955" s="5">
        <v>587</v>
      </c>
      <c r="J955" s="6">
        <f t="shared" si="14"/>
        <v>50202</v>
      </c>
    </row>
    <row r="956" spans="1:10">
      <c r="A956" s="5">
        <v>185739</v>
      </c>
      <c r="B956" s="5" t="s">
        <v>10</v>
      </c>
      <c r="C956" s="5" t="s">
        <v>39</v>
      </c>
      <c r="D956" s="5" t="s">
        <v>36</v>
      </c>
      <c r="E956" s="5" t="s">
        <v>13</v>
      </c>
      <c r="F956" s="5" t="s">
        <v>14</v>
      </c>
      <c r="G956" s="5" t="s">
        <v>15</v>
      </c>
      <c r="H956" s="5">
        <v>53674</v>
      </c>
      <c r="I956" s="5">
        <v>4593</v>
      </c>
      <c r="J956" s="6">
        <f t="shared" si="14"/>
        <v>49081</v>
      </c>
    </row>
    <row r="957" spans="1:10">
      <c r="A957" s="5">
        <v>210154</v>
      </c>
      <c r="B957" s="5" t="s">
        <v>16</v>
      </c>
      <c r="C957" s="5" t="s">
        <v>38</v>
      </c>
      <c r="D957" s="5" t="s">
        <v>32</v>
      </c>
      <c r="E957" s="5" t="s">
        <v>13</v>
      </c>
      <c r="F957" s="5" t="s">
        <v>14</v>
      </c>
      <c r="G957" s="5" t="s">
        <v>15</v>
      </c>
      <c r="H957" s="5">
        <v>5070</v>
      </c>
      <c r="I957" s="5">
        <v>0</v>
      </c>
      <c r="J957" s="6">
        <f t="shared" si="14"/>
        <v>5070</v>
      </c>
    </row>
    <row r="958" spans="1:10">
      <c r="A958" s="5">
        <v>76736</v>
      </c>
      <c r="B958" s="5" t="s">
        <v>16</v>
      </c>
      <c r="C958" s="5" t="s">
        <v>27</v>
      </c>
      <c r="D958" s="5" t="s">
        <v>33</v>
      </c>
      <c r="E958" s="5" t="s">
        <v>13</v>
      </c>
      <c r="F958" s="5" t="s">
        <v>28</v>
      </c>
      <c r="G958" s="5" t="s">
        <v>15</v>
      </c>
      <c r="H958" s="5">
        <v>36392</v>
      </c>
      <c r="I958" s="5">
        <v>281</v>
      </c>
      <c r="J958" s="6">
        <f t="shared" si="14"/>
        <v>36111</v>
      </c>
    </row>
    <row r="959" spans="1:10">
      <c r="A959" s="5">
        <v>161231</v>
      </c>
      <c r="B959" s="5" t="s">
        <v>10</v>
      </c>
      <c r="C959" s="5" t="s">
        <v>25</v>
      </c>
      <c r="D959" s="5" t="s">
        <v>26</v>
      </c>
      <c r="E959" s="5" t="s">
        <v>19</v>
      </c>
      <c r="F959" s="5" t="s">
        <v>14</v>
      </c>
      <c r="G959" s="5" t="s">
        <v>15</v>
      </c>
      <c r="H959" s="5">
        <v>65394</v>
      </c>
      <c r="I959" s="5">
        <v>9745</v>
      </c>
      <c r="J959" s="6">
        <f t="shared" si="14"/>
        <v>55649</v>
      </c>
    </row>
    <row r="960" spans="1:10">
      <c r="A960" s="5">
        <v>140624</v>
      </c>
      <c r="B960" s="5" t="s">
        <v>16</v>
      </c>
      <c r="C960" s="5" t="s">
        <v>17</v>
      </c>
      <c r="D960" s="5" t="s">
        <v>36</v>
      </c>
      <c r="E960" s="5" t="s">
        <v>19</v>
      </c>
      <c r="F960" s="5" t="s">
        <v>14</v>
      </c>
      <c r="G960" s="5" t="s">
        <v>15</v>
      </c>
      <c r="H960" s="5">
        <v>29381</v>
      </c>
      <c r="I960" s="5">
        <v>1032</v>
      </c>
      <c r="J960" s="6">
        <f t="shared" si="14"/>
        <v>28349</v>
      </c>
    </row>
    <row r="961" spans="1:10">
      <c r="A961" s="5">
        <v>196033</v>
      </c>
      <c r="B961" s="5" t="s">
        <v>10</v>
      </c>
      <c r="C961" s="5" t="s">
        <v>11</v>
      </c>
      <c r="D961" s="5" t="s">
        <v>23</v>
      </c>
      <c r="E961" s="5" t="s">
        <v>19</v>
      </c>
      <c r="F961" s="5" t="s">
        <v>14</v>
      </c>
      <c r="G961" s="5" t="s">
        <v>24</v>
      </c>
      <c r="H961" s="5">
        <v>14066</v>
      </c>
      <c r="I961" s="5">
        <v>0</v>
      </c>
      <c r="J961" s="6">
        <f t="shared" si="14"/>
        <v>14066</v>
      </c>
    </row>
    <row r="962" spans="1:10">
      <c r="A962" s="5">
        <v>242470</v>
      </c>
      <c r="B962" s="5" t="s">
        <v>16</v>
      </c>
      <c r="C962" s="5" t="s">
        <v>25</v>
      </c>
      <c r="D962" s="5" t="s">
        <v>30</v>
      </c>
      <c r="E962" s="5" t="s">
        <v>13</v>
      </c>
      <c r="F962" s="5" t="s">
        <v>28</v>
      </c>
      <c r="G962" s="5" t="s">
        <v>24</v>
      </c>
      <c r="H962" s="5">
        <v>31108</v>
      </c>
      <c r="I962" s="5">
        <v>2557</v>
      </c>
      <c r="J962" s="6">
        <f t="shared" ref="J962:J1001" si="15">H962-I962</f>
        <v>28551</v>
      </c>
    </row>
    <row r="963" spans="1:10">
      <c r="A963" s="5">
        <v>175565</v>
      </c>
      <c r="B963" s="5" t="s">
        <v>10</v>
      </c>
      <c r="C963" s="5" t="s">
        <v>22</v>
      </c>
      <c r="D963" s="5" t="s">
        <v>12</v>
      </c>
      <c r="E963" s="5" t="s">
        <v>19</v>
      </c>
      <c r="F963" s="5" t="s">
        <v>28</v>
      </c>
      <c r="G963" s="5" t="s">
        <v>15</v>
      </c>
      <c r="H963" s="5">
        <v>133702</v>
      </c>
      <c r="I963" s="5">
        <v>1665</v>
      </c>
      <c r="J963" s="6">
        <f t="shared" si="15"/>
        <v>132037</v>
      </c>
    </row>
    <row r="964" spans="1:10">
      <c r="A964" s="5">
        <v>183468</v>
      </c>
      <c r="B964" s="5" t="s">
        <v>10</v>
      </c>
      <c r="C964" s="5" t="s">
        <v>38</v>
      </c>
      <c r="D964" s="5" t="s">
        <v>12</v>
      </c>
      <c r="E964" s="5" t="s">
        <v>13</v>
      </c>
      <c r="F964" s="5" t="s">
        <v>14</v>
      </c>
      <c r="G964" s="5" t="s">
        <v>15</v>
      </c>
      <c r="H964" s="5">
        <v>202364</v>
      </c>
      <c r="I964" s="5">
        <v>138</v>
      </c>
      <c r="J964" s="6">
        <f t="shared" si="15"/>
        <v>202226</v>
      </c>
    </row>
    <row r="965" spans="1:10">
      <c r="A965" s="5">
        <v>47868</v>
      </c>
      <c r="B965" s="5" t="s">
        <v>16</v>
      </c>
      <c r="C965" s="5" t="s">
        <v>35</v>
      </c>
      <c r="D965" s="5" t="s">
        <v>30</v>
      </c>
      <c r="E965" s="5" t="s">
        <v>19</v>
      </c>
      <c r="F965" s="5" t="s">
        <v>14</v>
      </c>
      <c r="G965" s="5" t="s">
        <v>15</v>
      </c>
      <c r="H965" s="5">
        <v>200292</v>
      </c>
      <c r="I965" s="5">
        <v>9151</v>
      </c>
      <c r="J965" s="6">
        <f t="shared" si="15"/>
        <v>191141</v>
      </c>
    </row>
    <row r="966" spans="1:10">
      <c r="A966" s="5">
        <v>76988</v>
      </c>
      <c r="B966" s="5" t="s">
        <v>10</v>
      </c>
      <c r="C966" s="5" t="s">
        <v>35</v>
      </c>
      <c r="D966" s="5" t="s">
        <v>32</v>
      </c>
      <c r="E966" s="5" t="s">
        <v>13</v>
      </c>
      <c r="F966" s="5" t="s">
        <v>14</v>
      </c>
      <c r="G966" s="5" t="s">
        <v>15</v>
      </c>
      <c r="H966" s="5">
        <v>31504</v>
      </c>
      <c r="I966" s="5">
        <v>0</v>
      </c>
      <c r="J966" s="6">
        <f t="shared" si="15"/>
        <v>31504</v>
      </c>
    </row>
    <row r="967" spans="1:10">
      <c r="A967" s="5">
        <v>200631</v>
      </c>
      <c r="B967" s="5" t="s">
        <v>16</v>
      </c>
      <c r="C967" s="5" t="s">
        <v>37</v>
      </c>
      <c r="D967" s="5" t="s">
        <v>33</v>
      </c>
      <c r="E967" s="5" t="s">
        <v>13</v>
      </c>
      <c r="F967" s="5" t="s">
        <v>14</v>
      </c>
      <c r="G967" s="5" t="s">
        <v>15</v>
      </c>
      <c r="H967" s="5">
        <v>57207</v>
      </c>
      <c r="I967" s="5">
        <v>243</v>
      </c>
      <c r="J967" s="6">
        <f t="shared" si="15"/>
        <v>56964</v>
      </c>
    </row>
    <row r="968" spans="1:10">
      <c r="A968" s="5">
        <v>73388</v>
      </c>
      <c r="B968" s="5" t="s">
        <v>10</v>
      </c>
      <c r="C968" s="5" t="s">
        <v>27</v>
      </c>
      <c r="D968" s="5" t="s">
        <v>23</v>
      </c>
      <c r="E968" s="5" t="s">
        <v>13</v>
      </c>
      <c r="F968" s="5" t="s">
        <v>14</v>
      </c>
      <c r="G968" s="5" t="s">
        <v>15</v>
      </c>
      <c r="H968" s="5">
        <v>146765</v>
      </c>
      <c r="I968" s="5">
        <v>17627</v>
      </c>
      <c r="J968" s="6">
        <f t="shared" si="15"/>
        <v>129138</v>
      </c>
    </row>
    <row r="969" spans="1:10">
      <c r="A969" s="5">
        <v>216692</v>
      </c>
      <c r="B969" s="5" t="s">
        <v>10</v>
      </c>
      <c r="C969" s="5" t="s">
        <v>34</v>
      </c>
      <c r="D969" s="5" t="s">
        <v>36</v>
      </c>
      <c r="E969" s="5" t="s">
        <v>13</v>
      </c>
      <c r="F969" s="5" t="s">
        <v>14</v>
      </c>
      <c r="G969" s="5" t="s">
        <v>15</v>
      </c>
      <c r="H969" s="5">
        <v>36998</v>
      </c>
      <c r="I969" s="5">
        <v>2000</v>
      </c>
      <c r="J969" s="6">
        <f t="shared" si="15"/>
        <v>34998</v>
      </c>
    </row>
    <row r="970" spans="1:10">
      <c r="A970" s="5">
        <v>119195</v>
      </c>
      <c r="B970" s="5" t="s">
        <v>10</v>
      </c>
      <c r="C970" s="5" t="s">
        <v>31</v>
      </c>
      <c r="D970" s="5" t="s">
        <v>12</v>
      </c>
      <c r="E970" s="5" t="s">
        <v>19</v>
      </c>
      <c r="F970" s="5" t="s">
        <v>14</v>
      </c>
      <c r="G970" s="5" t="s">
        <v>24</v>
      </c>
      <c r="H970" s="5">
        <v>1096</v>
      </c>
      <c r="I970" s="5">
        <v>136</v>
      </c>
      <c r="J970" s="6">
        <f t="shared" si="15"/>
        <v>960</v>
      </c>
    </row>
    <row r="971" spans="1:10">
      <c r="A971" s="5">
        <v>92716</v>
      </c>
      <c r="B971" s="5" t="s">
        <v>10</v>
      </c>
      <c r="C971" s="5" t="s">
        <v>20</v>
      </c>
      <c r="D971" s="5" t="s">
        <v>32</v>
      </c>
      <c r="E971" s="5" t="s">
        <v>13</v>
      </c>
      <c r="F971" s="5" t="s">
        <v>14</v>
      </c>
      <c r="G971" s="5" t="s">
        <v>15</v>
      </c>
      <c r="H971" s="5">
        <v>14242</v>
      </c>
      <c r="I971" s="5">
        <v>0</v>
      </c>
      <c r="J971" s="6">
        <f t="shared" si="15"/>
        <v>14242</v>
      </c>
    </row>
    <row r="972" spans="1:10">
      <c r="A972" s="5">
        <v>54541</v>
      </c>
      <c r="B972" s="5" t="s">
        <v>16</v>
      </c>
      <c r="C972" s="5" t="s">
        <v>35</v>
      </c>
      <c r="D972" s="5" t="s">
        <v>32</v>
      </c>
      <c r="E972" s="5" t="s">
        <v>13</v>
      </c>
      <c r="F972" s="5" t="s">
        <v>14</v>
      </c>
      <c r="G972" s="5" t="s">
        <v>15</v>
      </c>
      <c r="H972" s="5">
        <v>32368</v>
      </c>
      <c r="I972" s="5">
        <v>9</v>
      </c>
      <c r="J972" s="6">
        <f t="shared" si="15"/>
        <v>32359</v>
      </c>
    </row>
    <row r="973" spans="1:10">
      <c r="A973" s="5">
        <v>31739</v>
      </c>
      <c r="B973" s="5" t="s">
        <v>10</v>
      </c>
      <c r="C973" s="5" t="s">
        <v>35</v>
      </c>
      <c r="D973" s="5" t="s">
        <v>32</v>
      </c>
      <c r="E973" s="5" t="s">
        <v>19</v>
      </c>
      <c r="F973" s="5" t="s">
        <v>14</v>
      </c>
      <c r="G973" s="5" t="s">
        <v>24</v>
      </c>
      <c r="H973" s="5">
        <v>107291</v>
      </c>
      <c r="I973" s="5">
        <v>145</v>
      </c>
      <c r="J973" s="6">
        <f t="shared" si="15"/>
        <v>107146</v>
      </c>
    </row>
    <row r="974" spans="1:10">
      <c r="A974" s="5">
        <v>225950</v>
      </c>
      <c r="B974" s="5" t="s">
        <v>10</v>
      </c>
      <c r="C974" s="5" t="s">
        <v>22</v>
      </c>
      <c r="D974" s="5" t="s">
        <v>12</v>
      </c>
      <c r="E974" s="5" t="s">
        <v>19</v>
      </c>
      <c r="F974" s="5" t="s">
        <v>14</v>
      </c>
      <c r="G974" s="5" t="s">
        <v>15</v>
      </c>
      <c r="H974" s="5">
        <v>56592</v>
      </c>
      <c r="I974" s="5">
        <v>5715</v>
      </c>
      <c r="J974" s="6">
        <f t="shared" si="15"/>
        <v>50877</v>
      </c>
    </row>
    <row r="975" spans="1:10">
      <c r="A975" s="5">
        <v>83242</v>
      </c>
      <c r="B975" s="5" t="s">
        <v>10</v>
      </c>
      <c r="C975" s="5" t="s">
        <v>34</v>
      </c>
      <c r="D975" s="5" t="s">
        <v>33</v>
      </c>
      <c r="E975" s="5" t="s">
        <v>13</v>
      </c>
      <c r="F975" s="5" t="s">
        <v>14</v>
      </c>
      <c r="G975" s="5" t="s">
        <v>15</v>
      </c>
      <c r="H975" s="5">
        <v>114378</v>
      </c>
      <c r="I975" s="5">
        <v>123</v>
      </c>
      <c r="J975" s="6">
        <f t="shared" si="15"/>
        <v>114255</v>
      </c>
    </row>
    <row r="976" spans="1:10">
      <c r="A976" s="5">
        <v>214200</v>
      </c>
      <c r="B976" s="5" t="s">
        <v>10</v>
      </c>
      <c r="C976" s="5" t="s">
        <v>11</v>
      </c>
      <c r="D976" s="5" t="s">
        <v>32</v>
      </c>
      <c r="E976" s="5" t="s">
        <v>13</v>
      </c>
      <c r="F976" s="5" t="s">
        <v>14</v>
      </c>
      <c r="G976" s="5" t="s">
        <v>15</v>
      </c>
      <c r="H976" s="5">
        <v>106685</v>
      </c>
      <c r="I976" s="5">
        <v>2672</v>
      </c>
      <c r="J976" s="6">
        <f t="shared" si="15"/>
        <v>104013</v>
      </c>
    </row>
    <row r="977" spans="1:10">
      <c r="A977" s="5">
        <v>122898</v>
      </c>
      <c r="B977" s="5" t="s">
        <v>10</v>
      </c>
      <c r="C977" s="5" t="s">
        <v>25</v>
      </c>
      <c r="D977" s="5" t="s">
        <v>18</v>
      </c>
      <c r="E977" s="5" t="s">
        <v>13</v>
      </c>
      <c r="F977" s="5" t="s">
        <v>14</v>
      </c>
      <c r="G977" s="5" t="s">
        <v>24</v>
      </c>
      <c r="H977" s="5">
        <v>116064</v>
      </c>
      <c r="I977" s="5">
        <v>2123</v>
      </c>
      <c r="J977" s="6">
        <f t="shared" si="15"/>
        <v>113941</v>
      </c>
    </row>
    <row r="978" spans="1:10">
      <c r="A978" s="5">
        <v>54483</v>
      </c>
      <c r="B978" s="5" t="s">
        <v>16</v>
      </c>
      <c r="C978" s="5" t="s">
        <v>27</v>
      </c>
      <c r="D978" s="5" t="s">
        <v>12</v>
      </c>
      <c r="E978" s="5" t="s">
        <v>19</v>
      </c>
      <c r="F978" s="5" t="s">
        <v>14</v>
      </c>
      <c r="G978" s="5" t="s">
        <v>15</v>
      </c>
      <c r="H978" s="5">
        <v>161245</v>
      </c>
      <c r="I978" s="5">
        <v>21631</v>
      </c>
      <c r="J978" s="6">
        <f t="shared" si="15"/>
        <v>139614</v>
      </c>
    </row>
    <row r="979" spans="1:10">
      <c r="A979" s="5">
        <v>242401</v>
      </c>
      <c r="B979" s="5" t="s">
        <v>16</v>
      </c>
      <c r="C979" s="5" t="s">
        <v>17</v>
      </c>
      <c r="D979" s="5" t="s">
        <v>21</v>
      </c>
      <c r="E979" s="5" t="s">
        <v>13</v>
      </c>
      <c r="F979" s="5" t="s">
        <v>28</v>
      </c>
      <c r="G979" s="5" t="s">
        <v>15</v>
      </c>
      <c r="H979" s="5">
        <v>24171</v>
      </c>
      <c r="I979" s="5">
        <v>256</v>
      </c>
      <c r="J979" s="6">
        <f t="shared" si="15"/>
        <v>23915</v>
      </c>
    </row>
    <row r="980" spans="1:10">
      <c r="A980" s="5">
        <v>41384</v>
      </c>
      <c r="B980" s="5" t="s">
        <v>16</v>
      </c>
      <c r="C980" s="5" t="s">
        <v>34</v>
      </c>
      <c r="D980" s="5" t="s">
        <v>12</v>
      </c>
      <c r="E980" s="5" t="s">
        <v>13</v>
      </c>
      <c r="F980" s="5" t="s">
        <v>14</v>
      </c>
      <c r="G980" s="5" t="s">
        <v>15</v>
      </c>
      <c r="H980" s="5">
        <v>97322</v>
      </c>
      <c r="I980" s="5">
        <v>1931</v>
      </c>
      <c r="J980" s="6">
        <f t="shared" si="15"/>
        <v>95391</v>
      </c>
    </row>
    <row r="981" spans="1:10">
      <c r="A981" s="5">
        <v>182979</v>
      </c>
      <c r="B981" s="5" t="s">
        <v>10</v>
      </c>
      <c r="C981" s="5" t="s">
        <v>20</v>
      </c>
      <c r="D981" s="5" t="s">
        <v>32</v>
      </c>
      <c r="E981" s="5" t="s">
        <v>13</v>
      </c>
      <c r="F981" s="5" t="s">
        <v>14</v>
      </c>
      <c r="G981" s="5" t="s">
        <v>15</v>
      </c>
      <c r="H981" s="5">
        <v>13719</v>
      </c>
      <c r="I981" s="5">
        <v>704</v>
      </c>
      <c r="J981" s="6">
        <f t="shared" si="15"/>
        <v>13015</v>
      </c>
    </row>
    <row r="982" spans="1:10">
      <c r="A982" s="5">
        <v>127799</v>
      </c>
      <c r="B982" s="5" t="s">
        <v>16</v>
      </c>
      <c r="C982" s="5" t="s">
        <v>22</v>
      </c>
      <c r="D982" s="5" t="s">
        <v>33</v>
      </c>
      <c r="E982" s="5" t="s">
        <v>19</v>
      </c>
      <c r="F982" s="5" t="s">
        <v>14</v>
      </c>
      <c r="G982" s="5" t="s">
        <v>15</v>
      </c>
      <c r="H982" s="5">
        <v>81435</v>
      </c>
      <c r="I982" s="5">
        <v>897</v>
      </c>
      <c r="J982" s="6">
        <f t="shared" si="15"/>
        <v>80538</v>
      </c>
    </row>
    <row r="983" spans="1:10">
      <c r="A983" s="5">
        <v>50703</v>
      </c>
      <c r="B983" s="5" t="s">
        <v>16</v>
      </c>
      <c r="C983" s="5" t="s">
        <v>35</v>
      </c>
      <c r="D983" s="5" t="s">
        <v>32</v>
      </c>
      <c r="E983" s="5" t="s">
        <v>13</v>
      </c>
      <c r="F983" s="5" t="s">
        <v>28</v>
      </c>
      <c r="G983" s="5" t="s">
        <v>15</v>
      </c>
      <c r="H983" s="5">
        <v>5</v>
      </c>
      <c r="I983" s="5">
        <v>0</v>
      </c>
      <c r="J983" s="6">
        <f t="shared" si="15"/>
        <v>5</v>
      </c>
    </row>
    <row r="984" spans="1:10">
      <c r="A984" s="5">
        <v>68215</v>
      </c>
      <c r="B984" s="5" t="s">
        <v>16</v>
      </c>
      <c r="C984" s="5" t="s">
        <v>37</v>
      </c>
      <c r="D984" s="5" t="s">
        <v>33</v>
      </c>
      <c r="E984" s="5" t="s">
        <v>13</v>
      </c>
      <c r="F984" s="5" t="s">
        <v>14</v>
      </c>
      <c r="G984" s="5" t="s">
        <v>24</v>
      </c>
      <c r="H984" s="5">
        <v>21780</v>
      </c>
      <c r="I984" s="5">
        <v>578</v>
      </c>
      <c r="J984" s="6">
        <f t="shared" si="15"/>
        <v>21202</v>
      </c>
    </row>
    <row r="985" spans="1:10">
      <c r="A985" s="5">
        <v>13552</v>
      </c>
      <c r="B985" s="5" t="s">
        <v>16</v>
      </c>
      <c r="C985" s="5" t="s">
        <v>34</v>
      </c>
      <c r="D985" s="5" t="s">
        <v>30</v>
      </c>
      <c r="E985" s="5" t="s">
        <v>13</v>
      </c>
      <c r="F985" s="5" t="s">
        <v>14</v>
      </c>
      <c r="G985" s="5" t="s">
        <v>15</v>
      </c>
      <c r="H985" s="5">
        <v>155773</v>
      </c>
      <c r="I985" s="5">
        <v>0</v>
      </c>
      <c r="J985" s="6">
        <f t="shared" si="15"/>
        <v>155773</v>
      </c>
    </row>
    <row r="986" spans="1:10">
      <c r="A986" s="5">
        <v>8636</v>
      </c>
      <c r="B986" s="5" t="s">
        <v>10</v>
      </c>
      <c r="C986" s="5" t="s">
        <v>37</v>
      </c>
      <c r="D986" s="5" t="s">
        <v>30</v>
      </c>
      <c r="E986" s="5" t="s">
        <v>13</v>
      </c>
      <c r="F986" s="5" t="s">
        <v>28</v>
      </c>
      <c r="G986" s="5" t="s">
        <v>15</v>
      </c>
      <c r="H986" s="5">
        <v>227040</v>
      </c>
      <c r="I986" s="5">
        <v>731</v>
      </c>
      <c r="J986" s="6">
        <f t="shared" si="15"/>
        <v>226309</v>
      </c>
    </row>
    <row r="987" spans="1:10">
      <c r="A987" s="5">
        <v>131274</v>
      </c>
      <c r="B987" s="5" t="s">
        <v>16</v>
      </c>
      <c r="C987" s="5" t="s">
        <v>25</v>
      </c>
      <c r="D987" s="5" t="s">
        <v>30</v>
      </c>
      <c r="E987" s="5" t="s">
        <v>19</v>
      </c>
      <c r="F987" s="5" t="s">
        <v>28</v>
      </c>
      <c r="G987" s="5" t="s">
        <v>24</v>
      </c>
      <c r="H987" s="5">
        <v>22081</v>
      </c>
      <c r="I987" s="5">
        <v>0</v>
      </c>
      <c r="J987" s="6">
        <f t="shared" si="15"/>
        <v>22081</v>
      </c>
    </row>
    <row r="988" spans="1:10">
      <c r="A988" s="5">
        <v>65269</v>
      </c>
      <c r="B988" s="5" t="s">
        <v>10</v>
      </c>
      <c r="C988" s="5" t="s">
        <v>27</v>
      </c>
      <c r="D988" s="5" t="s">
        <v>29</v>
      </c>
      <c r="E988" s="5" t="s">
        <v>13</v>
      </c>
      <c r="F988" s="5" t="s">
        <v>28</v>
      </c>
      <c r="G988" s="5" t="s">
        <v>24</v>
      </c>
      <c r="H988" s="5">
        <v>114363</v>
      </c>
      <c r="I988" s="5">
        <v>5524</v>
      </c>
      <c r="J988" s="6">
        <f t="shared" si="15"/>
        <v>108839</v>
      </c>
    </row>
    <row r="989" spans="1:10">
      <c r="A989" s="5">
        <v>120004</v>
      </c>
      <c r="B989" s="5" t="s">
        <v>16</v>
      </c>
      <c r="C989" s="5" t="s">
        <v>22</v>
      </c>
      <c r="D989" s="5" t="s">
        <v>12</v>
      </c>
      <c r="E989" s="5" t="s">
        <v>13</v>
      </c>
      <c r="F989" s="5" t="s">
        <v>14</v>
      </c>
      <c r="G989" s="5" t="s">
        <v>15</v>
      </c>
      <c r="H989" s="5">
        <v>48062</v>
      </c>
      <c r="I989" s="5">
        <v>1027</v>
      </c>
      <c r="J989" s="6">
        <f t="shared" si="15"/>
        <v>47035</v>
      </c>
    </row>
    <row r="990" spans="1:10">
      <c r="A990" s="5">
        <v>147138</v>
      </c>
      <c r="B990" s="5" t="s">
        <v>16</v>
      </c>
      <c r="C990" s="5" t="s">
        <v>22</v>
      </c>
      <c r="D990" s="5" t="s">
        <v>33</v>
      </c>
      <c r="E990" s="5" t="s">
        <v>19</v>
      </c>
      <c r="F990" s="5" t="s">
        <v>14</v>
      </c>
      <c r="G990" s="5" t="s">
        <v>24</v>
      </c>
      <c r="H990" s="5">
        <v>21838</v>
      </c>
      <c r="I990" s="5">
        <v>0</v>
      </c>
      <c r="J990" s="6">
        <f t="shared" si="15"/>
        <v>21838</v>
      </c>
    </row>
    <row r="991" spans="1:10">
      <c r="A991" s="5">
        <v>139546</v>
      </c>
      <c r="B991" s="5" t="s">
        <v>16</v>
      </c>
      <c r="C991" s="5" t="s">
        <v>25</v>
      </c>
      <c r="D991" s="5" t="s">
        <v>30</v>
      </c>
      <c r="E991" s="5" t="s">
        <v>19</v>
      </c>
      <c r="F991" s="5" t="s">
        <v>28</v>
      </c>
      <c r="G991" s="5" t="s">
        <v>15</v>
      </c>
      <c r="H991" s="5">
        <v>60370</v>
      </c>
      <c r="I991" s="5">
        <v>920</v>
      </c>
      <c r="J991" s="6">
        <f t="shared" si="15"/>
        <v>59450</v>
      </c>
    </row>
    <row r="992" spans="1:10">
      <c r="A992" s="5">
        <v>122451</v>
      </c>
      <c r="B992" s="5" t="s">
        <v>16</v>
      </c>
      <c r="C992" s="5" t="s">
        <v>25</v>
      </c>
      <c r="D992" s="5" t="s">
        <v>21</v>
      </c>
      <c r="E992" s="5" t="s">
        <v>13</v>
      </c>
      <c r="F992" s="5" t="s">
        <v>28</v>
      </c>
      <c r="G992" s="5" t="s">
        <v>24</v>
      </c>
      <c r="H992" s="5">
        <v>38440</v>
      </c>
      <c r="I992" s="5">
        <v>2328</v>
      </c>
      <c r="J992" s="6">
        <f t="shared" si="15"/>
        <v>36112</v>
      </c>
    </row>
    <row r="993" spans="1:10">
      <c r="A993" s="5">
        <v>237604</v>
      </c>
      <c r="B993" s="5" t="s">
        <v>10</v>
      </c>
      <c r="C993" s="5" t="s">
        <v>25</v>
      </c>
      <c r="D993" s="5" t="s">
        <v>18</v>
      </c>
      <c r="E993" s="5" t="s">
        <v>19</v>
      </c>
      <c r="F993" s="5" t="s">
        <v>14</v>
      </c>
      <c r="G993" s="5" t="s">
        <v>24</v>
      </c>
      <c r="H993" s="5">
        <v>25872</v>
      </c>
      <c r="I993" s="5">
        <v>382</v>
      </c>
      <c r="J993" s="6">
        <f t="shared" si="15"/>
        <v>25490</v>
      </c>
    </row>
    <row r="994" spans="1:10">
      <c r="A994" s="5">
        <v>181935</v>
      </c>
      <c r="B994" s="5" t="s">
        <v>10</v>
      </c>
      <c r="C994" s="5" t="s">
        <v>38</v>
      </c>
      <c r="D994" s="5" t="s">
        <v>29</v>
      </c>
      <c r="E994" s="5" t="s">
        <v>13</v>
      </c>
      <c r="F994" s="5" t="s">
        <v>14</v>
      </c>
      <c r="G994" s="5" t="s">
        <v>24</v>
      </c>
      <c r="H994" s="5">
        <v>81954</v>
      </c>
      <c r="I994" s="5">
        <v>1890</v>
      </c>
      <c r="J994" s="6">
        <f t="shared" si="15"/>
        <v>80064</v>
      </c>
    </row>
    <row r="995" spans="1:10">
      <c r="A995" s="5">
        <v>198332</v>
      </c>
      <c r="B995" s="5" t="s">
        <v>10</v>
      </c>
      <c r="C995" s="5" t="s">
        <v>37</v>
      </c>
      <c r="D995" s="5" t="s">
        <v>30</v>
      </c>
      <c r="E995" s="5" t="s">
        <v>13</v>
      </c>
      <c r="F995" s="5" t="s">
        <v>28</v>
      </c>
      <c r="G995" s="5" t="s">
        <v>15</v>
      </c>
      <c r="H995" s="5">
        <v>145954</v>
      </c>
      <c r="I995" s="5">
        <v>2851</v>
      </c>
      <c r="J995" s="6">
        <f t="shared" si="15"/>
        <v>143103</v>
      </c>
    </row>
    <row r="996" spans="1:10">
      <c r="A996" s="5">
        <v>99748</v>
      </c>
      <c r="B996" s="5" t="s">
        <v>16</v>
      </c>
      <c r="C996" s="5" t="s">
        <v>27</v>
      </c>
      <c r="D996" s="5" t="s">
        <v>32</v>
      </c>
      <c r="E996" s="5" t="s">
        <v>13</v>
      </c>
      <c r="F996" s="5" t="s">
        <v>14</v>
      </c>
      <c r="G996" s="5" t="s">
        <v>15</v>
      </c>
      <c r="H996" s="5">
        <v>39366</v>
      </c>
      <c r="I996" s="5">
        <v>0</v>
      </c>
      <c r="J996" s="6">
        <f t="shared" si="15"/>
        <v>39366</v>
      </c>
    </row>
    <row r="997" spans="1:10">
      <c r="A997" s="5">
        <v>99754</v>
      </c>
      <c r="B997" s="5" t="s">
        <v>10</v>
      </c>
      <c r="C997" s="5" t="s">
        <v>34</v>
      </c>
      <c r="D997" s="5" t="s">
        <v>26</v>
      </c>
      <c r="E997" s="5" t="s">
        <v>13</v>
      </c>
      <c r="F997" s="5" t="s">
        <v>14</v>
      </c>
      <c r="G997" s="5" t="s">
        <v>24</v>
      </c>
      <c r="H997" s="5">
        <v>25115</v>
      </c>
      <c r="I997" s="5">
        <v>3060</v>
      </c>
      <c r="J997" s="6">
        <f t="shared" si="15"/>
        <v>22055</v>
      </c>
    </row>
    <row r="998" spans="1:10">
      <c r="A998" s="5">
        <v>109876</v>
      </c>
      <c r="B998" s="5" t="s">
        <v>10</v>
      </c>
      <c r="C998" s="5" t="s">
        <v>11</v>
      </c>
      <c r="D998" s="5" t="s">
        <v>32</v>
      </c>
      <c r="E998" s="5" t="s">
        <v>13</v>
      </c>
      <c r="F998" s="5" t="s">
        <v>14</v>
      </c>
      <c r="G998" s="5" t="s">
        <v>15</v>
      </c>
      <c r="H998" s="5">
        <v>3745</v>
      </c>
      <c r="I998" s="5">
        <v>110</v>
      </c>
      <c r="J998" s="6">
        <f t="shared" si="15"/>
        <v>3635</v>
      </c>
    </row>
    <row r="999" spans="1:10">
      <c r="A999" s="5">
        <v>90820</v>
      </c>
      <c r="B999" s="5" t="s">
        <v>16</v>
      </c>
      <c r="C999" s="5" t="s">
        <v>38</v>
      </c>
      <c r="D999" s="5" t="s">
        <v>33</v>
      </c>
      <c r="E999" s="5" t="s">
        <v>13</v>
      </c>
      <c r="F999" s="5" t="s">
        <v>14</v>
      </c>
      <c r="G999" s="5" t="s">
        <v>15</v>
      </c>
      <c r="H999" s="5">
        <v>4582</v>
      </c>
      <c r="I999" s="5">
        <v>210</v>
      </c>
      <c r="J999" s="6">
        <f t="shared" si="15"/>
        <v>4372</v>
      </c>
    </row>
    <row r="1000" spans="1:10">
      <c r="A1000" s="5">
        <v>108536</v>
      </c>
      <c r="B1000" s="5" t="s">
        <v>10</v>
      </c>
      <c r="C1000" s="5" t="s">
        <v>25</v>
      </c>
      <c r="D1000" s="5" t="s">
        <v>23</v>
      </c>
      <c r="E1000" s="5" t="s">
        <v>19</v>
      </c>
      <c r="F1000" s="5" t="s">
        <v>14</v>
      </c>
      <c r="G1000" s="5" t="s">
        <v>24</v>
      </c>
      <c r="H1000" s="5">
        <v>64752</v>
      </c>
      <c r="I1000" s="5">
        <v>6029</v>
      </c>
      <c r="J1000" s="6">
        <f t="shared" si="15"/>
        <v>58723</v>
      </c>
    </row>
    <row r="1001" spans="1:10">
      <c r="A1001" s="5">
        <v>37585</v>
      </c>
      <c r="B1001" s="5" t="s">
        <v>16</v>
      </c>
      <c r="C1001" s="5" t="s">
        <v>35</v>
      </c>
      <c r="D1001" s="5" t="s">
        <v>18</v>
      </c>
      <c r="E1001" s="5" t="s">
        <v>19</v>
      </c>
      <c r="F1001" s="5" t="s">
        <v>14</v>
      </c>
      <c r="G1001" s="5" t="s">
        <v>24</v>
      </c>
      <c r="H1001" s="5">
        <v>47072</v>
      </c>
      <c r="I1001" s="5">
        <v>892</v>
      </c>
      <c r="J1001" s="6">
        <f t="shared" si="15"/>
        <v>46180</v>
      </c>
    </row>
  </sheetData>
  <pageMargins left="0.7" right="0.7" top="0.75" bottom="0.75" header="0.3" footer="0.3"/>
  <pageSetup paperSize="9" fitToHeight="0"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C964-B32D-4240-976A-0787946B4BC9}">
  <sheetPr codeName="Sheet2"/>
  <dimension ref="A1:T1001"/>
  <sheetViews>
    <sheetView showGridLines="0" topLeftCell="J136" zoomScale="118" zoomScaleNormal="118" workbookViewId="0">
      <selection activeCell="R11" sqref="R11"/>
    </sheetView>
  </sheetViews>
  <sheetFormatPr defaultColWidth="11.5546875" defaultRowHeight="15.95"/>
  <cols>
    <col min="3" max="3" width="11.6640625" customWidth="1"/>
    <col min="4" max="4" width="11.33203125" customWidth="1"/>
    <col min="5" max="5" width="15.33203125" customWidth="1"/>
    <col min="6" max="6" width="18.33203125" customWidth="1"/>
    <col min="8" max="8" width="13.109375" customWidth="1"/>
    <col min="9" max="9" width="13.6640625" customWidth="1"/>
    <col min="10" max="10" width="16.44140625" customWidth="1"/>
    <col min="11" max="11" width="6.44140625" customWidth="1"/>
    <col min="12" max="12" width="16.44140625" customWidth="1"/>
    <col min="13" max="13" width="20.109375" customWidth="1"/>
    <col min="14" max="14" width="10.6640625" customWidth="1"/>
    <col min="16" max="16" width="16.44140625" customWidth="1"/>
    <col min="19" max="19" width="16.109375" bestFit="1" customWidth="1"/>
  </cols>
  <sheetData>
    <row r="1" spans="1:13">
      <c r="A1" s="3" t="s">
        <v>0</v>
      </c>
      <c r="B1" s="3" t="s">
        <v>1</v>
      </c>
      <c r="C1" s="3" t="s">
        <v>2</v>
      </c>
      <c r="D1" s="3" t="s">
        <v>3</v>
      </c>
      <c r="E1" s="3" t="s">
        <v>4</v>
      </c>
      <c r="F1" s="3" t="s">
        <v>5</v>
      </c>
      <c r="G1" s="3" t="s">
        <v>6</v>
      </c>
      <c r="H1" s="3" t="s">
        <v>7</v>
      </c>
      <c r="I1" s="3" t="s">
        <v>8</v>
      </c>
      <c r="J1" s="4" t="s">
        <v>9</v>
      </c>
    </row>
    <row r="2" spans="1:13">
      <c r="A2" s="5">
        <v>27057</v>
      </c>
      <c r="B2" s="5" t="s">
        <v>10</v>
      </c>
      <c r="C2" s="5" t="s">
        <v>11</v>
      </c>
      <c r="D2" s="5" t="s">
        <v>12</v>
      </c>
      <c r="E2" s="5" t="s">
        <v>13</v>
      </c>
      <c r="F2" s="5" t="s">
        <v>14</v>
      </c>
      <c r="G2" s="5" t="s">
        <v>15</v>
      </c>
      <c r="H2" s="5">
        <v>86368</v>
      </c>
      <c r="I2" s="5">
        <v>1060</v>
      </c>
      <c r="J2" s="6">
        <f t="shared" ref="J2:J65" si="0">H2-I2</f>
        <v>85308</v>
      </c>
    </row>
    <row r="3" spans="1:13">
      <c r="A3" s="5">
        <v>138235</v>
      </c>
      <c r="B3" s="5" t="s">
        <v>16</v>
      </c>
      <c r="C3" s="5" t="s">
        <v>17</v>
      </c>
      <c r="D3" s="5" t="s">
        <v>18</v>
      </c>
      <c r="E3" s="5" t="s">
        <v>19</v>
      </c>
      <c r="F3" s="5" t="s">
        <v>14</v>
      </c>
      <c r="G3" s="5" t="s">
        <v>15</v>
      </c>
      <c r="H3" s="5">
        <v>62342</v>
      </c>
      <c r="I3" s="5">
        <v>337</v>
      </c>
      <c r="J3" s="6">
        <f t="shared" si="0"/>
        <v>62005</v>
      </c>
      <c r="L3" s="49" t="s">
        <v>40</v>
      </c>
      <c r="M3" s="45"/>
    </row>
    <row r="4" spans="1:13">
      <c r="A4" s="5">
        <v>57573</v>
      </c>
      <c r="B4" s="5" t="s">
        <v>10</v>
      </c>
      <c r="C4" s="5" t="s">
        <v>20</v>
      </c>
      <c r="D4" s="5" t="s">
        <v>21</v>
      </c>
      <c r="E4" s="5" t="s">
        <v>13</v>
      </c>
      <c r="F4" s="5" t="s">
        <v>14</v>
      </c>
      <c r="G4" s="5" t="s">
        <v>15</v>
      </c>
      <c r="H4" s="5">
        <v>19046</v>
      </c>
      <c r="I4" s="5">
        <v>0</v>
      </c>
      <c r="J4" s="6">
        <f t="shared" si="0"/>
        <v>19046</v>
      </c>
      <c r="L4" s="1" t="s">
        <v>41</v>
      </c>
      <c r="M4" t="s">
        <v>42</v>
      </c>
    </row>
    <row r="5" spans="1:13">
      <c r="A5" s="5">
        <v>156707</v>
      </c>
      <c r="B5" s="5" t="s">
        <v>10</v>
      </c>
      <c r="C5" s="5" t="s">
        <v>22</v>
      </c>
      <c r="D5" s="5" t="s">
        <v>23</v>
      </c>
      <c r="E5" s="5" t="s">
        <v>19</v>
      </c>
      <c r="F5" s="5" t="s">
        <v>14</v>
      </c>
      <c r="G5" s="5" t="s">
        <v>24</v>
      </c>
      <c r="H5" s="5">
        <v>70672</v>
      </c>
      <c r="I5" s="5">
        <v>4732</v>
      </c>
      <c r="J5" s="6">
        <f t="shared" si="0"/>
        <v>65940</v>
      </c>
      <c r="L5" s="2" t="s">
        <v>16</v>
      </c>
      <c r="M5">
        <v>491</v>
      </c>
    </row>
    <row r="6" spans="1:13">
      <c r="A6" s="5">
        <v>177311</v>
      </c>
      <c r="B6" s="5" t="s">
        <v>10</v>
      </c>
      <c r="C6" s="5" t="s">
        <v>25</v>
      </c>
      <c r="D6" s="5" t="s">
        <v>26</v>
      </c>
      <c r="E6" s="5" t="s">
        <v>13</v>
      </c>
      <c r="F6" s="5" t="s">
        <v>14</v>
      </c>
      <c r="G6" s="5" t="s">
        <v>24</v>
      </c>
      <c r="H6" s="5">
        <v>49168</v>
      </c>
      <c r="I6" s="5">
        <v>7787</v>
      </c>
      <c r="J6" s="6">
        <f t="shared" si="0"/>
        <v>41381</v>
      </c>
      <c r="L6" s="2" t="s">
        <v>10</v>
      </c>
      <c r="M6">
        <v>509</v>
      </c>
    </row>
    <row r="7" spans="1:13">
      <c r="A7" s="5">
        <v>166315</v>
      </c>
      <c r="B7" s="5" t="s">
        <v>10</v>
      </c>
      <c r="C7" s="5" t="s">
        <v>22</v>
      </c>
      <c r="D7" s="5" t="s">
        <v>18</v>
      </c>
      <c r="E7" s="5" t="s">
        <v>13</v>
      </c>
      <c r="F7" s="5" t="s">
        <v>14</v>
      </c>
      <c r="G7" s="5" t="s">
        <v>15</v>
      </c>
      <c r="H7" s="5">
        <v>69092</v>
      </c>
      <c r="I7" s="5">
        <v>5472</v>
      </c>
      <c r="J7" s="6">
        <f t="shared" si="0"/>
        <v>63620</v>
      </c>
      <c r="L7" s="2" t="s">
        <v>43</v>
      </c>
      <c r="M7">
        <v>1000</v>
      </c>
    </row>
    <row r="8" spans="1:13">
      <c r="A8" s="5">
        <v>60300</v>
      </c>
      <c r="B8" s="5" t="s">
        <v>10</v>
      </c>
      <c r="C8" s="5" t="s">
        <v>27</v>
      </c>
      <c r="D8" s="5" t="s">
        <v>12</v>
      </c>
      <c r="E8" s="5" t="s">
        <v>13</v>
      </c>
      <c r="F8" s="5" t="s">
        <v>28</v>
      </c>
      <c r="G8" s="5" t="s">
        <v>15</v>
      </c>
      <c r="H8" s="5">
        <v>94769</v>
      </c>
      <c r="I8" s="5">
        <v>838</v>
      </c>
      <c r="J8" s="6">
        <f t="shared" si="0"/>
        <v>93931</v>
      </c>
    </row>
    <row r="9" spans="1:13">
      <c r="A9" s="5">
        <v>251518</v>
      </c>
      <c r="B9" s="5" t="s">
        <v>10</v>
      </c>
      <c r="C9" s="5" t="s">
        <v>17</v>
      </c>
      <c r="D9" s="5" t="s">
        <v>23</v>
      </c>
      <c r="E9" s="5" t="s">
        <v>13</v>
      </c>
      <c r="F9" s="5" t="s">
        <v>14</v>
      </c>
      <c r="G9" s="5" t="s">
        <v>24</v>
      </c>
      <c r="H9" s="5">
        <v>43127</v>
      </c>
      <c r="I9" s="5">
        <v>136</v>
      </c>
      <c r="J9" s="6">
        <f t="shared" si="0"/>
        <v>42991</v>
      </c>
    </row>
    <row r="10" spans="1:13">
      <c r="A10" s="5">
        <v>109650</v>
      </c>
      <c r="B10" s="5" t="s">
        <v>10</v>
      </c>
      <c r="C10" s="5" t="s">
        <v>22</v>
      </c>
      <c r="D10" s="5" t="s">
        <v>23</v>
      </c>
      <c r="E10" s="5" t="s">
        <v>19</v>
      </c>
      <c r="F10" s="5" t="s">
        <v>28</v>
      </c>
      <c r="G10" s="5" t="s">
        <v>15</v>
      </c>
      <c r="H10" s="5">
        <v>120743</v>
      </c>
      <c r="I10" s="5">
        <v>4363</v>
      </c>
      <c r="J10" s="6">
        <f t="shared" si="0"/>
        <v>116380</v>
      </c>
    </row>
    <row r="11" spans="1:13">
      <c r="A11" s="5">
        <v>67127</v>
      </c>
      <c r="B11" s="5" t="s">
        <v>10</v>
      </c>
      <c r="C11" s="5" t="s">
        <v>27</v>
      </c>
      <c r="D11" s="5" t="s">
        <v>29</v>
      </c>
      <c r="E11" s="5" t="s">
        <v>13</v>
      </c>
      <c r="F11" s="5" t="s">
        <v>14</v>
      </c>
      <c r="G11" s="5" t="s">
        <v>15</v>
      </c>
      <c r="H11" s="5">
        <v>105006</v>
      </c>
      <c r="I11" s="5">
        <v>891</v>
      </c>
      <c r="J11" s="6">
        <f t="shared" si="0"/>
        <v>104115</v>
      </c>
    </row>
    <row r="12" spans="1:13">
      <c r="A12" s="5">
        <v>231743</v>
      </c>
      <c r="B12" s="5" t="s">
        <v>16</v>
      </c>
      <c r="C12" s="5" t="s">
        <v>17</v>
      </c>
      <c r="D12" s="5" t="s">
        <v>30</v>
      </c>
      <c r="E12" s="5" t="s">
        <v>13</v>
      </c>
      <c r="F12" s="5" t="s">
        <v>14</v>
      </c>
      <c r="G12" s="5" t="s">
        <v>24</v>
      </c>
      <c r="H12" s="5">
        <v>17427</v>
      </c>
      <c r="I12" s="5">
        <v>2405</v>
      </c>
      <c r="J12" s="6">
        <f t="shared" si="0"/>
        <v>15022</v>
      </c>
    </row>
    <row r="13" spans="1:13">
      <c r="A13" s="5">
        <v>179791</v>
      </c>
      <c r="B13" s="5" t="s">
        <v>10</v>
      </c>
      <c r="C13" s="5" t="s">
        <v>31</v>
      </c>
      <c r="D13" s="5" t="s">
        <v>32</v>
      </c>
      <c r="E13" s="5" t="s">
        <v>19</v>
      </c>
      <c r="F13" s="5" t="s">
        <v>14</v>
      </c>
      <c r="G13" s="5" t="s">
        <v>15</v>
      </c>
      <c r="H13" s="5">
        <v>329</v>
      </c>
      <c r="I13" s="5">
        <v>0</v>
      </c>
      <c r="J13" s="6">
        <f t="shared" si="0"/>
        <v>329</v>
      </c>
    </row>
    <row r="14" spans="1:13">
      <c r="A14" s="5">
        <v>167286</v>
      </c>
      <c r="B14" s="5" t="s">
        <v>10</v>
      </c>
      <c r="C14" s="5" t="s">
        <v>22</v>
      </c>
      <c r="D14" s="5" t="s">
        <v>26</v>
      </c>
      <c r="E14" s="5" t="s">
        <v>13</v>
      </c>
      <c r="F14" s="5" t="s">
        <v>14</v>
      </c>
      <c r="G14" s="5" t="s">
        <v>15</v>
      </c>
      <c r="H14" s="5">
        <v>90156</v>
      </c>
      <c r="I14" s="5">
        <v>159</v>
      </c>
      <c r="J14" s="6">
        <f t="shared" si="0"/>
        <v>89997</v>
      </c>
    </row>
    <row r="15" spans="1:13">
      <c r="A15" s="5">
        <v>242762</v>
      </c>
      <c r="B15" s="5" t="s">
        <v>10</v>
      </c>
      <c r="C15" s="5" t="s">
        <v>17</v>
      </c>
      <c r="D15" s="5" t="s">
        <v>23</v>
      </c>
      <c r="E15" s="5" t="s">
        <v>19</v>
      </c>
      <c r="F15" s="5" t="s">
        <v>14</v>
      </c>
      <c r="G15" s="5" t="s">
        <v>15</v>
      </c>
      <c r="H15" s="5">
        <v>144244</v>
      </c>
      <c r="I15" s="5">
        <v>17669</v>
      </c>
      <c r="J15" s="6">
        <f t="shared" si="0"/>
        <v>126575</v>
      </c>
    </row>
    <row r="16" spans="1:13">
      <c r="A16" s="5">
        <v>59709</v>
      </c>
      <c r="B16" s="5" t="s">
        <v>16</v>
      </c>
      <c r="C16" s="5" t="s">
        <v>27</v>
      </c>
      <c r="D16" s="5" t="s">
        <v>33</v>
      </c>
      <c r="E16" s="5" t="s">
        <v>13</v>
      </c>
      <c r="F16" s="5" t="s">
        <v>14</v>
      </c>
      <c r="G16" s="5" t="s">
        <v>15</v>
      </c>
      <c r="H16" s="5">
        <v>51006</v>
      </c>
      <c r="I16" s="5">
        <v>2868</v>
      </c>
      <c r="J16" s="6">
        <f t="shared" si="0"/>
        <v>48138</v>
      </c>
      <c r="L16" s="46" t="s">
        <v>44</v>
      </c>
      <c r="M16" s="45"/>
    </row>
    <row r="17" spans="1:13">
      <c r="A17" s="5">
        <v>100739</v>
      </c>
      <c r="B17" s="5" t="s">
        <v>16</v>
      </c>
      <c r="C17" s="5" t="s">
        <v>34</v>
      </c>
      <c r="D17" s="5" t="s">
        <v>26</v>
      </c>
      <c r="E17" s="5" t="s">
        <v>13</v>
      </c>
      <c r="F17" s="5" t="s">
        <v>14</v>
      </c>
      <c r="G17" s="5" t="s">
        <v>24</v>
      </c>
      <c r="H17" s="5">
        <v>28047</v>
      </c>
      <c r="I17" s="5">
        <v>2486</v>
      </c>
      <c r="J17" s="6">
        <f t="shared" si="0"/>
        <v>25561</v>
      </c>
      <c r="L17" s="1" t="s">
        <v>45</v>
      </c>
      <c r="M17" t="s">
        <v>42</v>
      </c>
    </row>
    <row r="18" spans="1:13">
      <c r="A18" s="5">
        <v>246052</v>
      </c>
      <c r="B18" s="5" t="s">
        <v>16</v>
      </c>
      <c r="C18" s="5" t="s">
        <v>25</v>
      </c>
      <c r="D18" s="5" t="s">
        <v>21</v>
      </c>
      <c r="E18" s="5" t="s">
        <v>19</v>
      </c>
      <c r="F18" s="5" t="s">
        <v>14</v>
      </c>
      <c r="G18" s="5" t="s">
        <v>15</v>
      </c>
      <c r="H18" s="5">
        <v>58304</v>
      </c>
      <c r="I18" s="5">
        <v>5581</v>
      </c>
      <c r="J18" s="6">
        <f t="shared" si="0"/>
        <v>52723</v>
      </c>
      <c r="L18" s="2" t="s">
        <v>31</v>
      </c>
      <c r="M18">
        <v>25</v>
      </c>
    </row>
    <row r="19" spans="1:13">
      <c r="A19" s="5">
        <v>177001</v>
      </c>
      <c r="B19" s="5" t="s">
        <v>16</v>
      </c>
      <c r="C19" s="5" t="s">
        <v>25</v>
      </c>
      <c r="D19" s="5" t="s">
        <v>30</v>
      </c>
      <c r="E19" s="5" t="s">
        <v>19</v>
      </c>
      <c r="F19" s="5" t="s">
        <v>28</v>
      </c>
      <c r="G19" s="5" t="s">
        <v>15</v>
      </c>
      <c r="H19" s="5">
        <v>25172</v>
      </c>
      <c r="I19" s="5">
        <v>7850</v>
      </c>
      <c r="J19" s="6">
        <f t="shared" si="0"/>
        <v>17322</v>
      </c>
      <c r="L19" s="2" t="s">
        <v>17</v>
      </c>
      <c r="M19">
        <v>99</v>
      </c>
    </row>
    <row r="20" spans="1:13">
      <c r="A20" s="5">
        <v>45835</v>
      </c>
      <c r="B20" s="5" t="s">
        <v>10</v>
      </c>
      <c r="C20" s="5" t="s">
        <v>35</v>
      </c>
      <c r="D20" s="5" t="s">
        <v>36</v>
      </c>
      <c r="E20" s="5" t="s">
        <v>13</v>
      </c>
      <c r="F20" s="5" t="s">
        <v>14</v>
      </c>
      <c r="G20" s="5" t="s">
        <v>15</v>
      </c>
      <c r="H20" s="5">
        <v>51530</v>
      </c>
      <c r="I20" s="5">
        <v>10087</v>
      </c>
      <c r="J20" s="6">
        <f t="shared" si="0"/>
        <v>41443</v>
      </c>
      <c r="L20" s="2" t="s">
        <v>25</v>
      </c>
      <c r="M20">
        <v>107</v>
      </c>
    </row>
    <row r="21" spans="1:13">
      <c r="A21" s="5">
        <v>189155</v>
      </c>
      <c r="B21" s="5" t="s">
        <v>10</v>
      </c>
      <c r="C21" s="5" t="s">
        <v>37</v>
      </c>
      <c r="D21" s="5" t="s">
        <v>32</v>
      </c>
      <c r="E21" s="5" t="s">
        <v>19</v>
      </c>
      <c r="F21" s="5" t="s">
        <v>14</v>
      </c>
      <c r="G21" s="5" t="s">
        <v>15</v>
      </c>
      <c r="H21" s="5">
        <v>201030</v>
      </c>
      <c r="I21" s="5">
        <v>7536</v>
      </c>
      <c r="J21" s="6">
        <f t="shared" si="0"/>
        <v>193494</v>
      </c>
      <c r="L21" s="2" t="s">
        <v>22</v>
      </c>
      <c r="M21">
        <v>99</v>
      </c>
    </row>
    <row r="22" spans="1:13">
      <c r="A22" s="5">
        <v>7156</v>
      </c>
      <c r="B22" s="5" t="s">
        <v>10</v>
      </c>
      <c r="C22" s="5" t="s">
        <v>38</v>
      </c>
      <c r="D22" s="5" t="s">
        <v>30</v>
      </c>
      <c r="E22" s="5" t="s">
        <v>13</v>
      </c>
      <c r="F22" s="5" t="s">
        <v>14</v>
      </c>
      <c r="G22" s="5" t="s">
        <v>15</v>
      </c>
      <c r="H22" s="5">
        <v>106667</v>
      </c>
      <c r="I22" s="5">
        <v>1418</v>
      </c>
      <c r="J22" s="6">
        <f t="shared" si="0"/>
        <v>105249</v>
      </c>
      <c r="L22" s="2" t="s">
        <v>27</v>
      </c>
      <c r="M22">
        <v>85</v>
      </c>
    </row>
    <row r="23" spans="1:13">
      <c r="A23" s="5">
        <v>238600</v>
      </c>
      <c r="B23" s="5" t="s">
        <v>10</v>
      </c>
      <c r="C23" s="5" t="s">
        <v>17</v>
      </c>
      <c r="D23" s="5" t="s">
        <v>23</v>
      </c>
      <c r="E23" s="5" t="s">
        <v>19</v>
      </c>
      <c r="F23" s="5" t="s">
        <v>14</v>
      </c>
      <c r="G23" s="5" t="s">
        <v>15</v>
      </c>
      <c r="H23" s="5">
        <v>106932</v>
      </c>
      <c r="I23" s="5">
        <v>5285</v>
      </c>
      <c r="J23" s="6">
        <f t="shared" si="0"/>
        <v>101647</v>
      </c>
      <c r="L23" s="2" t="s">
        <v>35</v>
      </c>
      <c r="M23">
        <v>108</v>
      </c>
    </row>
    <row r="24" spans="1:13">
      <c r="A24" s="5">
        <v>28041</v>
      </c>
      <c r="B24" s="5" t="s">
        <v>16</v>
      </c>
      <c r="C24" s="5" t="s">
        <v>11</v>
      </c>
      <c r="D24" s="5" t="s">
        <v>33</v>
      </c>
      <c r="E24" s="5" t="s">
        <v>13</v>
      </c>
      <c r="F24" s="5" t="s">
        <v>28</v>
      </c>
      <c r="G24" s="5" t="s">
        <v>15</v>
      </c>
      <c r="H24" s="5">
        <v>71962</v>
      </c>
      <c r="I24" s="5">
        <v>344</v>
      </c>
      <c r="J24" s="6">
        <f t="shared" si="0"/>
        <v>71618</v>
      </c>
      <c r="L24" s="2" t="s">
        <v>11</v>
      </c>
      <c r="M24">
        <v>108</v>
      </c>
    </row>
    <row r="25" spans="1:13">
      <c r="A25" s="5">
        <v>203234</v>
      </c>
      <c r="B25" s="5" t="s">
        <v>10</v>
      </c>
      <c r="C25" s="5" t="s">
        <v>39</v>
      </c>
      <c r="D25" s="5" t="s">
        <v>32</v>
      </c>
      <c r="E25" s="5" t="s">
        <v>13</v>
      </c>
      <c r="F25" s="5" t="s">
        <v>14</v>
      </c>
      <c r="G25" s="5" t="s">
        <v>15</v>
      </c>
      <c r="H25" s="5">
        <v>26386</v>
      </c>
      <c r="I25" s="5">
        <v>6624</v>
      </c>
      <c r="J25" s="6">
        <f t="shared" si="0"/>
        <v>19762</v>
      </c>
      <c r="L25" s="2" t="s">
        <v>34</v>
      </c>
      <c r="M25">
        <v>110</v>
      </c>
    </row>
    <row r="26" spans="1:13">
      <c r="A26" s="5">
        <v>122913</v>
      </c>
      <c r="B26" s="5" t="s">
        <v>16</v>
      </c>
      <c r="C26" s="5" t="s">
        <v>25</v>
      </c>
      <c r="D26" s="5" t="s">
        <v>21</v>
      </c>
      <c r="E26" s="5" t="s">
        <v>19</v>
      </c>
      <c r="F26" s="5" t="s">
        <v>28</v>
      </c>
      <c r="G26" s="5" t="s">
        <v>24</v>
      </c>
      <c r="H26" s="5">
        <v>7089</v>
      </c>
      <c r="I26" s="5">
        <v>0</v>
      </c>
      <c r="J26" s="6">
        <f t="shared" si="0"/>
        <v>7089</v>
      </c>
      <c r="L26" s="2" t="s">
        <v>37</v>
      </c>
      <c r="M26">
        <v>83</v>
      </c>
    </row>
    <row r="27" spans="1:13">
      <c r="A27" s="5">
        <v>163859</v>
      </c>
      <c r="B27" s="5" t="s">
        <v>10</v>
      </c>
      <c r="C27" s="5" t="s">
        <v>22</v>
      </c>
      <c r="D27" s="5" t="s">
        <v>26</v>
      </c>
      <c r="E27" s="5" t="s">
        <v>13</v>
      </c>
      <c r="F27" s="5" t="s">
        <v>14</v>
      </c>
      <c r="G27" s="5" t="s">
        <v>24</v>
      </c>
      <c r="H27" s="5">
        <v>53285</v>
      </c>
      <c r="I27" s="5">
        <v>5265</v>
      </c>
      <c r="J27" s="6">
        <f t="shared" si="0"/>
        <v>48020</v>
      </c>
      <c r="L27" s="2" t="s">
        <v>38</v>
      </c>
      <c r="M27">
        <v>75</v>
      </c>
    </row>
    <row r="28" spans="1:13">
      <c r="A28" s="5">
        <v>86621</v>
      </c>
      <c r="B28" s="5" t="s">
        <v>10</v>
      </c>
      <c r="C28" s="5" t="s">
        <v>39</v>
      </c>
      <c r="D28" s="5" t="s">
        <v>23</v>
      </c>
      <c r="E28" s="5" t="s">
        <v>19</v>
      </c>
      <c r="F28" s="5" t="s">
        <v>14</v>
      </c>
      <c r="G28" s="5" t="s">
        <v>24</v>
      </c>
      <c r="H28" s="5">
        <v>45319</v>
      </c>
      <c r="I28" s="5">
        <v>4715</v>
      </c>
      <c r="J28" s="6">
        <f t="shared" si="0"/>
        <v>40604</v>
      </c>
      <c r="L28" s="2" t="s">
        <v>39</v>
      </c>
      <c r="M28">
        <v>38</v>
      </c>
    </row>
    <row r="29" spans="1:13">
      <c r="A29" s="5">
        <v>176823</v>
      </c>
      <c r="B29" s="5" t="s">
        <v>16</v>
      </c>
      <c r="C29" s="5" t="s">
        <v>25</v>
      </c>
      <c r="D29" s="5" t="s">
        <v>30</v>
      </c>
      <c r="E29" s="5" t="s">
        <v>13</v>
      </c>
      <c r="F29" s="5" t="s">
        <v>14</v>
      </c>
      <c r="G29" s="5" t="s">
        <v>15</v>
      </c>
      <c r="H29" s="5">
        <v>34603</v>
      </c>
      <c r="I29" s="5">
        <v>3567</v>
      </c>
      <c r="J29" s="6">
        <f t="shared" si="0"/>
        <v>31036</v>
      </c>
      <c r="L29" s="2" t="s">
        <v>20</v>
      </c>
      <c r="M29">
        <v>63</v>
      </c>
    </row>
    <row r="30" spans="1:13">
      <c r="A30" s="5">
        <v>27050</v>
      </c>
      <c r="B30" s="5" t="s">
        <v>16</v>
      </c>
      <c r="C30" s="5" t="s">
        <v>35</v>
      </c>
      <c r="D30" s="5" t="s">
        <v>33</v>
      </c>
      <c r="E30" s="5" t="s">
        <v>13</v>
      </c>
      <c r="F30" s="5" t="s">
        <v>14</v>
      </c>
      <c r="G30" s="5" t="s">
        <v>15</v>
      </c>
      <c r="H30" s="5">
        <v>18824</v>
      </c>
      <c r="I30" s="5">
        <v>371</v>
      </c>
      <c r="J30" s="6">
        <f t="shared" si="0"/>
        <v>18453</v>
      </c>
      <c r="L30" s="2" t="s">
        <v>43</v>
      </c>
      <c r="M30">
        <v>1000</v>
      </c>
    </row>
    <row r="31" spans="1:13">
      <c r="A31" s="5">
        <v>94969</v>
      </c>
      <c r="B31" s="5" t="s">
        <v>10</v>
      </c>
      <c r="C31" s="5" t="s">
        <v>39</v>
      </c>
      <c r="D31" s="5" t="s">
        <v>32</v>
      </c>
      <c r="E31" s="5" t="s">
        <v>19</v>
      </c>
      <c r="F31" s="5" t="s">
        <v>14</v>
      </c>
      <c r="G31" s="5" t="s">
        <v>24</v>
      </c>
      <c r="H31" s="5">
        <v>25568</v>
      </c>
      <c r="I31" s="5">
        <v>0</v>
      </c>
      <c r="J31" s="6">
        <f t="shared" si="0"/>
        <v>25568</v>
      </c>
    </row>
    <row r="32" spans="1:13">
      <c r="A32" s="5">
        <v>26499</v>
      </c>
      <c r="B32" s="5" t="s">
        <v>16</v>
      </c>
      <c r="C32" s="5" t="s">
        <v>34</v>
      </c>
      <c r="D32" s="5" t="s">
        <v>12</v>
      </c>
      <c r="E32" s="5" t="s">
        <v>19</v>
      </c>
      <c r="F32" s="5" t="s">
        <v>14</v>
      </c>
      <c r="G32" s="5" t="s">
        <v>15</v>
      </c>
      <c r="H32" s="5">
        <v>80751</v>
      </c>
      <c r="I32" s="5">
        <v>160</v>
      </c>
      <c r="J32" s="6">
        <f t="shared" si="0"/>
        <v>80591</v>
      </c>
    </row>
    <row r="33" spans="1:13">
      <c r="A33" s="5">
        <v>118096</v>
      </c>
      <c r="B33" s="5" t="s">
        <v>10</v>
      </c>
      <c r="C33" s="5" t="s">
        <v>31</v>
      </c>
      <c r="D33" s="5" t="s">
        <v>36</v>
      </c>
      <c r="E33" s="5" t="s">
        <v>19</v>
      </c>
      <c r="F33" s="5" t="s">
        <v>14</v>
      </c>
      <c r="G33" s="5" t="s">
        <v>24</v>
      </c>
      <c r="H33" s="5">
        <v>32117</v>
      </c>
      <c r="I33" s="5">
        <v>1063</v>
      </c>
      <c r="J33" s="6">
        <f t="shared" si="0"/>
        <v>31054</v>
      </c>
      <c r="L33" s="48" t="s">
        <v>46</v>
      </c>
      <c r="M33" s="45"/>
    </row>
    <row r="34" spans="1:13">
      <c r="A34" s="5">
        <v>179586</v>
      </c>
      <c r="B34" s="5" t="s">
        <v>16</v>
      </c>
      <c r="C34" s="5" t="s">
        <v>17</v>
      </c>
      <c r="D34" s="5" t="s">
        <v>36</v>
      </c>
      <c r="E34" s="5" t="s">
        <v>19</v>
      </c>
      <c r="F34" s="5" t="s">
        <v>14</v>
      </c>
      <c r="G34" s="5" t="s">
        <v>24</v>
      </c>
      <c r="H34" s="5">
        <v>42233</v>
      </c>
      <c r="I34" s="5">
        <v>1607</v>
      </c>
      <c r="J34" s="6">
        <f t="shared" si="0"/>
        <v>40626</v>
      </c>
      <c r="L34" s="1" t="s">
        <v>47</v>
      </c>
      <c r="M34" t="s">
        <v>42</v>
      </c>
    </row>
    <row r="35" spans="1:13">
      <c r="A35" s="5">
        <v>139323</v>
      </c>
      <c r="B35" s="5" t="s">
        <v>10</v>
      </c>
      <c r="C35" s="5" t="s">
        <v>25</v>
      </c>
      <c r="D35" s="5" t="s">
        <v>32</v>
      </c>
      <c r="E35" s="5" t="s">
        <v>19</v>
      </c>
      <c r="F35" s="5" t="s">
        <v>14</v>
      </c>
      <c r="G35" s="5" t="s">
        <v>24</v>
      </c>
      <c r="H35" s="5">
        <v>25564</v>
      </c>
      <c r="I35" s="5">
        <v>0</v>
      </c>
      <c r="J35" s="6">
        <f t="shared" si="0"/>
        <v>25564</v>
      </c>
      <c r="L35" s="2" t="s">
        <v>33</v>
      </c>
      <c r="M35">
        <v>124</v>
      </c>
    </row>
    <row r="36" spans="1:13">
      <c r="A36" s="5">
        <v>125391</v>
      </c>
      <c r="B36" s="5" t="s">
        <v>10</v>
      </c>
      <c r="C36" s="5" t="s">
        <v>31</v>
      </c>
      <c r="D36" s="5" t="s">
        <v>18</v>
      </c>
      <c r="E36" s="5" t="s">
        <v>19</v>
      </c>
      <c r="F36" s="5" t="s">
        <v>14</v>
      </c>
      <c r="G36" s="5" t="s">
        <v>15</v>
      </c>
      <c r="H36" s="5">
        <v>25716</v>
      </c>
      <c r="I36" s="5">
        <v>2608</v>
      </c>
      <c r="J36" s="6">
        <f t="shared" si="0"/>
        <v>23108</v>
      </c>
      <c r="L36" s="2" t="s">
        <v>36</v>
      </c>
      <c r="M36">
        <v>81</v>
      </c>
    </row>
    <row r="37" spans="1:13">
      <c r="A37" s="5">
        <v>196524</v>
      </c>
      <c r="B37" s="5" t="s">
        <v>10</v>
      </c>
      <c r="C37" s="5" t="s">
        <v>11</v>
      </c>
      <c r="D37" s="5" t="s">
        <v>12</v>
      </c>
      <c r="E37" s="5" t="s">
        <v>13</v>
      </c>
      <c r="F37" s="5" t="s">
        <v>14</v>
      </c>
      <c r="G37" s="5" t="s">
        <v>15</v>
      </c>
      <c r="H37" s="5">
        <v>50038</v>
      </c>
      <c r="I37" s="5">
        <v>282</v>
      </c>
      <c r="J37" s="6">
        <f t="shared" si="0"/>
        <v>49756</v>
      </c>
      <c r="L37" s="2" t="s">
        <v>21</v>
      </c>
      <c r="M37">
        <v>60</v>
      </c>
    </row>
    <row r="38" spans="1:13">
      <c r="A38" s="5">
        <v>240294</v>
      </c>
      <c r="B38" s="5" t="s">
        <v>10</v>
      </c>
      <c r="C38" s="5" t="s">
        <v>25</v>
      </c>
      <c r="D38" s="5" t="s">
        <v>36</v>
      </c>
      <c r="E38" s="5" t="s">
        <v>19</v>
      </c>
      <c r="F38" s="5" t="s">
        <v>28</v>
      </c>
      <c r="G38" s="5" t="s">
        <v>24</v>
      </c>
      <c r="H38" s="5">
        <v>19124</v>
      </c>
      <c r="I38" s="5">
        <v>0</v>
      </c>
      <c r="J38" s="6">
        <f t="shared" si="0"/>
        <v>19124</v>
      </c>
      <c r="L38" s="2" t="s">
        <v>26</v>
      </c>
      <c r="M38">
        <v>68</v>
      </c>
    </row>
    <row r="39" spans="1:13">
      <c r="A39" s="5">
        <v>189610</v>
      </c>
      <c r="B39" s="5" t="s">
        <v>10</v>
      </c>
      <c r="C39" s="5" t="s">
        <v>37</v>
      </c>
      <c r="D39" s="5" t="s">
        <v>30</v>
      </c>
      <c r="E39" s="5" t="s">
        <v>13</v>
      </c>
      <c r="F39" s="5" t="s">
        <v>14</v>
      </c>
      <c r="G39" s="5" t="s">
        <v>15</v>
      </c>
      <c r="H39" s="5">
        <v>665612</v>
      </c>
      <c r="I39" s="5">
        <v>1952</v>
      </c>
      <c r="J39" s="6">
        <f t="shared" si="0"/>
        <v>663660</v>
      </c>
      <c r="L39" s="2" t="s">
        <v>29</v>
      </c>
      <c r="M39">
        <v>51</v>
      </c>
    </row>
    <row r="40" spans="1:13">
      <c r="A40" s="5">
        <v>256331</v>
      </c>
      <c r="B40" s="5" t="s">
        <v>16</v>
      </c>
      <c r="C40" s="5" t="s">
        <v>17</v>
      </c>
      <c r="D40" s="5" t="s">
        <v>18</v>
      </c>
      <c r="E40" s="5" t="s">
        <v>19</v>
      </c>
      <c r="F40" s="5" t="s">
        <v>14</v>
      </c>
      <c r="G40" s="5" t="s">
        <v>24</v>
      </c>
      <c r="H40" s="5">
        <v>17386</v>
      </c>
      <c r="I40" s="5">
        <v>716</v>
      </c>
      <c r="J40" s="6">
        <f t="shared" si="0"/>
        <v>16670</v>
      </c>
      <c r="L40" s="2" t="s">
        <v>12</v>
      </c>
      <c r="M40">
        <v>110</v>
      </c>
    </row>
    <row r="41" spans="1:13">
      <c r="A41" s="5">
        <v>64176</v>
      </c>
      <c r="B41" s="5" t="s">
        <v>10</v>
      </c>
      <c r="C41" s="5" t="s">
        <v>27</v>
      </c>
      <c r="D41" s="5" t="s">
        <v>30</v>
      </c>
      <c r="E41" s="5" t="s">
        <v>13</v>
      </c>
      <c r="F41" s="5" t="s">
        <v>14</v>
      </c>
      <c r="G41" s="5" t="s">
        <v>15</v>
      </c>
      <c r="H41" s="5">
        <v>84178</v>
      </c>
      <c r="I41" s="5">
        <v>760</v>
      </c>
      <c r="J41" s="6">
        <f t="shared" si="0"/>
        <v>83418</v>
      </c>
      <c r="L41" s="2" t="s">
        <v>32</v>
      </c>
      <c r="M41">
        <v>193</v>
      </c>
    </row>
    <row r="42" spans="1:13">
      <c r="A42" s="5">
        <v>92976</v>
      </c>
      <c r="B42" s="5" t="s">
        <v>10</v>
      </c>
      <c r="C42" s="5" t="s">
        <v>37</v>
      </c>
      <c r="D42" s="5" t="s">
        <v>32</v>
      </c>
      <c r="E42" s="5" t="s">
        <v>19</v>
      </c>
      <c r="F42" s="5" t="s">
        <v>14</v>
      </c>
      <c r="G42" s="5" t="s">
        <v>24</v>
      </c>
      <c r="H42" s="5">
        <v>49236</v>
      </c>
      <c r="I42" s="5">
        <v>162</v>
      </c>
      <c r="J42" s="6">
        <f t="shared" si="0"/>
        <v>49074</v>
      </c>
      <c r="L42" s="2" t="s">
        <v>30</v>
      </c>
      <c r="M42">
        <v>162</v>
      </c>
    </row>
    <row r="43" spans="1:13">
      <c r="A43" s="5">
        <v>252207</v>
      </c>
      <c r="B43" s="5" t="s">
        <v>10</v>
      </c>
      <c r="C43" s="5" t="s">
        <v>35</v>
      </c>
      <c r="D43" s="5" t="s">
        <v>32</v>
      </c>
      <c r="E43" s="5" t="s">
        <v>13</v>
      </c>
      <c r="F43" s="5" t="s">
        <v>28</v>
      </c>
      <c r="G43" s="5" t="s">
        <v>24</v>
      </c>
      <c r="H43" s="5">
        <v>9527</v>
      </c>
      <c r="I43" s="5">
        <v>0</v>
      </c>
      <c r="J43" s="6">
        <f t="shared" si="0"/>
        <v>9527</v>
      </c>
      <c r="L43" s="2" t="s">
        <v>18</v>
      </c>
      <c r="M43">
        <v>57</v>
      </c>
    </row>
    <row r="44" spans="1:13">
      <c r="A44" s="5">
        <v>99780</v>
      </c>
      <c r="B44" s="5" t="s">
        <v>10</v>
      </c>
      <c r="C44" s="5" t="s">
        <v>34</v>
      </c>
      <c r="D44" s="5" t="s">
        <v>32</v>
      </c>
      <c r="E44" s="5" t="s">
        <v>19</v>
      </c>
      <c r="F44" s="5" t="s">
        <v>14</v>
      </c>
      <c r="G44" s="5" t="s">
        <v>24</v>
      </c>
      <c r="H44" s="5">
        <v>66500</v>
      </c>
      <c r="I44" s="5">
        <v>0</v>
      </c>
      <c r="J44" s="6">
        <f t="shared" si="0"/>
        <v>66500</v>
      </c>
      <c r="L44" s="2" t="s">
        <v>23</v>
      </c>
      <c r="M44">
        <v>94</v>
      </c>
    </row>
    <row r="45" spans="1:13">
      <c r="A45" s="5">
        <v>98602</v>
      </c>
      <c r="B45" s="5" t="s">
        <v>10</v>
      </c>
      <c r="C45" s="5" t="s">
        <v>34</v>
      </c>
      <c r="D45" s="5" t="s">
        <v>23</v>
      </c>
      <c r="E45" s="5" t="s">
        <v>13</v>
      </c>
      <c r="F45" s="5" t="s">
        <v>28</v>
      </c>
      <c r="G45" s="5" t="s">
        <v>24</v>
      </c>
      <c r="H45" s="5">
        <v>61386</v>
      </c>
      <c r="I45" s="5">
        <v>1007</v>
      </c>
      <c r="J45" s="6">
        <f t="shared" si="0"/>
        <v>60379</v>
      </c>
      <c r="L45" s="2" t="s">
        <v>43</v>
      </c>
      <c r="M45">
        <v>1000</v>
      </c>
    </row>
    <row r="46" spans="1:13">
      <c r="A46" s="5">
        <v>219950</v>
      </c>
      <c r="B46" s="5" t="s">
        <v>10</v>
      </c>
      <c r="C46" s="5" t="s">
        <v>27</v>
      </c>
      <c r="D46" s="5" t="s">
        <v>12</v>
      </c>
      <c r="E46" s="5" t="s">
        <v>13</v>
      </c>
      <c r="F46" s="5" t="s">
        <v>14</v>
      </c>
      <c r="G46" s="5" t="s">
        <v>15</v>
      </c>
      <c r="H46" s="5">
        <v>83925</v>
      </c>
      <c r="I46" s="5">
        <v>1109</v>
      </c>
      <c r="J46" s="6">
        <f t="shared" si="0"/>
        <v>82816</v>
      </c>
    </row>
    <row r="47" spans="1:13">
      <c r="A47" s="5">
        <v>11162</v>
      </c>
      <c r="B47" s="5" t="s">
        <v>16</v>
      </c>
      <c r="C47" s="5" t="s">
        <v>37</v>
      </c>
      <c r="D47" s="5" t="s">
        <v>33</v>
      </c>
      <c r="E47" s="5" t="s">
        <v>13</v>
      </c>
      <c r="F47" s="5" t="s">
        <v>14</v>
      </c>
      <c r="G47" s="5" t="s">
        <v>15</v>
      </c>
      <c r="H47" s="5">
        <v>60311</v>
      </c>
      <c r="I47" s="5">
        <v>321</v>
      </c>
      <c r="J47" s="6">
        <f t="shared" si="0"/>
        <v>59990</v>
      </c>
    </row>
    <row r="48" spans="1:13">
      <c r="A48" s="5">
        <v>41926</v>
      </c>
      <c r="B48" s="5" t="s">
        <v>10</v>
      </c>
      <c r="C48" s="5" t="s">
        <v>35</v>
      </c>
      <c r="D48" s="5" t="s">
        <v>23</v>
      </c>
      <c r="E48" s="5" t="s">
        <v>13</v>
      </c>
      <c r="F48" s="5" t="s">
        <v>14</v>
      </c>
      <c r="G48" s="5" t="s">
        <v>15</v>
      </c>
      <c r="H48" s="5">
        <v>37523</v>
      </c>
      <c r="I48" s="5">
        <v>0</v>
      </c>
      <c r="J48" s="6">
        <f t="shared" si="0"/>
        <v>37523</v>
      </c>
      <c r="L48" s="48" t="s">
        <v>48</v>
      </c>
      <c r="M48" s="45"/>
    </row>
    <row r="49" spans="1:13">
      <c r="A49" s="5">
        <v>89197</v>
      </c>
      <c r="B49" s="5" t="s">
        <v>10</v>
      </c>
      <c r="C49" s="5" t="s">
        <v>20</v>
      </c>
      <c r="D49" s="5" t="s">
        <v>32</v>
      </c>
      <c r="E49" s="5" t="s">
        <v>13</v>
      </c>
      <c r="F49" s="5" t="s">
        <v>28</v>
      </c>
      <c r="G49" s="5" t="s">
        <v>15</v>
      </c>
      <c r="H49" s="5">
        <v>59910</v>
      </c>
      <c r="I49" s="5">
        <v>21</v>
      </c>
      <c r="J49" s="6">
        <f t="shared" si="0"/>
        <v>59889</v>
      </c>
      <c r="L49" s="1" t="s">
        <v>49</v>
      </c>
      <c r="M49" t="s">
        <v>42</v>
      </c>
    </row>
    <row r="50" spans="1:13">
      <c r="A50" s="5">
        <v>224846</v>
      </c>
      <c r="B50" s="5" t="s">
        <v>16</v>
      </c>
      <c r="C50" s="5" t="s">
        <v>17</v>
      </c>
      <c r="D50" s="5" t="s">
        <v>30</v>
      </c>
      <c r="E50" s="5" t="s">
        <v>13</v>
      </c>
      <c r="F50" s="5" t="s">
        <v>28</v>
      </c>
      <c r="G50" s="5" t="s">
        <v>24</v>
      </c>
      <c r="H50" s="5">
        <v>66457</v>
      </c>
      <c r="I50" s="5">
        <v>822</v>
      </c>
      <c r="J50" s="6">
        <f t="shared" si="0"/>
        <v>65635</v>
      </c>
      <c r="L50" s="2" t="s">
        <v>13</v>
      </c>
      <c r="M50">
        <v>588</v>
      </c>
    </row>
    <row r="51" spans="1:13">
      <c r="A51" s="5">
        <v>80813</v>
      </c>
      <c r="B51" s="5" t="s">
        <v>10</v>
      </c>
      <c r="C51" s="5" t="s">
        <v>38</v>
      </c>
      <c r="D51" s="5" t="s">
        <v>32</v>
      </c>
      <c r="E51" s="5" t="s">
        <v>13</v>
      </c>
      <c r="F51" s="5" t="s">
        <v>14</v>
      </c>
      <c r="G51" s="5" t="s">
        <v>15</v>
      </c>
      <c r="H51" s="5">
        <v>10439</v>
      </c>
      <c r="I51" s="5">
        <v>0</v>
      </c>
      <c r="J51" s="6">
        <f t="shared" si="0"/>
        <v>10439</v>
      </c>
      <c r="L51" s="2" t="s">
        <v>19</v>
      </c>
      <c r="M51">
        <v>412</v>
      </c>
    </row>
    <row r="52" spans="1:13">
      <c r="A52" s="5">
        <v>226711</v>
      </c>
      <c r="B52" s="5" t="s">
        <v>16</v>
      </c>
      <c r="C52" s="5" t="s">
        <v>25</v>
      </c>
      <c r="D52" s="5" t="s">
        <v>12</v>
      </c>
      <c r="E52" s="5" t="s">
        <v>13</v>
      </c>
      <c r="F52" s="5" t="s">
        <v>28</v>
      </c>
      <c r="G52" s="5" t="s">
        <v>15</v>
      </c>
      <c r="H52" s="5">
        <v>21969</v>
      </c>
      <c r="I52" s="5">
        <v>8136</v>
      </c>
      <c r="J52" s="6">
        <f t="shared" si="0"/>
        <v>13833</v>
      </c>
      <c r="L52" s="2" t="s">
        <v>43</v>
      </c>
      <c r="M52">
        <v>1000</v>
      </c>
    </row>
    <row r="53" spans="1:13">
      <c r="A53" s="5">
        <v>249509</v>
      </c>
      <c r="B53" s="5" t="s">
        <v>10</v>
      </c>
      <c r="C53" s="5" t="s">
        <v>25</v>
      </c>
      <c r="D53" s="5" t="s">
        <v>30</v>
      </c>
      <c r="E53" s="5" t="s">
        <v>19</v>
      </c>
      <c r="F53" s="5" t="s">
        <v>14</v>
      </c>
      <c r="G53" s="5" t="s">
        <v>15</v>
      </c>
      <c r="H53" s="5">
        <v>54325</v>
      </c>
      <c r="I53" s="5">
        <v>1121</v>
      </c>
      <c r="J53" s="6">
        <f t="shared" si="0"/>
        <v>53204</v>
      </c>
    </row>
    <row r="54" spans="1:13">
      <c r="A54" s="5">
        <v>98339</v>
      </c>
      <c r="B54" s="5" t="s">
        <v>16</v>
      </c>
      <c r="C54" s="5" t="s">
        <v>11</v>
      </c>
      <c r="D54" s="5" t="s">
        <v>12</v>
      </c>
      <c r="E54" s="5" t="s">
        <v>13</v>
      </c>
      <c r="F54" s="5" t="s">
        <v>14</v>
      </c>
      <c r="G54" s="5" t="s">
        <v>15</v>
      </c>
      <c r="H54" s="5">
        <v>98107</v>
      </c>
      <c r="I54" s="5">
        <v>860</v>
      </c>
      <c r="J54" s="6">
        <f t="shared" si="0"/>
        <v>97247</v>
      </c>
    </row>
    <row r="55" spans="1:13">
      <c r="A55" s="5">
        <v>222425</v>
      </c>
      <c r="B55" s="5" t="s">
        <v>10</v>
      </c>
      <c r="C55" s="5" t="s">
        <v>27</v>
      </c>
      <c r="D55" s="5" t="s">
        <v>30</v>
      </c>
      <c r="E55" s="5" t="s">
        <v>13</v>
      </c>
      <c r="F55" s="5" t="s">
        <v>28</v>
      </c>
      <c r="G55" s="5" t="s">
        <v>15</v>
      </c>
      <c r="H55" s="5">
        <v>79237</v>
      </c>
      <c r="I55" s="5">
        <v>785</v>
      </c>
      <c r="J55" s="6">
        <f t="shared" si="0"/>
        <v>78452</v>
      </c>
    </row>
    <row r="56" spans="1:13">
      <c r="A56" s="5">
        <v>107732</v>
      </c>
      <c r="B56" s="5" t="s">
        <v>10</v>
      </c>
      <c r="C56" s="5" t="s">
        <v>22</v>
      </c>
      <c r="D56" s="5" t="s">
        <v>12</v>
      </c>
      <c r="E56" s="5" t="s">
        <v>13</v>
      </c>
      <c r="F56" s="5" t="s">
        <v>28</v>
      </c>
      <c r="G56" s="5" t="s">
        <v>15</v>
      </c>
      <c r="H56" s="5">
        <v>71800</v>
      </c>
      <c r="I56" s="5">
        <v>2664</v>
      </c>
      <c r="J56" s="6">
        <f t="shared" si="0"/>
        <v>69136</v>
      </c>
    </row>
    <row r="57" spans="1:13">
      <c r="A57" s="5">
        <v>69724</v>
      </c>
      <c r="B57" s="5" t="s">
        <v>16</v>
      </c>
      <c r="C57" s="5" t="s">
        <v>35</v>
      </c>
      <c r="D57" s="5" t="s">
        <v>32</v>
      </c>
      <c r="E57" s="5" t="s">
        <v>13</v>
      </c>
      <c r="F57" s="5" t="s">
        <v>14</v>
      </c>
      <c r="G57" s="5" t="s">
        <v>15</v>
      </c>
      <c r="H57" s="5">
        <v>744</v>
      </c>
      <c r="I57" s="5">
        <v>37</v>
      </c>
      <c r="J57" s="6">
        <f t="shared" si="0"/>
        <v>707</v>
      </c>
    </row>
    <row r="58" spans="1:13">
      <c r="A58" s="5">
        <v>135040</v>
      </c>
      <c r="B58" s="5" t="s">
        <v>10</v>
      </c>
      <c r="C58" s="5" t="s">
        <v>11</v>
      </c>
      <c r="D58" s="5" t="s">
        <v>12</v>
      </c>
      <c r="E58" s="5" t="s">
        <v>13</v>
      </c>
      <c r="F58" s="5" t="s">
        <v>14</v>
      </c>
      <c r="G58" s="5" t="s">
        <v>15</v>
      </c>
      <c r="H58" s="5">
        <v>132544</v>
      </c>
      <c r="I58" s="5">
        <v>21465</v>
      </c>
      <c r="J58" s="6">
        <f t="shared" si="0"/>
        <v>111079</v>
      </c>
    </row>
    <row r="59" spans="1:13">
      <c r="A59" s="5">
        <v>225556</v>
      </c>
      <c r="B59" s="5" t="s">
        <v>16</v>
      </c>
      <c r="C59" s="5" t="s">
        <v>25</v>
      </c>
      <c r="D59" s="5" t="s">
        <v>30</v>
      </c>
      <c r="E59" s="5" t="s">
        <v>19</v>
      </c>
      <c r="F59" s="5" t="s">
        <v>14</v>
      </c>
      <c r="G59" s="5" t="s">
        <v>15</v>
      </c>
      <c r="H59" s="5">
        <v>73774</v>
      </c>
      <c r="I59" s="5">
        <v>418</v>
      </c>
      <c r="J59" s="6">
        <f t="shared" si="0"/>
        <v>73356</v>
      </c>
    </row>
    <row r="60" spans="1:13">
      <c r="A60" s="5">
        <v>83231</v>
      </c>
      <c r="B60" s="5" t="s">
        <v>10</v>
      </c>
      <c r="C60" s="5" t="s">
        <v>34</v>
      </c>
      <c r="D60" s="5" t="s">
        <v>36</v>
      </c>
      <c r="E60" s="5" t="s">
        <v>13</v>
      </c>
      <c r="F60" s="5" t="s">
        <v>14</v>
      </c>
      <c r="G60" s="5" t="s">
        <v>15</v>
      </c>
      <c r="H60" s="5">
        <v>66671</v>
      </c>
      <c r="I60" s="5">
        <v>1262</v>
      </c>
      <c r="J60" s="6">
        <f t="shared" si="0"/>
        <v>65409</v>
      </c>
    </row>
    <row r="61" spans="1:13">
      <c r="A61" s="5">
        <v>233525</v>
      </c>
      <c r="B61" s="5" t="s">
        <v>10</v>
      </c>
      <c r="C61" s="5" t="s">
        <v>27</v>
      </c>
      <c r="D61" s="5" t="s">
        <v>32</v>
      </c>
      <c r="E61" s="5" t="s">
        <v>13</v>
      </c>
      <c r="F61" s="5" t="s">
        <v>14</v>
      </c>
      <c r="G61" s="5" t="s">
        <v>24</v>
      </c>
      <c r="H61" s="5">
        <v>207850</v>
      </c>
      <c r="I61" s="5">
        <v>0</v>
      </c>
      <c r="J61" s="6">
        <f t="shared" si="0"/>
        <v>207850</v>
      </c>
    </row>
    <row r="62" spans="1:13">
      <c r="A62" s="5">
        <v>240008</v>
      </c>
      <c r="B62" s="5" t="s">
        <v>16</v>
      </c>
      <c r="C62" s="5" t="s">
        <v>27</v>
      </c>
      <c r="D62" s="5" t="s">
        <v>12</v>
      </c>
      <c r="E62" s="5" t="s">
        <v>13</v>
      </c>
      <c r="F62" s="5" t="s">
        <v>28</v>
      </c>
      <c r="G62" s="5" t="s">
        <v>15</v>
      </c>
      <c r="H62" s="5">
        <v>35404</v>
      </c>
      <c r="I62" s="5">
        <v>366</v>
      </c>
      <c r="J62" s="6">
        <f t="shared" si="0"/>
        <v>35038</v>
      </c>
    </row>
    <row r="63" spans="1:13">
      <c r="A63" s="5">
        <v>96904</v>
      </c>
      <c r="B63" s="5" t="s">
        <v>16</v>
      </c>
      <c r="C63" s="5" t="s">
        <v>34</v>
      </c>
      <c r="D63" s="5" t="s">
        <v>33</v>
      </c>
      <c r="E63" s="5" t="s">
        <v>13</v>
      </c>
      <c r="F63" s="5" t="s">
        <v>14</v>
      </c>
      <c r="G63" s="5" t="s">
        <v>15</v>
      </c>
      <c r="H63" s="5">
        <v>77899</v>
      </c>
      <c r="I63" s="5">
        <v>2867</v>
      </c>
      <c r="J63" s="6">
        <f t="shared" si="0"/>
        <v>75032</v>
      </c>
      <c r="L63" s="49" t="s">
        <v>50</v>
      </c>
      <c r="M63" s="45"/>
    </row>
    <row r="64" spans="1:13">
      <c r="A64" s="5">
        <v>170416</v>
      </c>
      <c r="B64" s="5" t="s">
        <v>16</v>
      </c>
      <c r="C64" s="5" t="s">
        <v>35</v>
      </c>
      <c r="D64" s="5" t="s">
        <v>30</v>
      </c>
      <c r="E64" s="5" t="s">
        <v>13</v>
      </c>
      <c r="F64" s="5" t="s">
        <v>28</v>
      </c>
      <c r="G64" s="5" t="s">
        <v>15</v>
      </c>
      <c r="H64" s="5">
        <v>113671</v>
      </c>
      <c r="I64" s="5">
        <v>1610</v>
      </c>
      <c r="J64" s="6">
        <f t="shared" si="0"/>
        <v>112061</v>
      </c>
      <c r="L64" s="1" t="s">
        <v>51</v>
      </c>
      <c r="M64" t="s">
        <v>42</v>
      </c>
    </row>
    <row r="65" spans="1:13">
      <c r="A65" s="5">
        <v>176406</v>
      </c>
      <c r="B65" s="5" t="s">
        <v>10</v>
      </c>
      <c r="C65" s="5" t="s">
        <v>17</v>
      </c>
      <c r="D65" s="5" t="s">
        <v>26</v>
      </c>
      <c r="E65" s="5" t="s">
        <v>19</v>
      </c>
      <c r="F65" s="5" t="s">
        <v>28</v>
      </c>
      <c r="G65" s="5" t="s">
        <v>24</v>
      </c>
      <c r="H65" s="5">
        <v>34495</v>
      </c>
      <c r="I65" s="5">
        <v>141</v>
      </c>
      <c r="J65" s="6">
        <f t="shared" si="0"/>
        <v>34354</v>
      </c>
      <c r="L65" s="2" t="s">
        <v>28</v>
      </c>
      <c r="M65">
        <v>233</v>
      </c>
    </row>
    <row r="66" spans="1:13">
      <c r="A66" s="5">
        <v>228625</v>
      </c>
      <c r="B66" s="5" t="s">
        <v>10</v>
      </c>
      <c r="C66" s="5" t="s">
        <v>22</v>
      </c>
      <c r="D66" s="5" t="s">
        <v>23</v>
      </c>
      <c r="E66" s="5" t="s">
        <v>19</v>
      </c>
      <c r="F66" s="5" t="s">
        <v>14</v>
      </c>
      <c r="G66" s="5" t="s">
        <v>15</v>
      </c>
      <c r="H66" s="5">
        <v>13399</v>
      </c>
      <c r="I66" s="5">
        <v>903</v>
      </c>
      <c r="J66" s="6">
        <f t="shared" ref="J66:J129" si="1">H66-I66</f>
        <v>12496</v>
      </c>
      <c r="L66" s="2" t="s">
        <v>14</v>
      </c>
      <c r="M66">
        <v>767</v>
      </c>
    </row>
    <row r="67" spans="1:13">
      <c r="A67" s="5">
        <v>226060</v>
      </c>
      <c r="B67" s="5" t="s">
        <v>10</v>
      </c>
      <c r="C67" s="5" t="s">
        <v>17</v>
      </c>
      <c r="D67" s="5" t="s">
        <v>21</v>
      </c>
      <c r="E67" s="5" t="s">
        <v>13</v>
      </c>
      <c r="F67" s="5" t="s">
        <v>14</v>
      </c>
      <c r="G67" s="5" t="s">
        <v>15</v>
      </c>
      <c r="H67" s="5">
        <v>38149</v>
      </c>
      <c r="I67" s="5">
        <v>1366</v>
      </c>
      <c r="J67" s="6">
        <f t="shared" si="1"/>
        <v>36783</v>
      </c>
      <c r="L67" s="2" t="s">
        <v>43</v>
      </c>
      <c r="M67">
        <v>1000</v>
      </c>
    </row>
    <row r="68" spans="1:13">
      <c r="A68" s="5">
        <v>165540</v>
      </c>
      <c r="B68" s="5" t="s">
        <v>16</v>
      </c>
      <c r="C68" s="5" t="s">
        <v>35</v>
      </c>
      <c r="D68" s="5" t="s">
        <v>36</v>
      </c>
      <c r="E68" s="5" t="s">
        <v>13</v>
      </c>
      <c r="F68" s="5" t="s">
        <v>14</v>
      </c>
      <c r="G68" s="5" t="s">
        <v>24</v>
      </c>
      <c r="H68" s="5">
        <v>45490</v>
      </c>
      <c r="I68" s="5">
        <v>0</v>
      </c>
      <c r="J68" s="6">
        <f t="shared" si="1"/>
        <v>45490</v>
      </c>
    </row>
    <row r="69" spans="1:13">
      <c r="A69" s="5">
        <v>25300</v>
      </c>
      <c r="B69" s="5" t="s">
        <v>16</v>
      </c>
      <c r="C69" s="5" t="s">
        <v>35</v>
      </c>
      <c r="D69" s="5" t="s">
        <v>36</v>
      </c>
      <c r="E69" s="5" t="s">
        <v>13</v>
      </c>
      <c r="F69" s="5" t="s">
        <v>14</v>
      </c>
      <c r="G69" s="5" t="s">
        <v>24</v>
      </c>
      <c r="H69" s="5">
        <v>39061</v>
      </c>
      <c r="I69" s="5">
        <v>6416</v>
      </c>
      <c r="J69" s="6">
        <f t="shared" si="1"/>
        <v>32645</v>
      </c>
    </row>
    <row r="70" spans="1:13">
      <c r="A70" s="5">
        <v>3282</v>
      </c>
      <c r="B70" s="5" t="s">
        <v>10</v>
      </c>
      <c r="C70" s="5" t="s">
        <v>37</v>
      </c>
      <c r="D70" s="5" t="s">
        <v>23</v>
      </c>
      <c r="E70" s="5" t="s">
        <v>13</v>
      </c>
      <c r="F70" s="5" t="s">
        <v>14</v>
      </c>
      <c r="G70" s="5" t="s">
        <v>15</v>
      </c>
      <c r="H70" s="5">
        <v>65209</v>
      </c>
      <c r="I70" s="5">
        <v>5368</v>
      </c>
      <c r="J70" s="6">
        <f t="shared" si="1"/>
        <v>59841</v>
      </c>
    </row>
    <row r="71" spans="1:13">
      <c r="A71" s="5">
        <v>103799</v>
      </c>
      <c r="B71" s="5" t="s">
        <v>16</v>
      </c>
      <c r="C71" s="5" t="s">
        <v>27</v>
      </c>
      <c r="D71" s="5" t="s">
        <v>33</v>
      </c>
      <c r="E71" s="5" t="s">
        <v>19</v>
      </c>
      <c r="F71" s="5" t="s">
        <v>14</v>
      </c>
      <c r="G71" s="5" t="s">
        <v>24</v>
      </c>
      <c r="H71" s="5">
        <v>115567</v>
      </c>
      <c r="I71" s="5">
        <v>1454</v>
      </c>
      <c r="J71" s="6">
        <f t="shared" si="1"/>
        <v>114113</v>
      </c>
    </row>
    <row r="72" spans="1:13">
      <c r="A72" s="5">
        <v>256186</v>
      </c>
      <c r="B72" s="5" t="s">
        <v>10</v>
      </c>
      <c r="C72" s="5" t="s">
        <v>17</v>
      </c>
      <c r="D72" s="5" t="s">
        <v>29</v>
      </c>
      <c r="E72" s="5" t="s">
        <v>19</v>
      </c>
      <c r="F72" s="5" t="s">
        <v>14</v>
      </c>
      <c r="G72" s="5" t="s">
        <v>24</v>
      </c>
      <c r="H72" s="5">
        <v>38984</v>
      </c>
      <c r="I72" s="5">
        <v>752</v>
      </c>
      <c r="J72" s="6">
        <f t="shared" si="1"/>
        <v>38232</v>
      </c>
    </row>
    <row r="73" spans="1:13">
      <c r="A73" s="5">
        <v>219670</v>
      </c>
      <c r="B73" s="5" t="s">
        <v>10</v>
      </c>
      <c r="C73" s="5" t="s">
        <v>37</v>
      </c>
      <c r="D73" s="5" t="s">
        <v>33</v>
      </c>
      <c r="E73" s="5" t="s">
        <v>19</v>
      </c>
      <c r="F73" s="5" t="s">
        <v>28</v>
      </c>
      <c r="G73" s="5" t="s">
        <v>15</v>
      </c>
      <c r="H73" s="5">
        <v>59711</v>
      </c>
      <c r="I73" s="5">
        <v>0</v>
      </c>
      <c r="J73" s="6">
        <f t="shared" si="1"/>
        <v>59711</v>
      </c>
    </row>
    <row r="74" spans="1:13">
      <c r="A74" s="5">
        <v>164959</v>
      </c>
      <c r="B74" s="5" t="s">
        <v>16</v>
      </c>
      <c r="C74" s="5" t="s">
        <v>25</v>
      </c>
      <c r="D74" s="5" t="s">
        <v>26</v>
      </c>
      <c r="E74" s="5" t="s">
        <v>19</v>
      </c>
      <c r="F74" s="5" t="s">
        <v>14</v>
      </c>
      <c r="G74" s="5" t="s">
        <v>24</v>
      </c>
      <c r="H74" s="5">
        <v>12417</v>
      </c>
      <c r="I74" s="5">
        <v>0</v>
      </c>
      <c r="J74" s="6">
        <f t="shared" si="1"/>
        <v>12417</v>
      </c>
    </row>
    <row r="75" spans="1:13">
      <c r="A75" s="5">
        <v>74035</v>
      </c>
      <c r="B75" s="5" t="s">
        <v>10</v>
      </c>
      <c r="C75" s="5" t="s">
        <v>34</v>
      </c>
      <c r="D75" s="5" t="s">
        <v>32</v>
      </c>
      <c r="E75" s="5" t="s">
        <v>19</v>
      </c>
      <c r="F75" s="5" t="s">
        <v>14</v>
      </c>
      <c r="G75" s="5" t="s">
        <v>15</v>
      </c>
      <c r="H75" s="5">
        <v>26987</v>
      </c>
      <c r="I75" s="5">
        <v>0</v>
      </c>
      <c r="J75" s="6">
        <f t="shared" si="1"/>
        <v>26987</v>
      </c>
    </row>
    <row r="76" spans="1:13">
      <c r="A76" s="5">
        <v>57323</v>
      </c>
      <c r="B76" s="5" t="s">
        <v>10</v>
      </c>
      <c r="C76" s="5" t="s">
        <v>35</v>
      </c>
      <c r="D76" s="5" t="s">
        <v>32</v>
      </c>
      <c r="E76" s="5" t="s">
        <v>19</v>
      </c>
      <c r="F76" s="5" t="s">
        <v>14</v>
      </c>
      <c r="G76" s="5" t="s">
        <v>15</v>
      </c>
      <c r="H76" s="5">
        <v>7401</v>
      </c>
      <c r="I76" s="5">
        <v>164</v>
      </c>
      <c r="J76" s="6">
        <f t="shared" si="1"/>
        <v>7237</v>
      </c>
    </row>
    <row r="77" spans="1:13">
      <c r="A77" s="5">
        <v>205631</v>
      </c>
      <c r="B77" s="5" t="s">
        <v>16</v>
      </c>
      <c r="C77" s="5" t="s">
        <v>20</v>
      </c>
      <c r="D77" s="5" t="s">
        <v>32</v>
      </c>
      <c r="E77" s="5" t="s">
        <v>19</v>
      </c>
      <c r="F77" s="5" t="s">
        <v>28</v>
      </c>
      <c r="G77" s="5" t="s">
        <v>24</v>
      </c>
      <c r="H77" s="5">
        <v>395</v>
      </c>
      <c r="I77" s="5">
        <v>0</v>
      </c>
      <c r="J77" s="6">
        <f t="shared" si="1"/>
        <v>395</v>
      </c>
    </row>
    <row r="78" spans="1:13">
      <c r="A78" s="5">
        <v>83104</v>
      </c>
      <c r="B78" s="5" t="s">
        <v>10</v>
      </c>
      <c r="C78" s="5" t="s">
        <v>37</v>
      </c>
      <c r="D78" s="5" t="s">
        <v>32</v>
      </c>
      <c r="E78" s="5" t="s">
        <v>13</v>
      </c>
      <c r="F78" s="5" t="s">
        <v>14</v>
      </c>
      <c r="G78" s="5" t="s">
        <v>15</v>
      </c>
      <c r="H78" s="5">
        <v>48152</v>
      </c>
      <c r="I78" s="5">
        <v>5730</v>
      </c>
      <c r="J78" s="6">
        <f t="shared" si="1"/>
        <v>42422</v>
      </c>
    </row>
    <row r="79" spans="1:13">
      <c r="A79" s="5">
        <v>70733</v>
      </c>
      <c r="B79" s="5" t="s">
        <v>16</v>
      </c>
      <c r="C79" s="5" t="s">
        <v>17</v>
      </c>
      <c r="D79" s="5" t="s">
        <v>33</v>
      </c>
      <c r="E79" s="5" t="s">
        <v>19</v>
      </c>
      <c r="F79" s="5" t="s">
        <v>14</v>
      </c>
      <c r="G79" s="5" t="s">
        <v>15</v>
      </c>
      <c r="H79" s="5">
        <v>116422</v>
      </c>
      <c r="I79" s="5">
        <v>78</v>
      </c>
      <c r="J79" s="6">
        <f t="shared" si="1"/>
        <v>116344</v>
      </c>
    </row>
    <row r="80" spans="1:13">
      <c r="A80" s="5">
        <v>97914</v>
      </c>
      <c r="B80" s="5" t="s">
        <v>16</v>
      </c>
      <c r="C80" s="5" t="s">
        <v>20</v>
      </c>
      <c r="D80" s="5" t="s">
        <v>21</v>
      </c>
      <c r="E80" s="5" t="s">
        <v>19</v>
      </c>
      <c r="F80" s="5" t="s">
        <v>14</v>
      </c>
      <c r="G80" s="5" t="s">
        <v>24</v>
      </c>
      <c r="H80" s="5">
        <v>40149</v>
      </c>
      <c r="I80" s="5">
        <v>927</v>
      </c>
      <c r="J80" s="6">
        <f t="shared" si="1"/>
        <v>39222</v>
      </c>
    </row>
    <row r="81" spans="1:20">
      <c r="A81" s="5">
        <v>139001</v>
      </c>
      <c r="B81" s="5" t="s">
        <v>16</v>
      </c>
      <c r="C81" s="5" t="s">
        <v>25</v>
      </c>
      <c r="D81" s="5" t="s">
        <v>12</v>
      </c>
      <c r="E81" s="5" t="s">
        <v>13</v>
      </c>
      <c r="F81" s="5" t="s">
        <v>14</v>
      </c>
      <c r="G81" s="5" t="s">
        <v>24</v>
      </c>
      <c r="H81" s="5">
        <v>10157</v>
      </c>
      <c r="I81" s="5">
        <v>1205</v>
      </c>
      <c r="J81" s="6">
        <f t="shared" si="1"/>
        <v>8952</v>
      </c>
      <c r="L81" s="50" t="s">
        <v>52</v>
      </c>
      <c r="M81" s="45"/>
    </row>
    <row r="82" spans="1:20">
      <c r="A82" s="5">
        <v>3096</v>
      </c>
      <c r="B82" s="5" t="s">
        <v>16</v>
      </c>
      <c r="C82" s="5" t="s">
        <v>37</v>
      </c>
      <c r="D82" s="5" t="s">
        <v>30</v>
      </c>
      <c r="E82" s="5" t="s">
        <v>13</v>
      </c>
      <c r="F82" s="5" t="s">
        <v>14</v>
      </c>
      <c r="G82" s="5" t="s">
        <v>15</v>
      </c>
      <c r="H82" s="5">
        <v>105262</v>
      </c>
      <c r="I82" s="5">
        <v>1808</v>
      </c>
      <c r="J82" s="6">
        <f t="shared" si="1"/>
        <v>103454</v>
      </c>
      <c r="L82" s="1" t="s">
        <v>53</v>
      </c>
      <c r="M82" t="s">
        <v>54</v>
      </c>
    </row>
    <row r="83" spans="1:20">
      <c r="A83" s="5">
        <v>228574</v>
      </c>
      <c r="B83" s="5" t="s">
        <v>16</v>
      </c>
      <c r="C83" s="5" t="s">
        <v>27</v>
      </c>
      <c r="D83" s="5" t="s">
        <v>29</v>
      </c>
      <c r="E83" s="5" t="s">
        <v>19</v>
      </c>
      <c r="F83" s="5" t="s">
        <v>14</v>
      </c>
      <c r="G83" s="5" t="s">
        <v>24</v>
      </c>
      <c r="H83" s="5">
        <v>47980</v>
      </c>
      <c r="I83" s="5">
        <v>829</v>
      </c>
      <c r="J83" s="6">
        <f t="shared" si="1"/>
        <v>47151</v>
      </c>
      <c r="L83" s="2" t="s">
        <v>24</v>
      </c>
      <c r="M83" s="7">
        <v>0.42199999999999999</v>
      </c>
    </row>
    <row r="84" spans="1:20">
      <c r="A84" s="5">
        <v>212571</v>
      </c>
      <c r="B84" s="5" t="s">
        <v>16</v>
      </c>
      <c r="C84" s="5" t="s">
        <v>37</v>
      </c>
      <c r="D84" s="5" t="s">
        <v>30</v>
      </c>
      <c r="E84" s="5" t="s">
        <v>13</v>
      </c>
      <c r="F84" s="5" t="s">
        <v>14</v>
      </c>
      <c r="G84" s="5" t="s">
        <v>15</v>
      </c>
      <c r="H84" s="5">
        <v>98086</v>
      </c>
      <c r="I84" s="5">
        <v>7636</v>
      </c>
      <c r="J84" s="6">
        <f t="shared" si="1"/>
        <v>90450</v>
      </c>
      <c r="L84" s="2" t="s">
        <v>15</v>
      </c>
      <c r="M84" s="7">
        <v>0.57799999999999996</v>
      </c>
    </row>
    <row r="85" spans="1:20">
      <c r="A85" s="5">
        <v>81717</v>
      </c>
      <c r="B85" s="5" t="s">
        <v>10</v>
      </c>
      <c r="C85" s="5" t="s">
        <v>20</v>
      </c>
      <c r="D85" s="5" t="s">
        <v>32</v>
      </c>
      <c r="E85" s="5" t="s">
        <v>13</v>
      </c>
      <c r="F85" s="5" t="s">
        <v>14</v>
      </c>
      <c r="G85" s="5" t="s">
        <v>15</v>
      </c>
      <c r="H85" s="5">
        <v>73677</v>
      </c>
      <c r="I85" s="5">
        <v>703</v>
      </c>
      <c r="J85" s="6">
        <f t="shared" si="1"/>
        <v>72974</v>
      </c>
      <c r="L85" s="2" t="s">
        <v>43</v>
      </c>
      <c r="M85" s="7">
        <v>1</v>
      </c>
    </row>
    <row r="86" spans="1:20">
      <c r="A86" s="5">
        <v>179326</v>
      </c>
      <c r="B86" s="5" t="s">
        <v>10</v>
      </c>
      <c r="C86" s="5" t="s">
        <v>17</v>
      </c>
      <c r="D86" s="5" t="s">
        <v>36</v>
      </c>
      <c r="E86" s="5" t="s">
        <v>19</v>
      </c>
      <c r="F86" s="5" t="s">
        <v>14</v>
      </c>
      <c r="G86" s="5" t="s">
        <v>15</v>
      </c>
      <c r="H86" s="5">
        <v>46978</v>
      </c>
      <c r="I86" s="5">
        <v>8353</v>
      </c>
      <c r="J86" s="6">
        <f t="shared" si="1"/>
        <v>38625</v>
      </c>
    </row>
    <row r="87" spans="1:20">
      <c r="A87" s="5">
        <v>145200</v>
      </c>
      <c r="B87" s="5" t="s">
        <v>16</v>
      </c>
      <c r="C87" s="5" t="s">
        <v>22</v>
      </c>
      <c r="D87" s="5" t="s">
        <v>26</v>
      </c>
      <c r="E87" s="5" t="s">
        <v>19</v>
      </c>
      <c r="F87" s="5" t="s">
        <v>14</v>
      </c>
      <c r="G87" s="5" t="s">
        <v>24</v>
      </c>
      <c r="H87" s="5">
        <v>14916</v>
      </c>
      <c r="I87" s="5">
        <v>1197</v>
      </c>
      <c r="J87" s="6">
        <f t="shared" si="1"/>
        <v>13719</v>
      </c>
    </row>
    <row r="88" spans="1:20">
      <c r="A88" s="5">
        <v>162247</v>
      </c>
      <c r="B88" s="5" t="s">
        <v>10</v>
      </c>
      <c r="C88" s="5" t="s">
        <v>34</v>
      </c>
      <c r="D88" s="5" t="s">
        <v>23</v>
      </c>
      <c r="E88" s="5" t="s">
        <v>13</v>
      </c>
      <c r="F88" s="5" t="s">
        <v>14</v>
      </c>
      <c r="G88" s="5" t="s">
        <v>15</v>
      </c>
      <c r="H88" s="5">
        <v>50419</v>
      </c>
      <c r="I88" s="5">
        <v>1508</v>
      </c>
      <c r="J88" s="6">
        <f t="shared" si="1"/>
        <v>48911</v>
      </c>
    </row>
    <row r="89" spans="1:20">
      <c r="A89" s="5">
        <v>147418</v>
      </c>
      <c r="B89" s="5" t="s">
        <v>10</v>
      </c>
      <c r="C89" s="5" t="s">
        <v>31</v>
      </c>
      <c r="D89" s="5" t="s">
        <v>33</v>
      </c>
      <c r="E89" s="5" t="s">
        <v>19</v>
      </c>
      <c r="F89" s="5" t="s">
        <v>14</v>
      </c>
      <c r="G89" s="5" t="s">
        <v>15</v>
      </c>
      <c r="H89" s="5">
        <v>92452</v>
      </c>
      <c r="I89" s="5">
        <v>141</v>
      </c>
      <c r="J89" s="6">
        <f t="shared" si="1"/>
        <v>92311</v>
      </c>
    </row>
    <row r="90" spans="1:20">
      <c r="A90" s="5">
        <v>2760</v>
      </c>
      <c r="B90" s="5" t="s">
        <v>10</v>
      </c>
      <c r="C90" s="5" t="s">
        <v>39</v>
      </c>
      <c r="D90" s="5" t="s">
        <v>32</v>
      </c>
      <c r="E90" s="5" t="s">
        <v>13</v>
      </c>
      <c r="F90" s="5" t="s">
        <v>14</v>
      </c>
      <c r="G90" s="5" t="s">
        <v>15</v>
      </c>
      <c r="H90" s="5">
        <v>74000</v>
      </c>
      <c r="I90" s="5">
        <v>0</v>
      </c>
      <c r="J90" s="6">
        <f t="shared" si="1"/>
        <v>74000</v>
      </c>
    </row>
    <row r="91" spans="1:20">
      <c r="A91" s="5">
        <v>20069</v>
      </c>
      <c r="B91" s="5" t="s">
        <v>16</v>
      </c>
      <c r="C91" s="5" t="s">
        <v>11</v>
      </c>
      <c r="D91" s="5" t="s">
        <v>30</v>
      </c>
      <c r="E91" s="5" t="s">
        <v>13</v>
      </c>
      <c r="F91" s="5" t="s">
        <v>28</v>
      </c>
      <c r="G91" s="5" t="s">
        <v>15</v>
      </c>
      <c r="H91" s="5">
        <v>127747</v>
      </c>
      <c r="I91" s="5">
        <v>4</v>
      </c>
      <c r="J91" s="6">
        <f t="shared" si="1"/>
        <v>127743</v>
      </c>
    </row>
    <row r="92" spans="1:20">
      <c r="A92" s="5">
        <v>210385</v>
      </c>
      <c r="B92" s="5" t="s">
        <v>10</v>
      </c>
      <c r="C92" s="5" t="s">
        <v>37</v>
      </c>
      <c r="D92" s="5" t="s">
        <v>32</v>
      </c>
      <c r="E92" s="5" t="s">
        <v>13</v>
      </c>
      <c r="F92" s="5" t="s">
        <v>14</v>
      </c>
      <c r="G92" s="5" t="s">
        <v>15</v>
      </c>
      <c r="H92" s="5">
        <v>17707</v>
      </c>
      <c r="I92" s="5">
        <v>0</v>
      </c>
      <c r="J92" s="6">
        <f t="shared" si="1"/>
        <v>17707</v>
      </c>
    </row>
    <row r="93" spans="1:20">
      <c r="A93" s="5">
        <v>24750</v>
      </c>
      <c r="B93" s="5" t="s">
        <v>16</v>
      </c>
      <c r="C93" s="5" t="s">
        <v>37</v>
      </c>
      <c r="D93" s="5" t="s">
        <v>30</v>
      </c>
      <c r="E93" s="5" t="s">
        <v>19</v>
      </c>
      <c r="F93" s="5" t="s">
        <v>14</v>
      </c>
      <c r="G93" s="5" t="s">
        <v>24</v>
      </c>
      <c r="H93" s="5">
        <v>64774</v>
      </c>
      <c r="I93" s="5">
        <v>1858</v>
      </c>
      <c r="J93" s="6">
        <f t="shared" si="1"/>
        <v>62916</v>
      </c>
    </row>
    <row r="94" spans="1:20">
      <c r="A94" s="5">
        <v>66360</v>
      </c>
      <c r="B94" s="5" t="s">
        <v>10</v>
      </c>
      <c r="C94" s="5" t="s">
        <v>27</v>
      </c>
      <c r="D94" s="5" t="s">
        <v>23</v>
      </c>
      <c r="E94" s="5" t="s">
        <v>13</v>
      </c>
      <c r="F94" s="5" t="s">
        <v>14</v>
      </c>
      <c r="G94" s="5" t="s">
        <v>24</v>
      </c>
      <c r="H94" s="5">
        <v>88783</v>
      </c>
      <c r="I94" s="5">
        <v>6099</v>
      </c>
      <c r="J94" s="6">
        <f t="shared" si="1"/>
        <v>82684</v>
      </c>
    </row>
    <row r="95" spans="1:20" ht="17.100000000000001" thickBot="1">
      <c r="A95" s="5">
        <v>29380</v>
      </c>
      <c r="B95" s="5" t="s">
        <v>10</v>
      </c>
      <c r="C95" s="5" t="s">
        <v>34</v>
      </c>
      <c r="D95" s="5" t="s">
        <v>30</v>
      </c>
      <c r="E95" s="5" t="s">
        <v>13</v>
      </c>
      <c r="F95" s="5" t="s">
        <v>28</v>
      </c>
      <c r="G95" s="5" t="s">
        <v>15</v>
      </c>
      <c r="H95" s="5">
        <v>114667</v>
      </c>
      <c r="I95" s="5">
        <v>514</v>
      </c>
      <c r="J95" s="6">
        <f t="shared" si="1"/>
        <v>114153</v>
      </c>
    </row>
    <row r="96" spans="1:20">
      <c r="A96" s="5">
        <v>39226</v>
      </c>
      <c r="B96" s="5" t="s">
        <v>16</v>
      </c>
      <c r="C96" s="5" t="s">
        <v>34</v>
      </c>
      <c r="D96" s="5" t="s">
        <v>30</v>
      </c>
      <c r="E96" s="5" t="s">
        <v>13</v>
      </c>
      <c r="F96" s="5" t="s">
        <v>14</v>
      </c>
      <c r="G96" s="5" t="s">
        <v>15</v>
      </c>
      <c r="H96" s="5">
        <v>37583</v>
      </c>
      <c r="I96" s="5">
        <v>9783</v>
      </c>
      <c r="J96" s="6">
        <f t="shared" si="1"/>
        <v>27800</v>
      </c>
      <c r="L96" s="46" t="s">
        <v>55</v>
      </c>
      <c r="M96" s="45"/>
      <c r="O96" s="8"/>
      <c r="S96" s="27" t="s">
        <v>7</v>
      </c>
      <c r="T96" s="27"/>
    </row>
    <row r="97" spans="1:20">
      <c r="A97" s="5">
        <v>20067</v>
      </c>
      <c r="B97" s="5" t="s">
        <v>16</v>
      </c>
      <c r="C97" s="5" t="s">
        <v>11</v>
      </c>
      <c r="D97" s="5" t="s">
        <v>30</v>
      </c>
      <c r="E97" s="5" t="s">
        <v>13</v>
      </c>
      <c r="F97" s="5" t="s">
        <v>14</v>
      </c>
      <c r="G97" s="5" t="s">
        <v>24</v>
      </c>
      <c r="H97" s="5">
        <v>81937</v>
      </c>
      <c r="I97" s="5">
        <v>3496</v>
      </c>
      <c r="J97" s="6">
        <f t="shared" si="1"/>
        <v>78441</v>
      </c>
      <c r="L97" s="1" t="s">
        <v>56</v>
      </c>
      <c r="M97" t="s">
        <v>42</v>
      </c>
      <c r="O97" s="8"/>
    </row>
    <row r="98" spans="1:20">
      <c r="A98" s="5">
        <v>235877</v>
      </c>
      <c r="B98" s="5" t="s">
        <v>10</v>
      </c>
      <c r="C98" s="5" t="s">
        <v>31</v>
      </c>
      <c r="D98" s="5" t="s">
        <v>32</v>
      </c>
      <c r="E98" s="5" t="s">
        <v>19</v>
      </c>
      <c r="F98" s="5" t="s">
        <v>14</v>
      </c>
      <c r="G98" s="5" t="s">
        <v>24</v>
      </c>
      <c r="H98" s="5">
        <v>31943</v>
      </c>
      <c r="I98" s="5">
        <v>174</v>
      </c>
      <c r="J98" s="6">
        <f t="shared" si="1"/>
        <v>31769</v>
      </c>
      <c r="L98" s="47" t="s">
        <v>57</v>
      </c>
      <c r="M98">
        <v>4</v>
      </c>
      <c r="S98" s="53" t="s">
        <v>58</v>
      </c>
      <c r="T98" s="53">
        <v>59753.430999999997</v>
      </c>
    </row>
    <row r="99" spans="1:20">
      <c r="A99" s="5">
        <v>25944</v>
      </c>
      <c r="B99" s="5" t="s">
        <v>10</v>
      </c>
      <c r="C99" s="5" t="s">
        <v>11</v>
      </c>
      <c r="D99" s="5" t="s">
        <v>32</v>
      </c>
      <c r="E99" s="5" t="s">
        <v>13</v>
      </c>
      <c r="F99" s="5" t="s">
        <v>14</v>
      </c>
      <c r="G99" s="5" t="s">
        <v>15</v>
      </c>
      <c r="H99" s="5">
        <v>47786</v>
      </c>
      <c r="I99" s="5">
        <v>40006</v>
      </c>
      <c r="J99" s="6">
        <f t="shared" si="1"/>
        <v>7780</v>
      </c>
      <c r="L99" s="47" t="s">
        <v>59</v>
      </c>
      <c r="M99">
        <v>533</v>
      </c>
      <c r="S99" t="s">
        <v>60</v>
      </c>
      <c r="T99">
        <v>1821.9338151837867</v>
      </c>
    </row>
    <row r="100" spans="1:20">
      <c r="A100" s="5">
        <v>214504</v>
      </c>
      <c r="B100" s="5" t="s">
        <v>16</v>
      </c>
      <c r="C100" s="5" t="s">
        <v>11</v>
      </c>
      <c r="D100" s="5" t="s">
        <v>33</v>
      </c>
      <c r="E100" s="5" t="s">
        <v>13</v>
      </c>
      <c r="F100" s="5" t="s">
        <v>14</v>
      </c>
      <c r="G100" s="5" t="s">
        <v>15</v>
      </c>
      <c r="H100" s="5">
        <v>76936</v>
      </c>
      <c r="I100" s="5">
        <v>2577</v>
      </c>
      <c r="J100" s="6">
        <f t="shared" si="1"/>
        <v>74359</v>
      </c>
      <c r="L100" s="47" t="s">
        <v>61</v>
      </c>
      <c r="M100">
        <v>319</v>
      </c>
      <c r="O100" s="8"/>
      <c r="S100" s="53" t="s">
        <v>62</v>
      </c>
      <c r="T100" s="53">
        <v>45881.5</v>
      </c>
    </row>
    <row r="101" spans="1:20">
      <c r="A101" s="5">
        <v>1628</v>
      </c>
      <c r="B101" s="5" t="s">
        <v>10</v>
      </c>
      <c r="C101" s="5" t="s">
        <v>39</v>
      </c>
      <c r="D101" s="5" t="s">
        <v>32</v>
      </c>
      <c r="E101" s="5" t="s">
        <v>19</v>
      </c>
      <c r="F101" s="5" t="s">
        <v>28</v>
      </c>
      <c r="G101" s="5" t="s">
        <v>24</v>
      </c>
      <c r="H101" s="5">
        <v>4081</v>
      </c>
      <c r="I101" s="5">
        <v>0</v>
      </c>
      <c r="J101" s="6">
        <f t="shared" si="1"/>
        <v>4081</v>
      </c>
      <c r="L101" s="47" t="s">
        <v>63</v>
      </c>
      <c r="M101">
        <v>92</v>
      </c>
      <c r="S101" t="s">
        <v>64</v>
      </c>
      <c r="T101">
        <v>17427</v>
      </c>
    </row>
    <row r="102" spans="1:20">
      <c r="A102" s="5">
        <v>199789</v>
      </c>
      <c r="B102" s="5" t="s">
        <v>10</v>
      </c>
      <c r="C102" s="5" t="s">
        <v>37</v>
      </c>
      <c r="D102" s="5" t="s">
        <v>12</v>
      </c>
      <c r="E102" s="5" t="s">
        <v>13</v>
      </c>
      <c r="F102" s="5" t="s">
        <v>14</v>
      </c>
      <c r="G102" s="5" t="s">
        <v>15</v>
      </c>
      <c r="H102" s="5">
        <v>329444</v>
      </c>
      <c r="I102" s="5">
        <v>56551</v>
      </c>
      <c r="J102" s="6">
        <f t="shared" si="1"/>
        <v>272893</v>
      </c>
      <c r="L102" s="47" t="s">
        <v>65</v>
      </c>
      <c r="M102">
        <v>22</v>
      </c>
      <c r="S102" t="s">
        <v>66</v>
      </c>
      <c r="T102">
        <v>57614.606020610336</v>
      </c>
    </row>
    <row r="103" spans="1:20">
      <c r="A103" s="5">
        <v>34434</v>
      </c>
      <c r="B103" s="5" t="s">
        <v>16</v>
      </c>
      <c r="C103" s="5" t="s">
        <v>34</v>
      </c>
      <c r="D103" s="5" t="s">
        <v>30</v>
      </c>
      <c r="E103" s="5" t="s">
        <v>19</v>
      </c>
      <c r="F103" s="5" t="s">
        <v>14</v>
      </c>
      <c r="G103" s="5" t="s">
        <v>15</v>
      </c>
      <c r="H103" s="5">
        <v>122207</v>
      </c>
      <c r="I103" s="5">
        <v>1583</v>
      </c>
      <c r="J103" s="6">
        <f t="shared" si="1"/>
        <v>120624</v>
      </c>
      <c r="L103" s="47" t="s">
        <v>67</v>
      </c>
      <c r="M103">
        <v>14</v>
      </c>
      <c r="S103" t="s">
        <v>68</v>
      </c>
      <c r="T103">
        <v>3319442826.9101491</v>
      </c>
    </row>
    <row r="104" spans="1:20">
      <c r="A104" s="5">
        <v>167674</v>
      </c>
      <c r="B104" s="5" t="s">
        <v>10</v>
      </c>
      <c r="C104" s="5" t="s">
        <v>25</v>
      </c>
      <c r="D104" s="5" t="s">
        <v>33</v>
      </c>
      <c r="E104" s="5" t="s">
        <v>19</v>
      </c>
      <c r="F104" s="5" t="s">
        <v>14</v>
      </c>
      <c r="G104" s="5" t="s">
        <v>15</v>
      </c>
      <c r="H104" s="5">
        <v>99468</v>
      </c>
      <c r="I104" s="5">
        <v>5387</v>
      </c>
      <c r="J104" s="6">
        <f t="shared" si="1"/>
        <v>94081</v>
      </c>
      <c r="L104" s="47" t="s">
        <v>69</v>
      </c>
      <c r="M104">
        <v>3</v>
      </c>
      <c r="S104" t="s">
        <v>70</v>
      </c>
      <c r="T104">
        <v>20.43860538315414</v>
      </c>
    </row>
    <row r="105" spans="1:20">
      <c r="A105" s="5">
        <v>5323</v>
      </c>
      <c r="B105" s="5" t="s">
        <v>16</v>
      </c>
      <c r="C105" s="5" t="s">
        <v>37</v>
      </c>
      <c r="D105" s="5" t="s">
        <v>30</v>
      </c>
      <c r="E105" s="5" t="s">
        <v>13</v>
      </c>
      <c r="F105" s="5" t="s">
        <v>14</v>
      </c>
      <c r="G105" s="5" t="s">
        <v>15</v>
      </c>
      <c r="H105" s="5">
        <v>50782</v>
      </c>
      <c r="I105" s="5">
        <v>2692</v>
      </c>
      <c r="J105" s="6">
        <f t="shared" si="1"/>
        <v>48090</v>
      </c>
      <c r="L105" s="47" t="s">
        <v>71</v>
      </c>
      <c r="M105">
        <v>8</v>
      </c>
      <c r="S105" s="53" t="s">
        <v>72</v>
      </c>
      <c r="T105" s="53">
        <v>3.3267663196769428</v>
      </c>
    </row>
    <row r="106" spans="1:20">
      <c r="A106" s="5">
        <v>126666</v>
      </c>
      <c r="B106" s="5" t="s">
        <v>16</v>
      </c>
      <c r="C106" s="5" t="s">
        <v>25</v>
      </c>
      <c r="D106" s="5" t="s">
        <v>33</v>
      </c>
      <c r="E106" s="5" t="s">
        <v>19</v>
      </c>
      <c r="F106" s="5" t="s">
        <v>14</v>
      </c>
      <c r="G106" s="5" t="s">
        <v>24</v>
      </c>
      <c r="H106" s="5">
        <v>53826</v>
      </c>
      <c r="I106" s="5">
        <v>0</v>
      </c>
      <c r="J106" s="6">
        <f t="shared" si="1"/>
        <v>53826</v>
      </c>
      <c r="L106" s="47" t="s">
        <v>73</v>
      </c>
      <c r="M106">
        <v>5</v>
      </c>
      <c r="S106" t="s">
        <v>74</v>
      </c>
      <c r="T106">
        <v>745921</v>
      </c>
    </row>
    <row r="107" spans="1:20">
      <c r="A107" s="5">
        <v>174529</v>
      </c>
      <c r="B107" s="5" t="s">
        <v>10</v>
      </c>
      <c r="C107" s="5" t="s">
        <v>22</v>
      </c>
      <c r="D107" s="5" t="s">
        <v>26</v>
      </c>
      <c r="E107" s="5" t="s">
        <v>19</v>
      </c>
      <c r="F107" s="5" t="s">
        <v>14</v>
      </c>
      <c r="G107" s="5" t="s">
        <v>15</v>
      </c>
      <c r="H107" s="5">
        <v>49288</v>
      </c>
      <c r="I107" s="5">
        <v>1244</v>
      </c>
      <c r="J107" s="6">
        <f t="shared" si="1"/>
        <v>48044</v>
      </c>
      <c r="L107" s="2" t="s">
        <v>43</v>
      </c>
      <c r="M107">
        <v>1000</v>
      </c>
      <c r="S107" t="s">
        <v>75</v>
      </c>
      <c r="T107">
        <v>-80309</v>
      </c>
    </row>
    <row r="108" spans="1:20">
      <c r="A108" s="5">
        <v>121124</v>
      </c>
      <c r="B108" s="5" t="s">
        <v>16</v>
      </c>
      <c r="C108" s="5" t="s">
        <v>22</v>
      </c>
      <c r="D108" s="5" t="s">
        <v>36</v>
      </c>
      <c r="E108" s="5" t="s">
        <v>19</v>
      </c>
      <c r="F108" s="5" t="s">
        <v>14</v>
      </c>
      <c r="G108" s="5" t="s">
        <v>15</v>
      </c>
      <c r="H108" s="5">
        <v>42556</v>
      </c>
      <c r="I108" s="5">
        <v>1199</v>
      </c>
      <c r="J108" s="6">
        <f t="shared" si="1"/>
        <v>41357</v>
      </c>
      <c r="S108" t="s">
        <v>76</v>
      </c>
      <c r="T108">
        <v>665612</v>
      </c>
    </row>
    <row r="109" spans="1:20">
      <c r="A109" s="5">
        <v>34160</v>
      </c>
      <c r="B109" s="5" t="s">
        <v>16</v>
      </c>
      <c r="C109" s="5" t="s">
        <v>11</v>
      </c>
      <c r="D109" s="5" t="s">
        <v>18</v>
      </c>
      <c r="E109" s="5" t="s">
        <v>19</v>
      </c>
      <c r="F109" s="5" t="s">
        <v>14</v>
      </c>
      <c r="G109" s="5" t="s">
        <v>24</v>
      </c>
      <c r="H109" s="5">
        <v>42654</v>
      </c>
      <c r="I109" s="5">
        <v>1192</v>
      </c>
      <c r="J109" s="6">
        <f t="shared" si="1"/>
        <v>41462</v>
      </c>
      <c r="S109" t="s">
        <v>77</v>
      </c>
      <c r="T109">
        <v>59753431</v>
      </c>
    </row>
    <row r="110" spans="1:20" ht="17.100000000000001" thickBot="1">
      <c r="A110" s="5">
        <v>52120</v>
      </c>
      <c r="B110" s="5" t="s">
        <v>16</v>
      </c>
      <c r="C110" s="5" t="s">
        <v>34</v>
      </c>
      <c r="D110" s="5" t="s">
        <v>32</v>
      </c>
      <c r="E110" s="5" t="s">
        <v>13</v>
      </c>
      <c r="F110" s="5" t="s">
        <v>14</v>
      </c>
      <c r="G110" s="5" t="s">
        <v>15</v>
      </c>
      <c r="H110" s="5">
        <v>79984</v>
      </c>
      <c r="I110" s="5">
        <v>0</v>
      </c>
      <c r="J110" s="6">
        <f t="shared" si="1"/>
        <v>79984</v>
      </c>
      <c r="S110" s="25" t="s">
        <v>78</v>
      </c>
      <c r="T110" s="25">
        <v>1000</v>
      </c>
    </row>
    <row r="111" spans="1:20">
      <c r="A111" s="5">
        <v>175058</v>
      </c>
      <c r="B111" s="5" t="s">
        <v>16</v>
      </c>
      <c r="C111" s="5" t="s">
        <v>22</v>
      </c>
      <c r="D111" s="5" t="s">
        <v>30</v>
      </c>
      <c r="E111" s="5" t="s">
        <v>13</v>
      </c>
      <c r="F111" s="5" t="s">
        <v>14</v>
      </c>
      <c r="G111" s="5" t="s">
        <v>15</v>
      </c>
      <c r="H111" s="5">
        <v>315</v>
      </c>
      <c r="I111" s="5">
        <v>1298</v>
      </c>
      <c r="J111" s="6">
        <f t="shared" si="1"/>
        <v>-983</v>
      </c>
    </row>
    <row r="112" spans="1:20">
      <c r="A112" s="5">
        <v>238912</v>
      </c>
      <c r="B112" s="5" t="s">
        <v>10</v>
      </c>
      <c r="C112" s="5" t="s">
        <v>17</v>
      </c>
      <c r="D112" s="5" t="s">
        <v>18</v>
      </c>
      <c r="E112" s="5" t="s">
        <v>19</v>
      </c>
      <c r="F112" s="5" t="s">
        <v>28</v>
      </c>
      <c r="G112" s="5" t="s">
        <v>15</v>
      </c>
      <c r="H112" s="5">
        <v>11568</v>
      </c>
      <c r="I112" s="5">
        <v>380</v>
      </c>
      <c r="J112" s="6">
        <f t="shared" si="1"/>
        <v>11188</v>
      </c>
    </row>
    <row r="113" spans="1:20">
      <c r="A113" s="5">
        <v>96356</v>
      </c>
      <c r="B113" s="5" t="s">
        <v>16</v>
      </c>
      <c r="C113" s="5" t="s">
        <v>20</v>
      </c>
      <c r="D113" s="5" t="s">
        <v>32</v>
      </c>
      <c r="E113" s="5" t="s">
        <v>19</v>
      </c>
      <c r="F113" s="5" t="s">
        <v>14</v>
      </c>
      <c r="G113" s="5" t="s">
        <v>24</v>
      </c>
      <c r="H113" s="5">
        <v>25773</v>
      </c>
      <c r="I113" s="5">
        <v>0</v>
      </c>
      <c r="J113" s="6">
        <f t="shared" si="1"/>
        <v>25773</v>
      </c>
    </row>
    <row r="114" spans="1:20">
      <c r="A114" s="5">
        <v>235723</v>
      </c>
      <c r="B114" s="5" t="s">
        <v>16</v>
      </c>
      <c r="C114" s="5" t="s">
        <v>17</v>
      </c>
      <c r="D114" s="5" t="s">
        <v>30</v>
      </c>
      <c r="E114" s="5" t="s">
        <v>19</v>
      </c>
      <c r="F114" s="5" t="s">
        <v>28</v>
      </c>
      <c r="G114" s="5" t="s">
        <v>15</v>
      </c>
      <c r="H114" s="5">
        <v>45033</v>
      </c>
      <c r="I114" s="5">
        <v>2422</v>
      </c>
      <c r="J114" s="6">
        <f t="shared" si="1"/>
        <v>42611</v>
      </c>
    </row>
    <row r="115" spans="1:20">
      <c r="A115" s="5">
        <v>195482</v>
      </c>
      <c r="B115" s="5" t="s">
        <v>10</v>
      </c>
      <c r="C115" s="5" t="s">
        <v>11</v>
      </c>
      <c r="D115" s="5" t="s">
        <v>30</v>
      </c>
      <c r="E115" s="5" t="s">
        <v>13</v>
      </c>
      <c r="F115" s="5" t="s">
        <v>14</v>
      </c>
      <c r="G115" s="5" t="s">
        <v>15</v>
      </c>
      <c r="H115" s="5">
        <v>106693</v>
      </c>
      <c r="I115" s="5">
        <v>474</v>
      </c>
      <c r="J115" s="6">
        <f t="shared" si="1"/>
        <v>106219</v>
      </c>
    </row>
    <row r="116" spans="1:20">
      <c r="A116" s="5">
        <v>246762</v>
      </c>
      <c r="B116" s="5" t="s">
        <v>16</v>
      </c>
      <c r="C116" s="5" t="s">
        <v>17</v>
      </c>
      <c r="D116" s="5" t="s">
        <v>18</v>
      </c>
      <c r="E116" s="5" t="s">
        <v>19</v>
      </c>
      <c r="F116" s="5" t="s">
        <v>14</v>
      </c>
      <c r="G116" s="5" t="s">
        <v>15</v>
      </c>
      <c r="H116" s="5">
        <v>23903</v>
      </c>
      <c r="I116" s="5">
        <v>270</v>
      </c>
      <c r="J116" s="6">
        <f t="shared" si="1"/>
        <v>23633</v>
      </c>
    </row>
    <row r="117" spans="1:20" ht="17.100000000000001" thickBot="1">
      <c r="A117" s="5">
        <v>222188</v>
      </c>
      <c r="B117" s="5" t="s">
        <v>16</v>
      </c>
      <c r="C117" s="5" t="s">
        <v>20</v>
      </c>
      <c r="D117" s="5" t="s">
        <v>32</v>
      </c>
      <c r="E117" s="5" t="s">
        <v>19</v>
      </c>
      <c r="F117" s="5" t="s">
        <v>28</v>
      </c>
      <c r="G117" s="5" t="s">
        <v>15</v>
      </c>
      <c r="H117" s="5">
        <v>107373</v>
      </c>
      <c r="I117" s="5">
        <v>0</v>
      </c>
      <c r="J117" s="6">
        <f t="shared" si="1"/>
        <v>107373</v>
      </c>
    </row>
    <row r="118" spans="1:20">
      <c r="A118" s="5">
        <v>148276</v>
      </c>
      <c r="B118" s="5" t="s">
        <v>16</v>
      </c>
      <c r="C118" s="5" t="s">
        <v>25</v>
      </c>
      <c r="D118" s="5" t="s">
        <v>36</v>
      </c>
      <c r="E118" s="5" t="s">
        <v>19</v>
      </c>
      <c r="F118" s="5" t="s">
        <v>28</v>
      </c>
      <c r="G118" s="5" t="s">
        <v>24</v>
      </c>
      <c r="H118" s="5">
        <v>65323</v>
      </c>
      <c r="I118" s="5">
        <v>355</v>
      </c>
      <c r="J118" s="6">
        <f t="shared" si="1"/>
        <v>64968</v>
      </c>
      <c r="L118" s="51" t="s">
        <v>79</v>
      </c>
      <c r="M118" s="45"/>
      <c r="S118" s="27" t="s">
        <v>8</v>
      </c>
      <c r="T118" s="27"/>
    </row>
    <row r="119" spans="1:20">
      <c r="A119" s="5">
        <v>113004</v>
      </c>
      <c r="B119" s="5" t="s">
        <v>10</v>
      </c>
      <c r="C119" s="5" t="s">
        <v>22</v>
      </c>
      <c r="D119" s="5" t="s">
        <v>30</v>
      </c>
      <c r="E119" s="5" t="s">
        <v>13</v>
      </c>
      <c r="F119" s="5" t="s">
        <v>14</v>
      </c>
      <c r="G119" s="5" t="s">
        <v>15</v>
      </c>
      <c r="H119" s="5">
        <v>127211</v>
      </c>
      <c r="I119" s="5">
        <v>4884</v>
      </c>
      <c r="J119" s="6">
        <f t="shared" si="1"/>
        <v>122327</v>
      </c>
      <c r="L119" s="1" t="s">
        <v>80</v>
      </c>
      <c r="M119" t="s">
        <v>42</v>
      </c>
    </row>
    <row r="120" spans="1:20">
      <c r="A120" s="5">
        <v>199354</v>
      </c>
      <c r="B120" s="5" t="s">
        <v>10</v>
      </c>
      <c r="C120" s="5" t="s">
        <v>38</v>
      </c>
      <c r="D120" s="5" t="s">
        <v>32</v>
      </c>
      <c r="E120" s="5" t="s">
        <v>13</v>
      </c>
      <c r="F120" s="5" t="s">
        <v>14</v>
      </c>
      <c r="G120" s="5" t="s">
        <v>15</v>
      </c>
      <c r="H120" s="5">
        <v>14509</v>
      </c>
      <c r="I120" s="5">
        <v>1345</v>
      </c>
      <c r="J120" s="6">
        <f t="shared" si="1"/>
        <v>13164</v>
      </c>
      <c r="L120" s="2" t="s">
        <v>81</v>
      </c>
      <c r="M120">
        <v>860</v>
      </c>
      <c r="S120" s="52" t="s">
        <v>58</v>
      </c>
      <c r="T120" s="52">
        <v>2450.1759999999999</v>
      </c>
    </row>
    <row r="121" spans="1:20">
      <c r="A121" s="5">
        <v>71850</v>
      </c>
      <c r="B121" s="5" t="s">
        <v>16</v>
      </c>
      <c r="C121" s="5" t="s">
        <v>27</v>
      </c>
      <c r="D121" s="5" t="s">
        <v>30</v>
      </c>
      <c r="E121" s="5" t="s">
        <v>13</v>
      </c>
      <c r="F121" s="5" t="s">
        <v>14</v>
      </c>
      <c r="G121" s="5" t="s">
        <v>15</v>
      </c>
      <c r="H121" s="5">
        <v>43748</v>
      </c>
      <c r="I121" s="5">
        <v>2569</v>
      </c>
      <c r="J121" s="6">
        <f t="shared" si="1"/>
        <v>41179</v>
      </c>
      <c r="L121" s="2" t="s">
        <v>82</v>
      </c>
      <c r="M121">
        <v>94</v>
      </c>
      <c r="S121" t="s">
        <v>60</v>
      </c>
      <c r="T121">
        <v>156.73446570478288</v>
      </c>
    </row>
    <row r="122" spans="1:20">
      <c r="A122" s="5">
        <v>254383</v>
      </c>
      <c r="B122" s="5" t="s">
        <v>10</v>
      </c>
      <c r="C122" s="5" t="s">
        <v>31</v>
      </c>
      <c r="D122" s="5" t="s">
        <v>21</v>
      </c>
      <c r="E122" s="5" t="s">
        <v>19</v>
      </c>
      <c r="F122" s="5" t="s">
        <v>28</v>
      </c>
      <c r="G122" s="5" t="s">
        <v>15</v>
      </c>
      <c r="H122" s="5">
        <v>25281</v>
      </c>
      <c r="I122" s="5">
        <v>196</v>
      </c>
      <c r="J122" s="6">
        <f t="shared" si="1"/>
        <v>25085</v>
      </c>
      <c r="L122" s="2" t="s">
        <v>83</v>
      </c>
      <c r="M122">
        <v>17</v>
      </c>
      <c r="S122" s="52" t="s">
        <v>62</v>
      </c>
      <c r="T122" s="52">
        <v>751</v>
      </c>
    </row>
    <row r="123" spans="1:20">
      <c r="A123" s="5">
        <v>5589</v>
      </c>
      <c r="B123" s="5" t="s">
        <v>10</v>
      </c>
      <c r="C123" s="5" t="s">
        <v>38</v>
      </c>
      <c r="D123" s="5" t="s">
        <v>29</v>
      </c>
      <c r="E123" s="5" t="s">
        <v>13</v>
      </c>
      <c r="F123" s="5" t="s">
        <v>14</v>
      </c>
      <c r="G123" s="5" t="s">
        <v>15</v>
      </c>
      <c r="H123" s="5">
        <v>4007</v>
      </c>
      <c r="I123" s="5">
        <v>120</v>
      </c>
      <c r="J123" s="6">
        <f t="shared" si="1"/>
        <v>3887</v>
      </c>
      <c r="L123" s="2" t="s">
        <v>84</v>
      </c>
      <c r="M123">
        <v>11</v>
      </c>
      <c r="S123" t="s">
        <v>64</v>
      </c>
      <c r="T123">
        <v>0</v>
      </c>
    </row>
    <row r="124" spans="1:20">
      <c r="A124" s="5">
        <v>72632</v>
      </c>
      <c r="B124" s="5" t="s">
        <v>16</v>
      </c>
      <c r="C124" s="5" t="s">
        <v>27</v>
      </c>
      <c r="D124" s="5" t="s">
        <v>30</v>
      </c>
      <c r="E124" s="5" t="s">
        <v>13</v>
      </c>
      <c r="F124" s="5" t="s">
        <v>14</v>
      </c>
      <c r="G124" s="5" t="s">
        <v>15</v>
      </c>
      <c r="H124" s="5">
        <v>133566</v>
      </c>
      <c r="I124" s="5">
        <v>5948</v>
      </c>
      <c r="J124" s="6">
        <f t="shared" si="1"/>
        <v>127618</v>
      </c>
      <c r="L124" s="2" t="s">
        <v>85</v>
      </c>
      <c r="M124">
        <v>6</v>
      </c>
      <c r="S124" t="s">
        <v>66</v>
      </c>
      <c r="T124">
        <v>4956.3789947666191</v>
      </c>
    </row>
    <row r="125" spans="1:20">
      <c r="A125" s="5">
        <v>207016</v>
      </c>
      <c r="B125" s="5" t="s">
        <v>10</v>
      </c>
      <c r="C125" s="5" t="s">
        <v>37</v>
      </c>
      <c r="D125" s="5" t="s">
        <v>32</v>
      </c>
      <c r="E125" s="5" t="s">
        <v>13</v>
      </c>
      <c r="F125" s="5" t="s">
        <v>14</v>
      </c>
      <c r="G125" s="5" t="s">
        <v>15</v>
      </c>
      <c r="H125" s="5">
        <v>39357</v>
      </c>
      <c r="I125" s="5">
        <v>0</v>
      </c>
      <c r="J125" s="6">
        <f t="shared" si="1"/>
        <v>39357</v>
      </c>
      <c r="L125" s="2" t="s">
        <v>86</v>
      </c>
      <c r="M125">
        <v>7</v>
      </c>
      <c r="S125" t="s">
        <v>68</v>
      </c>
      <c r="T125">
        <v>24565692.739763767</v>
      </c>
    </row>
    <row r="126" spans="1:20">
      <c r="A126" s="5">
        <v>117286</v>
      </c>
      <c r="B126" s="5" t="s">
        <v>10</v>
      </c>
      <c r="C126" s="5" t="s">
        <v>17</v>
      </c>
      <c r="D126" s="5" t="s">
        <v>29</v>
      </c>
      <c r="E126" s="5" t="s">
        <v>19</v>
      </c>
      <c r="F126" s="5" t="s">
        <v>14</v>
      </c>
      <c r="G126" s="5" t="s">
        <v>24</v>
      </c>
      <c r="H126" s="5">
        <v>19613</v>
      </c>
      <c r="I126" s="5">
        <v>200</v>
      </c>
      <c r="J126" s="6">
        <f t="shared" si="1"/>
        <v>19413</v>
      </c>
      <c r="L126" s="2" t="s">
        <v>87</v>
      </c>
      <c r="M126">
        <v>5</v>
      </c>
      <c r="S126" t="s">
        <v>70</v>
      </c>
      <c r="T126">
        <v>34.236863965951898</v>
      </c>
    </row>
    <row r="127" spans="1:20">
      <c r="A127" s="5">
        <v>254457</v>
      </c>
      <c r="B127" s="5" t="s">
        <v>16</v>
      </c>
      <c r="C127" s="5" t="s">
        <v>34</v>
      </c>
      <c r="D127" s="5" t="s">
        <v>36</v>
      </c>
      <c r="E127" s="5" t="s">
        <v>13</v>
      </c>
      <c r="F127" s="5" t="s">
        <v>14</v>
      </c>
      <c r="G127" s="5" t="s">
        <v>15</v>
      </c>
      <c r="H127" s="5">
        <v>12158</v>
      </c>
      <c r="I127" s="5">
        <v>111</v>
      </c>
      <c r="J127" s="6">
        <f t="shared" si="1"/>
        <v>12047</v>
      </c>
      <c r="L127" s="2" t="s">
        <v>43</v>
      </c>
      <c r="M127">
        <v>1000</v>
      </c>
      <c r="S127" s="52" t="s">
        <v>72</v>
      </c>
      <c r="T127" s="52">
        <v>4.9566857820920589</v>
      </c>
    </row>
    <row r="128" spans="1:20">
      <c r="A128" s="5">
        <v>165460</v>
      </c>
      <c r="B128" s="5" t="s">
        <v>10</v>
      </c>
      <c r="C128" s="5" t="s">
        <v>27</v>
      </c>
      <c r="D128" s="5" t="s">
        <v>21</v>
      </c>
      <c r="E128" s="5" t="s">
        <v>19</v>
      </c>
      <c r="F128" s="5" t="s">
        <v>14</v>
      </c>
      <c r="G128" s="5" t="s">
        <v>24</v>
      </c>
      <c r="H128" s="5">
        <v>57090</v>
      </c>
      <c r="I128" s="5">
        <v>378</v>
      </c>
      <c r="J128" s="6">
        <f t="shared" si="1"/>
        <v>56712</v>
      </c>
      <c r="S128" t="s">
        <v>74</v>
      </c>
      <c r="T128">
        <v>56551</v>
      </c>
    </row>
    <row r="129" spans="1:20">
      <c r="A129" s="5">
        <v>61572</v>
      </c>
      <c r="B129" s="5" t="s">
        <v>10</v>
      </c>
      <c r="C129" s="5" t="s">
        <v>27</v>
      </c>
      <c r="D129" s="5" t="s">
        <v>23</v>
      </c>
      <c r="E129" s="5" t="s">
        <v>13</v>
      </c>
      <c r="F129" s="5" t="s">
        <v>14</v>
      </c>
      <c r="G129" s="5" t="s">
        <v>15</v>
      </c>
      <c r="H129" s="5">
        <v>111777</v>
      </c>
      <c r="I129" s="5">
        <v>10223</v>
      </c>
      <c r="J129" s="6">
        <f t="shared" si="1"/>
        <v>101554</v>
      </c>
      <c r="S129" t="s">
        <v>75</v>
      </c>
      <c r="T129">
        <v>0</v>
      </c>
    </row>
    <row r="130" spans="1:20">
      <c r="A130" s="5">
        <v>247583</v>
      </c>
      <c r="B130" s="5" t="s">
        <v>16</v>
      </c>
      <c r="C130" s="5" t="s">
        <v>17</v>
      </c>
      <c r="D130" s="5" t="s">
        <v>23</v>
      </c>
      <c r="E130" s="5" t="s">
        <v>19</v>
      </c>
      <c r="F130" s="5" t="s">
        <v>28</v>
      </c>
      <c r="G130" s="5" t="s">
        <v>15</v>
      </c>
      <c r="H130" s="5">
        <v>26704</v>
      </c>
      <c r="I130" s="5">
        <v>286</v>
      </c>
      <c r="J130" s="6">
        <f t="shared" ref="J130:J193" si="2">H130-I130</f>
        <v>26418</v>
      </c>
      <c r="S130" t="s">
        <v>76</v>
      </c>
      <c r="T130">
        <v>56551</v>
      </c>
    </row>
    <row r="131" spans="1:20">
      <c r="A131" s="5">
        <v>62513</v>
      </c>
      <c r="B131" s="5" t="s">
        <v>10</v>
      </c>
      <c r="C131" s="5" t="s">
        <v>27</v>
      </c>
      <c r="D131" s="5" t="s">
        <v>32</v>
      </c>
      <c r="E131" s="5" t="s">
        <v>13</v>
      </c>
      <c r="F131" s="5" t="s">
        <v>14</v>
      </c>
      <c r="G131" s="5" t="s">
        <v>15</v>
      </c>
      <c r="H131" s="5">
        <v>71831</v>
      </c>
      <c r="I131" s="5">
        <v>3041</v>
      </c>
      <c r="J131" s="6">
        <f t="shared" si="2"/>
        <v>68790</v>
      </c>
      <c r="S131" t="s">
        <v>77</v>
      </c>
      <c r="T131">
        <v>2450176</v>
      </c>
    </row>
    <row r="132" spans="1:20" ht="17.100000000000001" thickBot="1">
      <c r="A132" s="5">
        <v>189937</v>
      </c>
      <c r="B132" s="5" t="s">
        <v>16</v>
      </c>
      <c r="C132" s="5" t="s">
        <v>37</v>
      </c>
      <c r="D132" s="5" t="s">
        <v>30</v>
      </c>
      <c r="E132" s="5" t="s">
        <v>13</v>
      </c>
      <c r="F132" s="5" t="s">
        <v>14</v>
      </c>
      <c r="G132" s="5" t="s">
        <v>15</v>
      </c>
      <c r="H132" s="5">
        <v>47597</v>
      </c>
      <c r="I132" s="5">
        <v>602</v>
      </c>
      <c r="J132" s="6">
        <f t="shared" si="2"/>
        <v>46995</v>
      </c>
      <c r="S132" s="25" t="s">
        <v>78</v>
      </c>
      <c r="T132" s="25">
        <v>1000</v>
      </c>
    </row>
    <row r="133" spans="1:20">
      <c r="A133" s="5">
        <v>164876</v>
      </c>
      <c r="B133" s="5" t="s">
        <v>10</v>
      </c>
      <c r="C133" s="5" t="s">
        <v>35</v>
      </c>
      <c r="D133" s="5" t="s">
        <v>12</v>
      </c>
      <c r="E133" s="5" t="s">
        <v>13</v>
      </c>
      <c r="F133" s="5" t="s">
        <v>14</v>
      </c>
      <c r="G133" s="5" t="s">
        <v>15</v>
      </c>
      <c r="H133" s="5">
        <v>63752</v>
      </c>
      <c r="I133" s="5">
        <v>2277</v>
      </c>
      <c r="J133" s="6">
        <f t="shared" si="2"/>
        <v>61475</v>
      </c>
    </row>
    <row r="134" spans="1:20">
      <c r="A134" s="5">
        <v>253899</v>
      </c>
      <c r="B134" s="5" t="s">
        <v>16</v>
      </c>
      <c r="C134" s="5" t="s">
        <v>17</v>
      </c>
      <c r="D134" s="5" t="s">
        <v>33</v>
      </c>
      <c r="E134" s="5" t="s">
        <v>19</v>
      </c>
      <c r="F134" s="5" t="s">
        <v>14</v>
      </c>
      <c r="G134" s="5" t="s">
        <v>24</v>
      </c>
      <c r="H134" s="5">
        <v>40434</v>
      </c>
      <c r="I134" s="5">
        <v>1065</v>
      </c>
      <c r="J134" s="6">
        <f t="shared" si="2"/>
        <v>39369</v>
      </c>
    </row>
    <row r="135" spans="1:20">
      <c r="A135" s="5">
        <v>166422</v>
      </c>
      <c r="B135" s="5" t="s">
        <v>10</v>
      </c>
      <c r="C135" s="5" t="s">
        <v>22</v>
      </c>
      <c r="D135" s="5" t="s">
        <v>32</v>
      </c>
      <c r="E135" s="5" t="s">
        <v>19</v>
      </c>
      <c r="F135" s="5" t="s">
        <v>14</v>
      </c>
      <c r="G135" s="5" t="s">
        <v>24</v>
      </c>
      <c r="H135" s="5">
        <v>0</v>
      </c>
      <c r="I135" s="5">
        <v>0</v>
      </c>
      <c r="J135" s="6">
        <f t="shared" si="2"/>
        <v>0</v>
      </c>
    </row>
    <row r="136" spans="1:20">
      <c r="A136" s="5">
        <v>98678</v>
      </c>
      <c r="B136" s="5" t="s">
        <v>16</v>
      </c>
      <c r="C136" s="5" t="s">
        <v>37</v>
      </c>
      <c r="D136" s="5" t="s">
        <v>12</v>
      </c>
      <c r="E136" s="5" t="s">
        <v>13</v>
      </c>
      <c r="F136" s="5" t="s">
        <v>14</v>
      </c>
      <c r="G136" s="5" t="s">
        <v>15</v>
      </c>
      <c r="H136" s="5">
        <v>23118</v>
      </c>
      <c r="I136" s="5">
        <v>332</v>
      </c>
      <c r="J136" s="6">
        <f t="shared" si="2"/>
        <v>22786</v>
      </c>
    </row>
    <row r="137" spans="1:20">
      <c r="A137" s="5">
        <v>233812</v>
      </c>
      <c r="B137" s="5" t="s">
        <v>16</v>
      </c>
      <c r="C137" s="5" t="s">
        <v>17</v>
      </c>
      <c r="D137" s="5" t="s">
        <v>12</v>
      </c>
      <c r="E137" s="5" t="s">
        <v>19</v>
      </c>
      <c r="F137" s="5" t="s">
        <v>14</v>
      </c>
      <c r="G137" s="5" t="s">
        <v>24</v>
      </c>
      <c r="H137" s="5">
        <v>33626</v>
      </c>
      <c r="I137" s="5">
        <v>1337</v>
      </c>
      <c r="J137" s="6">
        <f t="shared" si="2"/>
        <v>32289</v>
      </c>
    </row>
    <row r="138" spans="1:20" ht="17.100000000000001" thickBot="1">
      <c r="A138" s="5">
        <v>85654</v>
      </c>
      <c r="B138" s="5" t="s">
        <v>10</v>
      </c>
      <c r="C138" s="5" t="s">
        <v>11</v>
      </c>
      <c r="D138" s="5" t="s">
        <v>26</v>
      </c>
      <c r="E138" s="5" t="s">
        <v>13</v>
      </c>
      <c r="F138" s="5" t="s">
        <v>14</v>
      </c>
      <c r="G138" s="5" t="s">
        <v>15</v>
      </c>
      <c r="H138" s="5">
        <v>49023</v>
      </c>
      <c r="I138" s="5">
        <v>1112</v>
      </c>
      <c r="J138" s="6">
        <f t="shared" si="2"/>
        <v>47911</v>
      </c>
    </row>
    <row r="139" spans="1:20">
      <c r="A139" s="5">
        <v>100428</v>
      </c>
      <c r="B139" s="5" t="s">
        <v>10</v>
      </c>
      <c r="C139" s="5" t="s">
        <v>11</v>
      </c>
      <c r="D139" s="5" t="s">
        <v>23</v>
      </c>
      <c r="E139" s="5" t="s">
        <v>19</v>
      </c>
      <c r="F139" s="5" t="s">
        <v>14</v>
      </c>
      <c r="G139" s="5" t="s">
        <v>24</v>
      </c>
      <c r="H139" s="5">
        <v>44018</v>
      </c>
      <c r="I139" s="5">
        <v>805</v>
      </c>
      <c r="J139" s="6">
        <f t="shared" si="2"/>
        <v>43213</v>
      </c>
      <c r="L139" s="48" t="s">
        <v>88</v>
      </c>
      <c r="M139" s="45"/>
      <c r="S139" s="27" t="s">
        <v>9</v>
      </c>
      <c r="T139" s="27"/>
    </row>
    <row r="140" spans="1:20">
      <c r="A140" s="5">
        <v>199811</v>
      </c>
      <c r="B140" s="5" t="s">
        <v>10</v>
      </c>
      <c r="C140" s="5" t="s">
        <v>34</v>
      </c>
      <c r="D140" s="5" t="s">
        <v>30</v>
      </c>
      <c r="E140" s="5" t="s">
        <v>13</v>
      </c>
      <c r="F140" s="5" t="s">
        <v>14</v>
      </c>
      <c r="G140" s="5" t="s">
        <v>15</v>
      </c>
      <c r="H140" s="5">
        <v>153645</v>
      </c>
      <c r="I140" s="5">
        <v>13465</v>
      </c>
      <c r="J140" s="6">
        <f t="shared" si="2"/>
        <v>140180</v>
      </c>
      <c r="L140" s="1" t="s">
        <v>89</v>
      </c>
      <c r="M140" t="s">
        <v>42</v>
      </c>
    </row>
    <row r="141" spans="1:20">
      <c r="A141" s="5">
        <v>238918</v>
      </c>
      <c r="B141" s="5" t="s">
        <v>16</v>
      </c>
      <c r="C141" s="5" t="s">
        <v>17</v>
      </c>
      <c r="D141" s="5" t="s">
        <v>18</v>
      </c>
      <c r="E141" s="5" t="s">
        <v>19</v>
      </c>
      <c r="F141" s="5" t="s">
        <v>28</v>
      </c>
      <c r="G141" s="5" t="s">
        <v>24</v>
      </c>
      <c r="H141" s="5">
        <v>30551</v>
      </c>
      <c r="I141" s="5">
        <v>0</v>
      </c>
      <c r="J141" s="6">
        <f t="shared" si="2"/>
        <v>30551</v>
      </c>
      <c r="L141" s="2" t="s">
        <v>57</v>
      </c>
      <c r="M141">
        <v>5</v>
      </c>
      <c r="S141" s="54" t="s">
        <v>58</v>
      </c>
      <c r="T141" s="54">
        <v>57303.254999999997</v>
      </c>
    </row>
    <row r="142" spans="1:20">
      <c r="A142" s="5">
        <v>179467</v>
      </c>
      <c r="B142" s="5" t="s">
        <v>16</v>
      </c>
      <c r="C142" s="5" t="s">
        <v>35</v>
      </c>
      <c r="D142" s="5" t="s">
        <v>21</v>
      </c>
      <c r="E142" s="5" t="s">
        <v>19</v>
      </c>
      <c r="F142" s="5" t="s">
        <v>14</v>
      </c>
      <c r="G142" s="5" t="s">
        <v>24</v>
      </c>
      <c r="H142" s="5">
        <v>40291</v>
      </c>
      <c r="I142" s="5">
        <v>132</v>
      </c>
      <c r="J142" s="6">
        <f t="shared" si="2"/>
        <v>40159</v>
      </c>
      <c r="L142" s="2" t="s">
        <v>59</v>
      </c>
      <c r="M142">
        <v>553</v>
      </c>
      <c r="S142" t="s">
        <v>60</v>
      </c>
      <c r="T142">
        <v>1766.5291812002447</v>
      </c>
    </row>
    <row r="143" spans="1:20">
      <c r="A143" s="5">
        <v>84077</v>
      </c>
      <c r="B143" s="5" t="s">
        <v>16</v>
      </c>
      <c r="C143" s="5" t="s">
        <v>34</v>
      </c>
      <c r="D143" s="5" t="s">
        <v>26</v>
      </c>
      <c r="E143" s="5" t="s">
        <v>13</v>
      </c>
      <c r="F143" s="5" t="s">
        <v>14</v>
      </c>
      <c r="G143" s="5" t="s">
        <v>24</v>
      </c>
      <c r="H143" s="5">
        <v>48649</v>
      </c>
      <c r="I143" s="5">
        <v>3338</v>
      </c>
      <c r="J143" s="6">
        <f t="shared" si="2"/>
        <v>45311</v>
      </c>
      <c r="L143" s="2" t="s">
        <v>61</v>
      </c>
      <c r="M143">
        <v>313</v>
      </c>
      <c r="S143" s="54" t="s">
        <v>62</v>
      </c>
      <c r="T143" s="54">
        <v>43663.5</v>
      </c>
    </row>
    <row r="144" spans="1:20">
      <c r="A144" s="5">
        <v>10417</v>
      </c>
      <c r="B144" s="5" t="s">
        <v>16</v>
      </c>
      <c r="C144" s="5" t="s">
        <v>34</v>
      </c>
      <c r="D144" s="5" t="s">
        <v>33</v>
      </c>
      <c r="E144" s="5" t="s">
        <v>13</v>
      </c>
      <c r="F144" s="5" t="s">
        <v>14</v>
      </c>
      <c r="G144" s="5" t="s">
        <v>24</v>
      </c>
      <c r="H144" s="5">
        <v>23126</v>
      </c>
      <c r="I144" s="5">
        <v>975</v>
      </c>
      <c r="J144" s="6">
        <f t="shared" si="2"/>
        <v>22151</v>
      </c>
      <c r="L144" s="2" t="s">
        <v>63</v>
      </c>
      <c r="M144">
        <v>81</v>
      </c>
      <c r="S144" t="s">
        <v>64</v>
      </c>
      <c r="T144">
        <v>4081</v>
      </c>
    </row>
    <row r="145" spans="1:20">
      <c r="A145" s="5">
        <v>89872</v>
      </c>
      <c r="B145" s="5" t="s">
        <v>10</v>
      </c>
      <c r="C145" s="5" t="s">
        <v>38</v>
      </c>
      <c r="D145" s="5" t="s">
        <v>32</v>
      </c>
      <c r="E145" s="5" t="s">
        <v>13</v>
      </c>
      <c r="F145" s="5" t="s">
        <v>14</v>
      </c>
      <c r="G145" s="5" t="s">
        <v>24</v>
      </c>
      <c r="H145" s="5">
        <v>22803</v>
      </c>
      <c r="I145" s="5">
        <v>0</v>
      </c>
      <c r="J145" s="6">
        <f t="shared" si="2"/>
        <v>22803</v>
      </c>
      <c r="L145" s="2" t="s">
        <v>65</v>
      </c>
      <c r="M145">
        <v>22</v>
      </c>
      <c r="S145" t="s">
        <v>66</v>
      </c>
      <c r="T145">
        <v>55862.557657450729</v>
      </c>
    </row>
    <row r="146" spans="1:20">
      <c r="A146" s="5">
        <v>106184</v>
      </c>
      <c r="B146" s="5" t="s">
        <v>16</v>
      </c>
      <c r="C146" s="5" t="s">
        <v>22</v>
      </c>
      <c r="D146" s="5" t="s">
        <v>23</v>
      </c>
      <c r="E146" s="5" t="s">
        <v>13</v>
      </c>
      <c r="F146" s="5" t="s">
        <v>14</v>
      </c>
      <c r="G146" s="5" t="s">
        <v>15</v>
      </c>
      <c r="H146" s="5">
        <v>61574</v>
      </c>
      <c r="I146" s="5">
        <v>305</v>
      </c>
      <c r="J146" s="6">
        <f t="shared" si="2"/>
        <v>61269</v>
      </c>
      <c r="L146" s="2" t="s">
        <v>67</v>
      </c>
      <c r="M146">
        <v>11</v>
      </c>
      <c r="S146" t="s">
        <v>68</v>
      </c>
      <c r="T146">
        <v>3120625348.0320072</v>
      </c>
    </row>
    <row r="147" spans="1:20">
      <c r="A147" s="5">
        <v>212671</v>
      </c>
      <c r="B147" s="5" t="s">
        <v>10</v>
      </c>
      <c r="C147" s="5" t="s">
        <v>34</v>
      </c>
      <c r="D147" s="5" t="s">
        <v>32</v>
      </c>
      <c r="E147" s="5" t="s">
        <v>13</v>
      </c>
      <c r="F147" s="5" t="s">
        <v>14</v>
      </c>
      <c r="G147" s="5" t="s">
        <v>15</v>
      </c>
      <c r="H147" s="5">
        <v>20410</v>
      </c>
      <c r="I147" s="5">
        <v>400</v>
      </c>
      <c r="J147" s="6">
        <f t="shared" si="2"/>
        <v>20010</v>
      </c>
      <c r="L147" s="2" t="s">
        <v>69</v>
      </c>
      <c r="M147">
        <v>4</v>
      </c>
      <c r="S147" t="s">
        <v>70</v>
      </c>
      <c r="T147">
        <v>22.317113275999919</v>
      </c>
    </row>
    <row r="148" spans="1:20">
      <c r="A148" s="5">
        <v>183036</v>
      </c>
      <c r="B148" s="5" t="s">
        <v>16</v>
      </c>
      <c r="C148" s="5" t="s">
        <v>20</v>
      </c>
      <c r="D148" s="5" t="s">
        <v>32</v>
      </c>
      <c r="E148" s="5" t="s">
        <v>19</v>
      </c>
      <c r="F148" s="5" t="s">
        <v>14</v>
      </c>
      <c r="G148" s="5" t="s">
        <v>24</v>
      </c>
      <c r="H148" s="5">
        <v>81512</v>
      </c>
      <c r="I148" s="5">
        <v>585</v>
      </c>
      <c r="J148" s="6">
        <f t="shared" si="2"/>
        <v>80927</v>
      </c>
      <c r="L148" s="2" t="s">
        <v>71</v>
      </c>
      <c r="M148">
        <v>7</v>
      </c>
      <c r="S148" s="54" t="s">
        <v>72</v>
      </c>
      <c r="T148" s="54">
        <v>3.446312877169297</v>
      </c>
    </row>
    <row r="149" spans="1:20">
      <c r="A149" s="5">
        <v>115457</v>
      </c>
      <c r="B149" s="5" t="s">
        <v>16</v>
      </c>
      <c r="C149" s="5" t="s">
        <v>25</v>
      </c>
      <c r="D149" s="5" t="s">
        <v>18</v>
      </c>
      <c r="E149" s="5" t="s">
        <v>19</v>
      </c>
      <c r="F149" s="5" t="s">
        <v>14</v>
      </c>
      <c r="G149" s="5" t="s">
        <v>24</v>
      </c>
      <c r="H149" s="5">
        <v>54378</v>
      </c>
      <c r="I149" s="5">
        <v>11234</v>
      </c>
      <c r="J149" s="6">
        <f t="shared" si="2"/>
        <v>43144</v>
      </c>
      <c r="L149" s="2" t="s">
        <v>73</v>
      </c>
      <c r="M149">
        <v>4</v>
      </c>
      <c r="S149" t="s">
        <v>74</v>
      </c>
      <c r="T149">
        <v>750055</v>
      </c>
    </row>
    <row r="150" spans="1:20">
      <c r="A150" s="5">
        <v>114266</v>
      </c>
      <c r="B150" s="5" t="s">
        <v>10</v>
      </c>
      <c r="C150" s="5" t="s">
        <v>22</v>
      </c>
      <c r="D150" s="5" t="s">
        <v>23</v>
      </c>
      <c r="E150" s="5" t="s">
        <v>19</v>
      </c>
      <c r="F150" s="5" t="s">
        <v>14</v>
      </c>
      <c r="G150" s="5" t="s">
        <v>15</v>
      </c>
      <c r="H150" s="5">
        <v>103899</v>
      </c>
      <c r="I150" s="5">
        <v>4277</v>
      </c>
      <c r="J150" s="6">
        <f t="shared" si="2"/>
        <v>99622</v>
      </c>
      <c r="L150" s="2" t="s">
        <v>43</v>
      </c>
      <c r="M150">
        <v>1000</v>
      </c>
      <c r="S150" t="s">
        <v>75</v>
      </c>
      <c r="T150">
        <v>-86395</v>
      </c>
    </row>
    <row r="151" spans="1:20">
      <c r="A151" s="5">
        <v>135972</v>
      </c>
      <c r="B151" s="5" t="s">
        <v>16</v>
      </c>
      <c r="C151" s="5" t="s">
        <v>22</v>
      </c>
      <c r="D151" s="5" t="s">
        <v>33</v>
      </c>
      <c r="E151" s="5" t="s">
        <v>19</v>
      </c>
      <c r="F151" s="5" t="s">
        <v>14</v>
      </c>
      <c r="G151" s="5" t="s">
        <v>15</v>
      </c>
      <c r="H151" s="5">
        <v>67993</v>
      </c>
      <c r="I151" s="5">
        <v>323</v>
      </c>
      <c r="J151" s="6">
        <f t="shared" si="2"/>
        <v>67670</v>
      </c>
      <c r="S151" t="s">
        <v>76</v>
      </c>
      <c r="T151">
        <v>663660</v>
      </c>
    </row>
    <row r="152" spans="1:20">
      <c r="A152" s="5">
        <v>121500</v>
      </c>
      <c r="B152" s="5" t="s">
        <v>16</v>
      </c>
      <c r="C152" s="5" t="s">
        <v>22</v>
      </c>
      <c r="D152" s="5" t="s">
        <v>30</v>
      </c>
      <c r="E152" s="5" t="s">
        <v>13</v>
      </c>
      <c r="F152" s="5" t="s">
        <v>14</v>
      </c>
      <c r="G152" s="5" t="s">
        <v>15</v>
      </c>
      <c r="H152" s="5">
        <v>38749</v>
      </c>
      <c r="I152" s="5">
        <v>4745</v>
      </c>
      <c r="J152" s="6">
        <f t="shared" si="2"/>
        <v>34004</v>
      </c>
      <c r="S152" t="s">
        <v>77</v>
      </c>
      <c r="T152">
        <v>57303255</v>
      </c>
    </row>
    <row r="153" spans="1:20" ht="17.100000000000001" thickBot="1">
      <c r="A153" s="5">
        <v>170658</v>
      </c>
      <c r="B153" s="5" t="s">
        <v>10</v>
      </c>
      <c r="C153" s="5" t="s">
        <v>17</v>
      </c>
      <c r="D153" s="5" t="s">
        <v>36</v>
      </c>
      <c r="E153" s="5" t="s">
        <v>19</v>
      </c>
      <c r="F153" s="5" t="s">
        <v>14</v>
      </c>
      <c r="G153" s="5" t="s">
        <v>15</v>
      </c>
      <c r="H153" s="5">
        <v>15506</v>
      </c>
      <c r="I153" s="5">
        <v>0</v>
      </c>
      <c r="J153" s="6">
        <f t="shared" si="2"/>
        <v>15506</v>
      </c>
      <c r="S153" s="25" t="s">
        <v>78</v>
      </c>
      <c r="T153" s="25">
        <v>1000</v>
      </c>
    </row>
    <row r="154" spans="1:20">
      <c r="A154" s="5">
        <v>145732</v>
      </c>
      <c r="B154" s="5" t="s">
        <v>10</v>
      </c>
      <c r="C154" s="5" t="s">
        <v>25</v>
      </c>
      <c r="D154" s="5" t="s">
        <v>30</v>
      </c>
      <c r="E154" s="5" t="s">
        <v>13</v>
      </c>
      <c r="F154" s="5" t="s">
        <v>14</v>
      </c>
      <c r="G154" s="5" t="s">
        <v>24</v>
      </c>
      <c r="H154" s="5">
        <v>67930</v>
      </c>
      <c r="I154" s="5">
        <v>468</v>
      </c>
      <c r="J154" s="6">
        <f t="shared" si="2"/>
        <v>67462</v>
      </c>
    </row>
    <row r="155" spans="1:20">
      <c r="A155" s="5">
        <v>82959</v>
      </c>
      <c r="B155" s="5" t="s">
        <v>16</v>
      </c>
      <c r="C155" s="5" t="s">
        <v>34</v>
      </c>
      <c r="D155" s="5" t="s">
        <v>32</v>
      </c>
      <c r="E155" s="5" t="s">
        <v>13</v>
      </c>
      <c r="F155" s="5" t="s">
        <v>14</v>
      </c>
      <c r="G155" s="5" t="s">
        <v>24</v>
      </c>
      <c r="H155" s="5">
        <v>18500</v>
      </c>
      <c r="I155" s="5">
        <v>0</v>
      </c>
      <c r="J155" s="6">
        <f t="shared" si="2"/>
        <v>18500</v>
      </c>
    </row>
    <row r="156" spans="1:20">
      <c r="A156" s="5">
        <v>76082</v>
      </c>
      <c r="B156" s="5" t="s">
        <v>16</v>
      </c>
      <c r="C156" s="5" t="s">
        <v>20</v>
      </c>
      <c r="D156" s="5" t="s">
        <v>32</v>
      </c>
      <c r="E156" s="5" t="s">
        <v>19</v>
      </c>
      <c r="F156" s="5" t="s">
        <v>28</v>
      </c>
      <c r="G156" s="5" t="s">
        <v>24</v>
      </c>
      <c r="H156" s="5">
        <v>303</v>
      </c>
      <c r="I156" s="5">
        <v>0</v>
      </c>
      <c r="J156" s="6">
        <f t="shared" si="2"/>
        <v>303</v>
      </c>
    </row>
    <row r="157" spans="1:20">
      <c r="A157" s="5">
        <v>72102</v>
      </c>
      <c r="B157" s="5" t="s">
        <v>16</v>
      </c>
      <c r="C157" s="5" t="s">
        <v>27</v>
      </c>
      <c r="D157" s="5" t="s">
        <v>26</v>
      </c>
      <c r="E157" s="5" t="s">
        <v>13</v>
      </c>
      <c r="F157" s="5" t="s">
        <v>28</v>
      </c>
      <c r="G157" s="5" t="s">
        <v>24</v>
      </c>
      <c r="H157" s="5">
        <v>13558</v>
      </c>
      <c r="I157" s="5">
        <v>404</v>
      </c>
      <c r="J157" s="6">
        <f t="shared" si="2"/>
        <v>13154</v>
      </c>
    </row>
    <row r="158" spans="1:20">
      <c r="A158" s="5">
        <v>256564</v>
      </c>
      <c r="B158" s="5" t="s">
        <v>10</v>
      </c>
      <c r="C158" s="5" t="s">
        <v>27</v>
      </c>
      <c r="D158" s="5" t="s">
        <v>29</v>
      </c>
      <c r="E158" s="5" t="s">
        <v>19</v>
      </c>
      <c r="F158" s="5" t="s">
        <v>14</v>
      </c>
      <c r="G158" s="5" t="s">
        <v>24</v>
      </c>
      <c r="H158" s="5">
        <v>44214</v>
      </c>
      <c r="I158" s="5">
        <v>387</v>
      </c>
      <c r="J158" s="6">
        <f t="shared" si="2"/>
        <v>43827</v>
      </c>
    </row>
    <row r="159" spans="1:20">
      <c r="A159" s="5">
        <v>103659</v>
      </c>
      <c r="B159" s="5" t="s">
        <v>10</v>
      </c>
      <c r="C159" s="5" t="s">
        <v>11</v>
      </c>
      <c r="D159" s="5" t="s">
        <v>32</v>
      </c>
      <c r="E159" s="5" t="s">
        <v>13</v>
      </c>
      <c r="F159" s="5" t="s">
        <v>14</v>
      </c>
      <c r="G159" s="5" t="s">
        <v>15</v>
      </c>
      <c r="H159" s="5">
        <v>162588</v>
      </c>
      <c r="I159" s="5">
        <v>1874</v>
      </c>
      <c r="J159" s="6">
        <f t="shared" si="2"/>
        <v>160714</v>
      </c>
    </row>
    <row r="160" spans="1:20">
      <c r="A160" s="5">
        <v>241528</v>
      </c>
      <c r="B160" s="5" t="s">
        <v>16</v>
      </c>
      <c r="C160" s="5" t="s">
        <v>25</v>
      </c>
      <c r="D160" s="5" t="s">
        <v>36</v>
      </c>
      <c r="E160" s="5" t="s">
        <v>19</v>
      </c>
      <c r="F160" s="5" t="s">
        <v>28</v>
      </c>
      <c r="G160" s="5" t="s">
        <v>24</v>
      </c>
      <c r="H160" s="5">
        <v>19823</v>
      </c>
      <c r="I160" s="5">
        <v>0</v>
      </c>
      <c r="J160" s="6">
        <f t="shared" si="2"/>
        <v>19823</v>
      </c>
    </row>
    <row r="161" spans="1:10">
      <c r="A161" s="5">
        <v>113419</v>
      </c>
      <c r="B161" s="5" t="s">
        <v>16</v>
      </c>
      <c r="C161" s="5" t="s">
        <v>22</v>
      </c>
      <c r="D161" s="5" t="s">
        <v>33</v>
      </c>
      <c r="E161" s="5" t="s">
        <v>19</v>
      </c>
      <c r="F161" s="5" t="s">
        <v>14</v>
      </c>
      <c r="G161" s="5" t="s">
        <v>24</v>
      </c>
      <c r="H161" s="5">
        <v>53957</v>
      </c>
      <c r="I161" s="5">
        <v>896</v>
      </c>
      <c r="J161" s="6">
        <f t="shared" si="2"/>
        <v>53061</v>
      </c>
    </row>
    <row r="162" spans="1:10">
      <c r="A162" s="5">
        <v>10357</v>
      </c>
      <c r="B162" s="5" t="s">
        <v>10</v>
      </c>
      <c r="C162" s="5" t="s">
        <v>11</v>
      </c>
      <c r="D162" s="5" t="s">
        <v>23</v>
      </c>
      <c r="E162" s="5" t="s">
        <v>19</v>
      </c>
      <c r="F162" s="5" t="s">
        <v>14</v>
      </c>
      <c r="G162" s="5" t="s">
        <v>15</v>
      </c>
      <c r="H162" s="5">
        <v>81088</v>
      </c>
      <c r="I162" s="5">
        <v>1995</v>
      </c>
      <c r="J162" s="6">
        <f t="shared" si="2"/>
        <v>79093</v>
      </c>
    </row>
    <row r="163" spans="1:10">
      <c r="A163" s="5">
        <v>158471</v>
      </c>
      <c r="B163" s="5" t="s">
        <v>10</v>
      </c>
      <c r="C163" s="5" t="s">
        <v>22</v>
      </c>
      <c r="D163" s="5" t="s">
        <v>32</v>
      </c>
      <c r="E163" s="5" t="s">
        <v>19</v>
      </c>
      <c r="F163" s="5" t="s">
        <v>14</v>
      </c>
      <c r="G163" s="5" t="s">
        <v>24</v>
      </c>
      <c r="H163" s="5">
        <v>21138</v>
      </c>
      <c r="I163" s="5">
        <v>0</v>
      </c>
      <c r="J163" s="6">
        <f t="shared" si="2"/>
        <v>21138</v>
      </c>
    </row>
    <row r="164" spans="1:10">
      <c r="A164" s="5">
        <v>220027</v>
      </c>
      <c r="B164" s="5" t="s">
        <v>10</v>
      </c>
      <c r="C164" s="5" t="s">
        <v>11</v>
      </c>
      <c r="D164" s="5" t="s">
        <v>32</v>
      </c>
      <c r="E164" s="5" t="s">
        <v>19</v>
      </c>
      <c r="F164" s="5" t="s">
        <v>14</v>
      </c>
      <c r="G164" s="5" t="s">
        <v>24</v>
      </c>
      <c r="H164" s="5">
        <v>130660</v>
      </c>
      <c r="I164" s="5">
        <v>1452</v>
      </c>
      <c r="J164" s="6">
        <f t="shared" si="2"/>
        <v>129208</v>
      </c>
    </row>
    <row r="165" spans="1:10">
      <c r="A165" s="5">
        <v>36718</v>
      </c>
      <c r="B165" s="5" t="s">
        <v>16</v>
      </c>
      <c r="C165" s="5" t="s">
        <v>35</v>
      </c>
      <c r="D165" s="5" t="s">
        <v>36</v>
      </c>
      <c r="E165" s="5" t="s">
        <v>19</v>
      </c>
      <c r="F165" s="5" t="s">
        <v>14</v>
      </c>
      <c r="G165" s="5" t="s">
        <v>24</v>
      </c>
      <c r="H165" s="5">
        <v>71502</v>
      </c>
      <c r="I165" s="5">
        <v>312</v>
      </c>
      <c r="J165" s="6">
        <f t="shared" si="2"/>
        <v>71190</v>
      </c>
    </row>
    <row r="166" spans="1:10">
      <c r="A166" s="5">
        <v>84392</v>
      </c>
      <c r="B166" s="5" t="s">
        <v>10</v>
      </c>
      <c r="C166" s="5" t="s">
        <v>34</v>
      </c>
      <c r="D166" s="5" t="s">
        <v>12</v>
      </c>
      <c r="E166" s="5" t="s">
        <v>13</v>
      </c>
      <c r="F166" s="5" t="s">
        <v>28</v>
      </c>
      <c r="G166" s="5" t="s">
        <v>24</v>
      </c>
      <c r="H166" s="5">
        <v>83643</v>
      </c>
      <c r="I166" s="5">
        <v>2200</v>
      </c>
      <c r="J166" s="6">
        <f t="shared" si="2"/>
        <v>81443</v>
      </c>
    </row>
    <row r="167" spans="1:10">
      <c r="A167" s="5">
        <v>164984</v>
      </c>
      <c r="B167" s="5" t="s">
        <v>10</v>
      </c>
      <c r="C167" s="5" t="s">
        <v>17</v>
      </c>
      <c r="D167" s="5" t="s">
        <v>26</v>
      </c>
      <c r="E167" s="5" t="s">
        <v>19</v>
      </c>
      <c r="F167" s="5" t="s">
        <v>14</v>
      </c>
      <c r="G167" s="5" t="s">
        <v>24</v>
      </c>
      <c r="H167" s="5">
        <v>70284</v>
      </c>
      <c r="I167" s="5">
        <v>320</v>
      </c>
      <c r="J167" s="6">
        <f t="shared" si="2"/>
        <v>69964</v>
      </c>
    </row>
    <row r="168" spans="1:10">
      <c r="A168" s="5">
        <v>15121</v>
      </c>
      <c r="B168" s="5" t="s">
        <v>10</v>
      </c>
      <c r="C168" s="5" t="s">
        <v>34</v>
      </c>
      <c r="D168" s="5" t="s">
        <v>26</v>
      </c>
      <c r="E168" s="5" t="s">
        <v>19</v>
      </c>
      <c r="F168" s="5" t="s">
        <v>14</v>
      </c>
      <c r="G168" s="5" t="s">
        <v>24</v>
      </c>
      <c r="H168" s="5">
        <v>74516</v>
      </c>
      <c r="I168" s="5">
        <v>4620</v>
      </c>
      <c r="J168" s="6">
        <f t="shared" si="2"/>
        <v>69896</v>
      </c>
    </row>
    <row r="169" spans="1:10">
      <c r="A169" s="5">
        <v>246468</v>
      </c>
      <c r="B169" s="5" t="s">
        <v>10</v>
      </c>
      <c r="C169" s="5" t="s">
        <v>11</v>
      </c>
      <c r="D169" s="5" t="s">
        <v>12</v>
      </c>
      <c r="E169" s="5" t="s">
        <v>13</v>
      </c>
      <c r="F169" s="5" t="s">
        <v>14</v>
      </c>
      <c r="G169" s="5" t="s">
        <v>24</v>
      </c>
      <c r="H169" s="5">
        <v>100363</v>
      </c>
      <c r="I169" s="5">
        <v>772</v>
      </c>
      <c r="J169" s="6">
        <f t="shared" si="2"/>
        <v>99591</v>
      </c>
    </row>
    <row r="170" spans="1:10">
      <c r="A170" s="5">
        <v>25227</v>
      </c>
      <c r="B170" s="5" t="s">
        <v>10</v>
      </c>
      <c r="C170" s="5" t="s">
        <v>35</v>
      </c>
      <c r="D170" s="5" t="s">
        <v>23</v>
      </c>
      <c r="E170" s="5" t="s">
        <v>13</v>
      </c>
      <c r="F170" s="5" t="s">
        <v>14</v>
      </c>
      <c r="G170" s="5" t="s">
        <v>15</v>
      </c>
      <c r="H170" s="5">
        <v>81360</v>
      </c>
      <c r="I170" s="5">
        <v>2869</v>
      </c>
      <c r="J170" s="6">
        <f t="shared" si="2"/>
        <v>78491</v>
      </c>
    </row>
    <row r="171" spans="1:10">
      <c r="A171" s="5">
        <v>83444</v>
      </c>
      <c r="B171" s="5" t="s">
        <v>16</v>
      </c>
      <c r="C171" s="5" t="s">
        <v>34</v>
      </c>
      <c r="D171" s="5" t="s">
        <v>32</v>
      </c>
      <c r="E171" s="5" t="s">
        <v>13</v>
      </c>
      <c r="F171" s="5" t="s">
        <v>14</v>
      </c>
      <c r="G171" s="5" t="s">
        <v>24</v>
      </c>
      <c r="H171" s="5">
        <v>868</v>
      </c>
      <c r="I171" s="5">
        <v>0</v>
      </c>
      <c r="J171" s="6">
        <f t="shared" si="2"/>
        <v>868</v>
      </c>
    </row>
    <row r="172" spans="1:10">
      <c r="A172" s="5">
        <v>12174</v>
      </c>
      <c r="B172" s="5" t="s">
        <v>10</v>
      </c>
      <c r="C172" s="5" t="s">
        <v>34</v>
      </c>
      <c r="D172" s="5" t="s">
        <v>29</v>
      </c>
      <c r="E172" s="5" t="s">
        <v>19</v>
      </c>
      <c r="F172" s="5" t="s">
        <v>14</v>
      </c>
      <c r="G172" s="5" t="s">
        <v>15</v>
      </c>
      <c r="H172" s="5">
        <v>105632</v>
      </c>
      <c r="I172" s="5">
        <v>703</v>
      </c>
      <c r="J172" s="6">
        <f t="shared" si="2"/>
        <v>104929</v>
      </c>
    </row>
    <row r="173" spans="1:10">
      <c r="A173" s="5">
        <v>108698</v>
      </c>
      <c r="B173" s="5" t="s">
        <v>10</v>
      </c>
      <c r="C173" s="5" t="s">
        <v>39</v>
      </c>
      <c r="D173" s="5" t="s">
        <v>23</v>
      </c>
      <c r="E173" s="5" t="s">
        <v>13</v>
      </c>
      <c r="F173" s="5" t="s">
        <v>14</v>
      </c>
      <c r="G173" s="5" t="s">
        <v>24</v>
      </c>
      <c r="H173" s="5">
        <v>81081</v>
      </c>
      <c r="I173" s="5">
        <v>5429</v>
      </c>
      <c r="J173" s="6">
        <f t="shared" si="2"/>
        <v>75652</v>
      </c>
    </row>
    <row r="174" spans="1:10">
      <c r="A174" s="5">
        <v>91254</v>
      </c>
      <c r="B174" s="5" t="s">
        <v>10</v>
      </c>
      <c r="C174" s="5" t="s">
        <v>20</v>
      </c>
      <c r="D174" s="5" t="s">
        <v>32</v>
      </c>
      <c r="E174" s="5" t="s">
        <v>13</v>
      </c>
      <c r="F174" s="5" t="s">
        <v>28</v>
      </c>
      <c r="G174" s="5" t="s">
        <v>15</v>
      </c>
      <c r="H174" s="5">
        <v>39656</v>
      </c>
      <c r="I174" s="5">
        <v>3692</v>
      </c>
      <c r="J174" s="6">
        <f t="shared" si="2"/>
        <v>35964</v>
      </c>
    </row>
    <row r="175" spans="1:10">
      <c r="A175" s="5">
        <v>27822</v>
      </c>
      <c r="B175" s="5" t="s">
        <v>16</v>
      </c>
      <c r="C175" s="5" t="s">
        <v>11</v>
      </c>
      <c r="D175" s="5" t="s">
        <v>30</v>
      </c>
      <c r="E175" s="5" t="s">
        <v>13</v>
      </c>
      <c r="F175" s="5" t="s">
        <v>14</v>
      </c>
      <c r="G175" s="5" t="s">
        <v>15</v>
      </c>
      <c r="H175" s="5">
        <v>65452</v>
      </c>
      <c r="I175" s="5">
        <v>2248</v>
      </c>
      <c r="J175" s="6">
        <f t="shared" si="2"/>
        <v>63204</v>
      </c>
    </row>
    <row r="176" spans="1:10">
      <c r="A176" s="5">
        <v>191118</v>
      </c>
      <c r="B176" s="5" t="s">
        <v>10</v>
      </c>
      <c r="C176" s="5" t="s">
        <v>38</v>
      </c>
      <c r="D176" s="5" t="s">
        <v>30</v>
      </c>
      <c r="E176" s="5" t="s">
        <v>13</v>
      </c>
      <c r="F176" s="5" t="s">
        <v>28</v>
      </c>
      <c r="G176" s="5" t="s">
        <v>24</v>
      </c>
      <c r="H176" s="5">
        <v>123215</v>
      </c>
      <c r="I176" s="5">
        <v>1695</v>
      </c>
      <c r="J176" s="6">
        <f t="shared" si="2"/>
        <v>121520</v>
      </c>
    </row>
    <row r="177" spans="1:10">
      <c r="A177" s="5">
        <v>201925</v>
      </c>
      <c r="B177" s="5" t="s">
        <v>10</v>
      </c>
      <c r="C177" s="5" t="s">
        <v>38</v>
      </c>
      <c r="D177" s="5" t="s">
        <v>32</v>
      </c>
      <c r="E177" s="5" t="s">
        <v>19</v>
      </c>
      <c r="F177" s="5" t="s">
        <v>14</v>
      </c>
      <c r="G177" s="5" t="s">
        <v>24</v>
      </c>
      <c r="H177" s="5">
        <v>60741</v>
      </c>
      <c r="I177" s="5">
        <v>148</v>
      </c>
      <c r="J177" s="6">
        <f t="shared" si="2"/>
        <v>60593</v>
      </c>
    </row>
    <row r="178" spans="1:10">
      <c r="A178" s="5">
        <v>92139</v>
      </c>
      <c r="B178" s="5" t="s">
        <v>10</v>
      </c>
      <c r="C178" s="5" t="s">
        <v>34</v>
      </c>
      <c r="D178" s="5" t="s">
        <v>23</v>
      </c>
      <c r="E178" s="5" t="s">
        <v>13</v>
      </c>
      <c r="F178" s="5" t="s">
        <v>14</v>
      </c>
      <c r="G178" s="5" t="s">
        <v>15</v>
      </c>
      <c r="H178" s="5">
        <v>204950</v>
      </c>
      <c r="I178" s="5">
        <v>1470</v>
      </c>
      <c r="J178" s="6">
        <f t="shared" si="2"/>
        <v>203480</v>
      </c>
    </row>
    <row r="179" spans="1:10">
      <c r="A179" s="5">
        <v>50675</v>
      </c>
      <c r="B179" s="5" t="s">
        <v>10</v>
      </c>
      <c r="C179" s="5" t="s">
        <v>35</v>
      </c>
      <c r="D179" s="5" t="s">
        <v>26</v>
      </c>
      <c r="E179" s="5" t="s">
        <v>19</v>
      </c>
      <c r="F179" s="5" t="s">
        <v>28</v>
      </c>
      <c r="G179" s="5" t="s">
        <v>24</v>
      </c>
      <c r="H179" s="5">
        <v>14683</v>
      </c>
      <c r="I179" s="5">
        <v>0</v>
      </c>
      <c r="J179" s="6">
        <f t="shared" si="2"/>
        <v>14683</v>
      </c>
    </row>
    <row r="180" spans="1:10">
      <c r="A180" s="5">
        <v>38261</v>
      </c>
      <c r="B180" s="5" t="s">
        <v>16</v>
      </c>
      <c r="C180" s="5" t="s">
        <v>35</v>
      </c>
      <c r="D180" s="5" t="s">
        <v>36</v>
      </c>
      <c r="E180" s="5" t="s">
        <v>13</v>
      </c>
      <c r="F180" s="5" t="s">
        <v>14</v>
      </c>
      <c r="G180" s="5" t="s">
        <v>15</v>
      </c>
      <c r="H180" s="5">
        <v>37616</v>
      </c>
      <c r="I180" s="5">
        <v>368</v>
      </c>
      <c r="J180" s="6">
        <f t="shared" si="2"/>
        <v>37248</v>
      </c>
    </row>
    <row r="181" spans="1:10">
      <c r="A181" s="5">
        <v>51149</v>
      </c>
      <c r="B181" s="5" t="s">
        <v>10</v>
      </c>
      <c r="C181" s="5" t="s">
        <v>35</v>
      </c>
      <c r="D181" s="5" t="s">
        <v>26</v>
      </c>
      <c r="E181" s="5" t="s">
        <v>19</v>
      </c>
      <c r="F181" s="5" t="s">
        <v>14</v>
      </c>
      <c r="G181" s="5" t="s">
        <v>24</v>
      </c>
      <c r="H181" s="5">
        <v>34270</v>
      </c>
      <c r="I181" s="5">
        <v>309</v>
      </c>
      <c r="J181" s="6">
        <f t="shared" si="2"/>
        <v>33961</v>
      </c>
    </row>
    <row r="182" spans="1:10">
      <c r="A182" s="5">
        <v>60699</v>
      </c>
      <c r="B182" s="5" t="s">
        <v>16</v>
      </c>
      <c r="C182" s="5" t="s">
        <v>20</v>
      </c>
      <c r="D182" s="5" t="s">
        <v>32</v>
      </c>
      <c r="E182" s="5" t="s">
        <v>13</v>
      </c>
      <c r="F182" s="5" t="s">
        <v>14</v>
      </c>
      <c r="G182" s="5" t="s">
        <v>15</v>
      </c>
      <c r="H182" s="5">
        <v>17057</v>
      </c>
      <c r="I182" s="5">
        <v>1881</v>
      </c>
      <c r="J182" s="6">
        <f t="shared" si="2"/>
        <v>15176</v>
      </c>
    </row>
    <row r="183" spans="1:10">
      <c r="A183" s="5">
        <v>92612</v>
      </c>
      <c r="B183" s="5" t="s">
        <v>16</v>
      </c>
      <c r="C183" s="5" t="s">
        <v>39</v>
      </c>
      <c r="D183" s="5" t="s">
        <v>33</v>
      </c>
      <c r="E183" s="5" t="s">
        <v>19</v>
      </c>
      <c r="F183" s="5" t="s">
        <v>14</v>
      </c>
      <c r="G183" s="5" t="s">
        <v>15</v>
      </c>
      <c r="H183" s="5">
        <v>65677</v>
      </c>
      <c r="I183" s="5">
        <v>592</v>
      </c>
      <c r="J183" s="6">
        <f t="shared" si="2"/>
        <v>65085</v>
      </c>
    </row>
    <row r="184" spans="1:10">
      <c r="A184" s="5">
        <v>166867</v>
      </c>
      <c r="B184" s="5" t="s">
        <v>16</v>
      </c>
      <c r="C184" s="5" t="s">
        <v>22</v>
      </c>
      <c r="D184" s="5" t="s">
        <v>30</v>
      </c>
      <c r="E184" s="5" t="s">
        <v>13</v>
      </c>
      <c r="F184" s="5" t="s">
        <v>28</v>
      </c>
      <c r="G184" s="5" t="s">
        <v>15</v>
      </c>
      <c r="H184" s="5">
        <v>84287</v>
      </c>
      <c r="I184" s="5">
        <v>0</v>
      </c>
      <c r="J184" s="6">
        <f t="shared" si="2"/>
        <v>84287</v>
      </c>
    </row>
    <row r="185" spans="1:10">
      <c r="A185" s="5">
        <v>75483</v>
      </c>
      <c r="B185" s="5" t="s">
        <v>10</v>
      </c>
      <c r="C185" s="5" t="s">
        <v>35</v>
      </c>
      <c r="D185" s="5" t="s">
        <v>32</v>
      </c>
      <c r="E185" s="5" t="s">
        <v>19</v>
      </c>
      <c r="F185" s="5" t="s">
        <v>14</v>
      </c>
      <c r="G185" s="5" t="s">
        <v>24</v>
      </c>
      <c r="H185" s="5">
        <v>56512</v>
      </c>
      <c r="I185" s="5">
        <v>0</v>
      </c>
      <c r="J185" s="6">
        <f t="shared" si="2"/>
        <v>56512</v>
      </c>
    </row>
    <row r="186" spans="1:10">
      <c r="A186" s="5">
        <v>123928</v>
      </c>
      <c r="B186" s="5" t="s">
        <v>16</v>
      </c>
      <c r="C186" s="5" t="s">
        <v>25</v>
      </c>
      <c r="D186" s="5" t="s">
        <v>33</v>
      </c>
      <c r="E186" s="5" t="s">
        <v>19</v>
      </c>
      <c r="F186" s="5" t="s">
        <v>28</v>
      </c>
      <c r="G186" s="5" t="s">
        <v>15</v>
      </c>
      <c r="H186" s="5">
        <v>64006</v>
      </c>
      <c r="I186" s="5">
        <v>494</v>
      </c>
      <c r="J186" s="6">
        <f t="shared" si="2"/>
        <v>63512</v>
      </c>
    </row>
    <row r="187" spans="1:10">
      <c r="A187" s="5">
        <v>161550</v>
      </c>
      <c r="B187" s="5" t="s">
        <v>16</v>
      </c>
      <c r="C187" s="5" t="s">
        <v>25</v>
      </c>
      <c r="D187" s="5" t="s">
        <v>21</v>
      </c>
      <c r="E187" s="5" t="s">
        <v>19</v>
      </c>
      <c r="F187" s="5" t="s">
        <v>28</v>
      </c>
      <c r="G187" s="5" t="s">
        <v>15</v>
      </c>
      <c r="H187" s="5">
        <v>65714</v>
      </c>
      <c r="I187" s="5">
        <v>536</v>
      </c>
      <c r="J187" s="6">
        <f t="shared" si="2"/>
        <v>65178</v>
      </c>
    </row>
    <row r="188" spans="1:10">
      <c r="A188" s="5">
        <v>124344</v>
      </c>
      <c r="B188" s="5" t="s">
        <v>10</v>
      </c>
      <c r="C188" s="5" t="s">
        <v>35</v>
      </c>
      <c r="D188" s="5" t="s">
        <v>23</v>
      </c>
      <c r="E188" s="5" t="s">
        <v>13</v>
      </c>
      <c r="F188" s="5" t="s">
        <v>14</v>
      </c>
      <c r="G188" s="5" t="s">
        <v>24</v>
      </c>
      <c r="H188" s="5">
        <v>99883</v>
      </c>
      <c r="I188" s="5">
        <v>10904</v>
      </c>
      <c r="J188" s="6">
        <f t="shared" si="2"/>
        <v>88979</v>
      </c>
    </row>
    <row r="189" spans="1:10">
      <c r="A189" s="5">
        <v>198744</v>
      </c>
      <c r="B189" s="5" t="s">
        <v>10</v>
      </c>
      <c r="C189" s="5" t="s">
        <v>34</v>
      </c>
      <c r="D189" s="5" t="s">
        <v>12</v>
      </c>
      <c r="E189" s="5" t="s">
        <v>13</v>
      </c>
      <c r="F189" s="5" t="s">
        <v>14</v>
      </c>
      <c r="G189" s="5" t="s">
        <v>15</v>
      </c>
      <c r="H189" s="5">
        <v>57610</v>
      </c>
      <c r="I189" s="5">
        <v>465</v>
      </c>
      <c r="J189" s="6">
        <f t="shared" si="2"/>
        <v>57145</v>
      </c>
    </row>
    <row r="190" spans="1:10">
      <c r="A190" s="5">
        <v>181624</v>
      </c>
      <c r="B190" s="5" t="s">
        <v>16</v>
      </c>
      <c r="C190" s="5" t="s">
        <v>34</v>
      </c>
      <c r="D190" s="5" t="s">
        <v>18</v>
      </c>
      <c r="E190" s="5" t="s">
        <v>13</v>
      </c>
      <c r="F190" s="5" t="s">
        <v>14</v>
      </c>
      <c r="G190" s="5" t="s">
        <v>15</v>
      </c>
      <c r="H190" s="5">
        <v>40743</v>
      </c>
      <c r="I190" s="5">
        <v>151</v>
      </c>
      <c r="J190" s="6">
        <f t="shared" si="2"/>
        <v>40592</v>
      </c>
    </row>
    <row r="191" spans="1:10">
      <c r="A191" s="5">
        <v>25026</v>
      </c>
      <c r="B191" s="5" t="s">
        <v>16</v>
      </c>
      <c r="C191" s="5" t="s">
        <v>11</v>
      </c>
      <c r="D191" s="5" t="s">
        <v>12</v>
      </c>
      <c r="E191" s="5" t="s">
        <v>19</v>
      </c>
      <c r="F191" s="5" t="s">
        <v>14</v>
      </c>
      <c r="G191" s="5" t="s">
        <v>15</v>
      </c>
      <c r="H191" s="5">
        <v>87091</v>
      </c>
      <c r="I191" s="5">
        <v>2691</v>
      </c>
      <c r="J191" s="6">
        <f t="shared" si="2"/>
        <v>84400</v>
      </c>
    </row>
    <row r="192" spans="1:10">
      <c r="A192" s="5">
        <v>54112</v>
      </c>
      <c r="B192" s="5" t="s">
        <v>16</v>
      </c>
      <c r="C192" s="5" t="s">
        <v>22</v>
      </c>
      <c r="D192" s="5" t="s">
        <v>12</v>
      </c>
      <c r="E192" s="5" t="s">
        <v>19</v>
      </c>
      <c r="F192" s="5" t="s">
        <v>14</v>
      </c>
      <c r="G192" s="5" t="s">
        <v>15</v>
      </c>
      <c r="H192" s="5">
        <v>151829</v>
      </c>
      <c r="I192" s="5">
        <v>7641</v>
      </c>
      <c r="J192" s="6">
        <f t="shared" si="2"/>
        <v>144188</v>
      </c>
    </row>
    <row r="193" spans="1:10">
      <c r="A193" s="5">
        <v>101283</v>
      </c>
      <c r="B193" s="5" t="s">
        <v>16</v>
      </c>
      <c r="C193" s="5" t="s">
        <v>34</v>
      </c>
      <c r="D193" s="5" t="s">
        <v>30</v>
      </c>
      <c r="E193" s="5" t="s">
        <v>13</v>
      </c>
      <c r="F193" s="5" t="s">
        <v>28</v>
      </c>
      <c r="G193" s="5" t="s">
        <v>24</v>
      </c>
      <c r="H193" s="5">
        <v>36104</v>
      </c>
      <c r="I193" s="5">
        <v>2838</v>
      </c>
      <c r="J193" s="6">
        <f t="shared" si="2"/>
        <v>33266</v>
      </c>
    </row>
    <row r="194" spans="1:10">
      <c r="A194" s="5">
        <v>68346</v>
      </c>
      <c r="B194" s="5" t="s">
        <v>10</v>
      </c>
      <c r="C194" s="5" t="s">
        <v>27</v>
      </c>
      <c r="D194" s="5" t="s">
        <v>26</v>
      </c>
      <c r="E194" s="5" t="s">
        <v>13</v>
      </c>
      <c r="F194" s="5" t="s">
        <v>28</v>
      </c>
      <c r="G194" s="5" t="s">
        <v>24</v>
      </c>
      <c r="H194" s="5">
        <v>41335</v>
      </c>
      <c r="I194" s="5">
        <v>325</v>
      </c>
      <c r="J194" s="6">
        <f t="shared" ref="J194:J257" si="3">H194-I194</f>
        <v>41010</v>
      </c>
    </row>
    <row r="195" spans="1:10">
      <c r="A195" s="5">
        <v>23797</v>
      </c>
      <c r="B195" s="5" t="s">
        <v>16</v>
      </c>
      <c r="C195" s="5" t="s">
        <v>11</v>
      </c>
      <c r="D195" s="5" t="s">
        <v>33</v>
      </c>
      <c r="E195" s="5" t="s">
        <v>19</v>
      </c>
      <c r="F195" s="5" t="s">
        <v>14</v>
      </c>
      <c r="G195" s="5" t="s">
        <v>24</v>
      </c>
      <c r="H195" s="5">
        <v>27462</v>
      </c>
      <c r="I195" s="5">
        <v>433</v>
      </c>
      <c r="J195" s="6">
        <f t="shared" si="3"/>
        <v>27029</v>
      </c>
    </row>
    <row r="196" spans="1:10">
      <c r="A196" s="5">
        <v>174356</v>
      </c>
      <c r="B196" s="5" t="s">
        <v>16</v>
      </c>
      <c r="C196" s="5" t="s">
        <v>34</v>
      </c>
      <c r="D196" s="5" t="s">
        <v>32</v>
      </c>
      <c r="E196" s="5" t="s">
        <v>19</v>
      </c>
      <c r="F196" s="5" t="s">
        <v>14</v>
      </c>
      <c r="G196" s="5" t="s">
        <v>24</v>
      </c>
      <c r="H196" s="5">
        <v>20258</v>
      </c>
      <c r="I196" s="5">
        <v>0</v>
      </c>
      <c r="J196" s="6">
        <f t="shared" si="3"/>
        <v>20258</v>
      </c>
    </row>
    <row r="197" spans="1:10">
      <c r="A197" s="5">
        <v>158404</v>
      </c>
      <c r="B197" s="5" t="s">
        <v>16</v>
      </c>
      <c r="C197" s="5" t="s">
        <v>27</v>
      </c>
      <c r="D197" s="5" t="s">
        <v>29</v>
      </c>
      <c r="E197" s="5" t="s">
        <v>13</v>
      </c>
      <c r="F197" s="5" t="s">
        <v>14</v>
      </c>
      <c r="G197" s="5" t="s">
        <v>24</v>
      </c>
      <c r="H197" s="5">
        <v>63833</v>
      </c>
      <c r="I197" s="5">
        <v>1014</v>
      </c>
      <c r="J197" s="6">
        <f t="shared" si="3"/>
        <v>62819</v>
      </c>
    </row>
    <row r="198" spans="1:10">
      <c r="A198" s="5">
        <v>215374</v>
      </c>
      <c r="B198" s="5" t="s">
        <v>10</v>
      </c>
      <c r="C198" s="5" t="s">
        <v>39</v>
      </c>
      <c r="D198" s="5" t="s">
        <v>32</v>
      </c>
      <c r="E198" s="5" t="s">
        <v>13</v>
      </c>
      <c r="F198" s="5" t="s">
        <v>14</v>
      </c>
      <c r="G198" s="5" t="s">
        <v>15</v>
      </c>
      <c r="H198" s="5">
        <v>15211</v>
      </c>
      <c r="I198" s="5">
        <v>0</v>
      </c>
      <c r="J198" s="6">
        <f t="shared" si="3"/>
        <v>15211</v>
      </c>
    </row>
    <row r="199" spans="1:10">
      <c r="A199" s="5">
        <v>90368</v>
      </c>
      <c r="B199" s="5" t="s">
        <v>10</v>
      </c>
      <c r="C199" s="5" t="s">
        <v>38</v>
      </c>
      <c r="D199" s="5" t="s">
        <v>30</v>
      </c>
      <c r="E199" s="5" t="s">
        <v>13</v>
      </c>
      <c r="F199" s="5" t="s">
        <v>28</v>
      </c>
      <c r="G199" s="5" t="s">
        <v>24</v>
      </c>
      <c r="H199" s="5">
        <v>23959</v>
      </c>
      <c r="I199" s="5">
        <v>875</v>
      </c>
      <c r="J199" s="6">
        <f t="shared" si="3"/>
        <v>23084</v>
      </c>
    </row>
    <row r="200" spans="1:10">
      <c r="A200" s="5">
        <v>96521</v>
      </c>
      <c r="B200" s="5" t="s">
        <v>16</v>
      </c>
      <c r="C200" s="5" t="s">
        <v>20</v>
      </c>
      <c r="D200" s="5" t="s">
        <v>32</v>
      </c>
      <c r="E200" s="5" t="s">
        <v>13</v>
      </c>
      <c r="F200" s="5" t="s">
        <v>28</v>
      </c>
      <c r="G200" s="5" t="s">
        <v>15</v>
      </c>
      <c r="H200" s="5">
        <v>32345</v>
      </c>
      <c r="I200" s="5">
        <v>3093</v>
      </c>
      <c r="J200" s="6">
        <f t="shared" si="3"/>
        <v>29252</v>
      </c>
    </row>
    <row r="201" spans="1:10">
      <c r="A201" s="5">
        <v>141908</v>
      </c>
      <c r="B201" s="5" t="s">
        <v>16</v>
      </c>
      <c r="C201" s="5" t="s">
        <v>25</v>
      </c>
      <c r="D201" s="5" t="s">
        <v>18</v>
      </c>
      <c r="E201" s="5" t="s">
        <v>19</v>
      </c>
      <c r="F201" s="5" t="s">
        <v>14</v>
      </c>
      <c r="G201" s="5" t="s">
        <v>24</v>
      </c>
      <c r="H201" s="5">
        <v>21540</v>
      </c>
      <c r="I201" s="5">
        <v>237</v>
      </c>
      <c r="J201" s="6">
        <f t="shared" si="3"/>
        <v>21303</v>
      </c>
    </row>
    <row r="202" spans="1:10">
      <c r="A202" s="5">
        <v>197070</v>
      </c>
      <c r="B202" s="5" t="s">
        <v>10</v>
      </c>
      <c r="C202" s="5" t="s">
        <v>35</v>
      </c>
      <c r="D202" s="5" t="s">
        <v>23</v>
      </c>
      <c r="E202" s="5" t="s">
        <v>13</v>
      </c>
      <c r="F202" s="5" t="s">
        <v>14</v>
      </c>
      <c r="G202" s="5" t="s">
        <v>15</v>
      </c>
      <c r="H202" s="5">
        <v>67726</v>
      </c>
      <c r="I202" s="5">
        <v>3212</v>
      </c>
      <c r="J202" s="6">
        <f t="shared" si="3"/>
        <v>64514</v>
      </c>
    </row>
    <row r="203" spans="1:10">
      <c r="A203" s="5">
        <v>148606</v>
      </c>
      <c r="B203" s="5" t="s">
        <v>10</v>
      </c>
      <c r="C203" s="5" t="s">
        <v>31</v>
      </c>
      <c r="D203" s="5" t="s">
        <v>18</v>
      </c>
      <c r="E203" s="5" t="s">
        <v>19</v>
      </c>
      <c r="F203" s="5" t="s">
        <v>14</v>
      </c>
      <c r="G203" s="5" t="s">
        <v>24</v>
      </c>
      <c r="H203" s="5">
        <v>8948</v>
      </c>
      <c r="I203" s="5">
        <v>205</v>
      </c>
      <c r="J203" s="6">
        <f t="shared" si="3"/>
        <v>8743</v>
      </c>
    </row>
    <row r="204" spans="1:10">
      <c r="A204" s="5">
        <v>230492</v>
      </c>
      <c r="B204" s="5" t="s">
        <v>10</v>
      </c>
      <c r="C204" s="5" t="s">
        <v>22</v>
      </c>
      <c r="D204" s="5" t="s">
        <v>23</v>
      </c>
      <c r="E204" s="5" t="s">
        <v>13</v>
      </c>
      <c r="F204" s="5" t="s">
        <v>14</v>
      </c>
      <c r="G204" s="5" t="s">
        <v>24</v>
      </c>
      <c r="H204" s="5">
        <v>44467</v>
      </c>
      <c r="I204" s="5">
        <v>4635</v>
      </c>
      <c r="J204" s="6">
        <f t="shared" si="3"/>
        <v>39832</v>
      </c>
    </row>
    <row r="205" spans="1:10">
      <c r="A205" s="5">
        <v>69938</v>
      </c>
      <c r="B205" s="5" t="s">
        <v>16</v>
      </c>
      <c r="C205" s="5" t="s">
        <v>22</v>
      </c>
      <c r="D205" s="5" t="s">
        <v>30</v>
      </c>
      <c r="E205" s="5" t="s">
        <v>13</v>
      </c>
      <c r="F205" s="5" t="s">
        <v>28</v>
      </c>
      <c r="G205" s="5" t="s">
        <v>15</v>
      </c>
      <c r="H205" s="5">
        <v>121177</v>
      </c>
      <c r="I205" s="5">
        <v>2529</v>
      </c>
      <c r="J205" s="6">
        <f t="shared" si="3"/>
        <v>118648</v>
      </c>
    </row>
    <row r="206" spans="1:10">
      <c r="A206" s="5">
        <v>118908</v>
      </c>
      <c r="B206" s="5" t="s">
        <v>10</v>
      </c>
      <c r="C206" s="5" t="s">
        <v>27</v>
      </c>
      <c r="D206" s="5" t="s">
        <v>12</v>
      </c>
      <c r="E206" s="5" t="s">
        <v>13</v>
      </c>
      <c r="F206" s="5" t="s">
        <v>14</v>
      </c>
      <c r="G206" s="5" t="s">
        <v>15</v>
      </c>
      <c r="H206" s="5">
        <v>73607</v>
      </c>
      <c r="I206" s="5">
        <v>4883</v>
      </c>
      <c r="J206" s="6">
        <f t="shared" si="3"/>
        <v>68724</v>
      </c>
    </row>
    <row r="207" spans="1:10">
      <c r="A207" s="5">
        <v>97908</v>
      </c>
      <c r="B207" s="5" t="s">
        <v>16</v>
      </c>
      <c r="C207" s="5" t="s">
        <v>34</v>
      </c>
      <c r="D207" s="5" t="s">
        <v>26</v>
      </c>
      <c r="E207" s="5" t="s">
        <v>13</v>
      </c>
      <c r="F207" s="5" t="s">
        <v>14</v>
      </c>
      <c r="G207" s="5" t="s">
        <v>24</v>
      </c>
      <c r="H207" s="5">
        <v>42603</v>
      </c>
      <c r="I207" s="5">
        <v>1519</v>
      </c>
      <c r="J207" s="6">
        <f t="shared" si="3"/>
        <v>41084</v>
      </c>
    </row>
    <row r="208" spans="1:10">
      <c r="A208" s="5">
        <v>64352</v>
      </c>
      <c r="B208" s="5" t="s">
        <v>10</v>
      </c>
      <c r="C208" s="5" t="s">
        <v>27</v>
      </c>
      <c r="D208" s="5" t="s">
        <v>12</v>
      </c>
      <c r="E208" s="5" t="s">
        <v>13</v>
      </c>
      <c r="F208" s="5" t="s">
        <v>28</v>
      </c>
      <c r="G208" s="5" t="s">
        <v>15</v>
      </c>
      <c r="H208" s="5">
        <v>67294</v>
      </c>
      <c r="I208" s="5">
        <v>2081</v>
      </c>
      <c r="J208" s="6">
        <f t="shared" si="3"/>
        <v>65213</v>
      </c>
    </row>
    <row r="209" spans="1:10">
      <c r="A209" s="5">
        <v>213263</v>
      </c>
      <c r="B209" s="5" t="s">
        <v>16</v>
      </c>
      <c r="C209" s="5" t="s">
        <v>34</v>
      </c>
      <c r="D209" s="5" t="s">
        <v>32</v>
      </c>
      <c r="E209" s="5" t="s">
        <v>13</v>
      </c>
      <c r="F209" s="5" t="s">
        <v>14</v>
      </c>
      <c r="G209" s="5" t="s">
        <v>15</v>
      </c>
      <c r="H209" s="5">
        <v>134744</v>
      </c>
      <c r="I209" s="5">
        <v>391</v>
      </c>
      <c r="J209" s="6">
        <f t="shared" si="3"/>
        <v>134353</v>
      </c>
    </row>
    <row r="210" spans="1:10">
      <c r="A210" s="5">
        <v>129487</v>
      </c>
      <c r="B210" s="5" t="s">
        <v>10</v>
      </c>
      <c r="C210" s="5" t="s">
        <v>22</v>
      </c>
      <c r="D210" s="5" t="s">
        <v>23</v>
      </c>
      <c r="E210" s="5" t="s">
        <v>13</v>
      </c>
      <c r="F210" s="5" t="s">
        <v>14</v>
      </c>
      <c r="G210" s="5" t="s">
        <v>24</v>
      </c>
      <c r="H210" s="5">
        <v>75608</v>
      </c>
      <c r="I210" s="5">
        <v>0</v>
      </c>
      <c r="J210" s="6">
        <f t="shared" si="3"/>
        <v>75608</v>
      </c>
    </row>
    <row r="211" spans="1:10">
      <c r="A211" s="5">
        <v>152928</v>
      </c>
      <c r="B211" s="5" t="s">
        <v>10</v>
      </c>
      <c r="C211" s="5" t="s">
        <v>27</v>
      </c>
      <c r="D211" s="5" t="s">
        <v>21</v>
      </c>
      <c r="E211" s="5" t="s">
        <v>19</v>
      </c>
      <c r="F211" s="5" t="s">
        <v>14</v>
      </c>
      <c r="G211" s="5" t="s">
        <v>24</v>
      </c>
      <c r="H211" s="5">
        <v>36783</v>
      </c>
      <c r="I211" s="5">
        <v>1746</v>
      </c>
      <c r="J211" s="6">
        <f t="shared" si="3"/>
        <v>35037</v>
      </c>
    </row>
    <row r="212" spans="1:10">
      <c r="A212" s="5">
        <v>182469</v>
      </c>
      <c r="B212" s="5" t="s">
        <v>16</v>
      </c>
      <c r="C212" s="5" t="s">
        <v>20</v>
      </c>
      <c r="D212" s="5" t="s">
        <v>32</v>
      </c>
      <c r="E212" s="5" t="s">
        <v>19</v>
      </c>
      <c r="F212" s="5" t="s">
        <v>14</v>
      </c>
      <c r="G212" s="5" t="s">
        <v>15</v>
      </c>
      <c r="H212" s="5">
        <v>16680</v>
      </c>
      <c r="I212" s="5">
        <v>0</v>
      </c>
      <c r="J212" s="6">
        <f t="shared" si="3"/>
        <v>16680</v>
      </c>
    </row>
    <row r="213" spans="1:10">
      <c r="A213" s="5">
        <v>172630</v>
      </c>
      <c r="B213" s="5" t="s">
        <v>10</v>
      </c>
      <c r="C213" s="5" t="s">
        <v>17</v>
      </c>
      <c r="D213" s="5" t="s">
        <v>26</v>
      </c>
      <c r="E213" s="5" t="s">
        <v>19</v>
      </c>
      <c r="F213" s="5" t="s">
        <v>14</v>
      </c>
      <c r="G213" s="5" t="s">
        <v>24</v>
      </c>
      <c r="H213" s="5">
        <v>24423</v>
      </c>
      <c r="I213" s="5">
        <v>324</v>
      </c>
      <c r="J213" s="6">
        <f t="shared" si="3"/>
        <v>24099</v>
      </c>
    </row>
    <row r="214" spans="1:10">
      <c r="A214" s="5">
        <v>58333</v>
      </c>
      <c r="B214" s="5" t="s">
        <v>16</v>
      </c>
      <c r="C214" s="5" t="s">
        <v>20</v>
      </c>
      <c r="D214" s="5" t="s">
        <v>32</v>
      </c>
      <c r="E214" s="5" t="s">
        <v>13</v>
      </c>
      <c r="F214" s="5" t="s">
        <v>14</v>
      </c>
      <c r="G214" s="5" t="s">
        <v>15</v>
      </c>
      <c r="H214" s="5">
        <v>23195</v>
      </c>
      <c r="I214" s="5">
        <v>1969</v>
      </c>
      <c r="J214" s="6">
        <f t="shared" si="3"/>
        <v>21226</v>
      </c>
    </row>
    <row r="215" spans="1:10">
      <c r="A215" s="5">
        <v>151788</v>
      </c>
      <c r="B215" s="5" t="s">
        <v>16</v>
      </c>
      <c r="C215" s="5" t="s">
        <v>22</v>
      </c>
      <c r="D215" s="5" t="s">
        <v>12</v>
      </c>
      <c r="E215" s="5" t="s">
        <v>19</v>
      </c>
      <c r="F215" s="5" t="s">
        <v>28</v>
      </c>
      <c r="G215" s="5" t="s">
        <v>15</v>
      </c>
      <c r="H215" s="5">
        <v>57058</v>
      </c>
      <c r="I215" s="5">
        <v>377</v>
      </c>
      <c r="J215" s="6">
        <f t="shared" si="3"/>
        <v>56681</v>
      </c>
    </row>
    <row r="216" spans="1:10">
      <c r="A216" s="5">
        <v>68466</v>
      </c>
      <c r="B216" s="5" t="s">
        <v>16</v>
      </c>
      <c r="C216" s="5" t="s">
        <v>27</v>
      </c>
      <c r="D216" s="5" t="s">
        <v>21</v>
      </c>
      <c r="E216" s="5" t="s">
        <v>13</v>
      </c>
      <c r="F216" s="5" t="s">
        <v>14</v>
      </c>
      <c r="G216" s="5" t="s">
        <v>15</v>
      </c>
      <c r="H216" s="5">
        <v>68293</v>
      </c>
      <c r="I216" s="5">
        <v>763</v>
      </c>
      <c r="J216" s="6">
        <f t="shared" si="3"/>
        <v>67530</v>
      </c>
    </row>
    <row r="217" spans="1:10">
      <c r="A217" s="5">
        <v>59619</v>
      </c>
      <c r="B217" s="5" t="s">
        <v>10</v>
      </c>
      <c r="C217" s="5" t="s">
        <v>27</v>
      </c>
      <c r="D217" s="5" t="s">
        <v>23</v>
      </c>
      <c r="E217" s="5" t="s">
        <v>13</v>
      </c>
      <c r="F217" s="5" t="s">
        <v>28</v>
      </c>
      <c r="G217" s="5" t="s">
        <v>15</v>
      </c>
      <c r="H217" s="5">
        <v>31422</v>
      </c>
      <c r="I217" s="5">
        <v>3236</v>
      </c>
      <c r="J217" s="6">
        <f t="shared" si="3"/>
        <v>28186</v>
      </c>
    </row>
    <row r="218" spans="1:10">
      <c r="A218" s="5">
        <v>170732</v>
      </c>
      <c r="B218" s="5" t="s">
        <v>10</v>
      </c>
      <c r="C218" s="5" t="s">
        <v>22</v>
      </c>
      <c r="D218" s="5" t="s">
        <v>26</v>
      </c>
      <c r="E218" s="5" t="s">
        <v>19</v>
      </c>
      <c r="F218" s="5" t="s">
        <v>14</v>
      </c>
      <c r="G218" s="5" t="s">
        <v>24</v>
      </c>
      <c r="H218" s="5">
        <v>24596</v>
      </c>
      <c r="I218" s="5">
        <v>591</v>
      </c>
      <c r="J218" s="6">
        <f t="shared" si="3"/>
        <v>24005</v>
      </c>
    </row>
    <row r="219" spans="1:10">
      <c r="A219" s="5">
        <v>100854</v>
      </c>
      <c r="B219" s="5" t="s">
        <v>10</v>
      </c>
      <c r="C219" s="5" t="s">
        <v>11</v>
      </c>
      <c r="D219" s="5" t="s">
        <v>26</v>
      </c>
      <c r="E219" s="5" t="s">
        <v>13</v>
      </c>
      <c r="F219" s="5" t="s">
        <v>28</v>
      </c>
      <c r="G219" s="5" t="s">
        <v>24</v>
      </c>
      <c r="H219" s="5">
        <v>117377</v>
      </c>
      <c r="I219" s="5">
        <v>14157</v>
      </c>
      <c r="J219" s="6">
        <f t="shared" si="3"/>
        <v>103220</v>
      </c>
    </row>
    <row r="220" spans="1:10">
      <c r="A220" s="5">
        <v>221288</v>
      </c>
      <c r="B220" s="5" t="s">
        <v>10</v>
      </c>
      <c r="C220" s="5" t="s">
        <v>25</v>
      </c>
      <c r="D220" s="5" t="s">
        <v>32</v>
      </c>
      <c r="E220" s="5" t="s">
        <v>19</v>
      </c>
      <c r="F220" s="5" t="s">
        <v>14</v>
      </c>
      <c r="G220" s="5" t="s">
        <v>24</v>
      </c>
      <c r="H220" s="5">
        <v>61329</v>
      </c>
      <c r="I220" s="5">
        <v>0</v>
      </c>
      <c r="J220" s="6">
        <f t="shared" si="3"/>
        <v>61329</v>
      </c>
    </row>
    <row r="221" spans="1:10">
      <c r="A221" s="5">
        <v>84313</v>
      </c>
      <c r="B221" s="5" t="s">
        <v>10</v>
      </c>
      <c r="C221" s="5" t="s">
        <v>34</v>
      </c>
      <c r="D221" s="5" t="s">
        <v>30</v>
      </c>
      <c r="E221" s="5" t="s">
        <v>13</v>
      </c>
      <c r="F221" s="5" t="s">
        <v>28</v>
      </c>
      <c r="G221" s="5" t="s">
        <v>24</v>
      </c>
      <c r="H221" s="5">
        <v>53672</v>
      </c>
      <c r="I221" s="5">
        <v>1883</v>
      </c>
      <c r="J221" s="6">
        <f t="shared" si="3"/>
        <v>51789</v>
      </c>
    </row>
    <row r="222" spans="1:10">
      <c r="A222" s="5">
        <v>215456</v>
      </c>
      <c r="B222" s="5" t="s">
        <v>16</v>
      </c>
      <c r="C222" s="5" t="s">
        <v>38</v>
      </c>
      <c r="D222" s="5" t="s">
        <v>12</v>
      </c>
      <c r="E222" s="5" t="s">
        <v>13</v>
      </c>
      <c r="F222" s="5" t="s">
        <v>14</v>
      </c>
      <c r="G222" s="5" t="s">
        <v>15</v>
      </c>
      <c r="H222" s="5">
        <v>18519</v>
      </c>
      <c r="I222" s="5">
        <v>156</v>
      </c>
      <c r="J222" s="6">
        <f t="shared" si="3"/>
        <v>18363</v>
      </c>
    </row>
    <row r="223" spans="1:10">
      <c r="A223" s="5">
        <v>49336</v>
      </c>
      <c r="B223" s="5" t="s">
        <v>16</v>
      </c>
      <c r="C223" s="5" t="s">
        <v>38</v>
      </c>
      <c r="D223" s="5" t="s">
        <v>33</v>
      </c>
      <c r="E223" s="5" t="s">
        <v>13</v>
      </c>
      <c r="F223" s="5" t="s">
        <v>14</v>
      </c>
      <c r="G223" s="5" t="s">
        <v>15</v>
      </c>
      <c r="H223" s="5">
        <v>28742</v>
      </c>
      <c r="I223" s="5">
        <v>413</v>
      </c>
      <c r="J223" s="6">
        <f t="shared" si="3"/>
        <v>28329</v>
      </c>
    </row>
    <row r="224" spans="1:10">
      <c r="A224" s="5">
        <v>129080</v>
      </c>
      <c r="B224" s="5" t="s">
        <v>10</v>
      </c>
      <c r="C224" s="5" t="s">
        <v>22</v>
      </c>
      <c r="D224" s="5" t="s">
        <v>12</v>
      </c>
      <c r="E224" s="5" t="s">
        <v>19</v>
      </c>
      <c r="F224" s="5" t="s">
        <v>14</v>
      </c>
      <c r="G224" s="5" t="s">
        <v>24</v>
      </c>
      <c r="H224" s="5">
        <v>65113</v>
      </c>
      <c r="I224" s="5">
        <v>1011</v>
      </c>
      <c r="J224" s="6">
        <f t="shared" si="3"/>
        <v>64102</v>
      </c>
    </row>
    <row r="225" spans="1:10">
      <c r="A225" s="5">
        <v>72566</v>
      </c>
      <c r="B225" s="5" t="s">
        <v>10</v>
      </c>
      <c r="C225" s="5" t="s">
        <v>27</v>
      </c>
      <c r="D225" s="5" t="s">
        <v>12</v>
      </c>
      <c r="E225" s="5" t="s">
        <v>13</v>
      </c>
      <c r="F225" s="5" t="s">
        <v>14</v>
      </c>
      <c r="G225" s="5" t="s">
        <v>15</v>
      </c>
      <c r="H225" s="5">
        <v>112561</v>
      </c>
      <c r="I225" s="5">
        <v>16892</v>
      </c>
      <c r="J225" s="6">
        <f t="shared" si="3"/>
        <v>95669</v>
      </c>
    </row>
    <row r="226" spans="1:10">
      <c r="A226" s="5">
        <v>15105</v>
      </c>
      <c r="B226" s="5" t="s">
        <v>16</v>
      </c>
      <c r="C226" s="5" t="s">
        <v>37</v>
      </c>
      <c r="D226" s="5" t="s">
        <v>33</v>
      </c>
      <c r="E226" s="5" t="s">
        <v>19</v>
      </c>
      <c r="F226" s="5" t="s">
        <v>14</v>
      </c>
      <c r="G226" s="5" t="s">
        <v>15</v>
      </c>
      <c r="H226" s="5">
        <v>49107</v>
      </c>
      <c r="I226" s="5">
        <v>457</v>
      </c>
      <c r="J226" s="6">
        <f t="shared" si="3"/>
        <v>48650</v>
      </c>
    </row>
    <row r="227" spans="1:10">
      <c r="A227" s="5">
        <v>147591</v>
      </c>
      <c r="B227" s="5" t="s">
        <v>16</v>
      </c>
      <c r="C227" s="5" t="s">
        <v>17</v>
      </c>
      <c r="D227" s="5" t="s">
        <v>36</v>
      </c>
      <c r="E227" s="5" t="s">
        <v>19</v>
      </c>
      <c r="F227" s="5" t="s">
        <v>14</v>
      </c>
      <c r="G227" s="5" t="s">
        <v>24</v>
      </c>
      <c r="H227" s="5">
        <v>36653</v>
      </c>
      <c r="I227" s="5">
        <v>4968</v>
      </c>
      <c r="J227" s="6">
        <f t="shared" si="3"/>
        <v>31685</v>
      </c>
    </row>
    <row r="228" spans="1:10">
      <c r="A228" s="5">
        <v>27917</v>
      </c>
      <c r="B228" s="5" t="s">
        <v>16</v>
      </c>
      <c r="C228" s="5" t="s">
        <v>37</v>
      </c>
      <c r="D228" s="5" t="s">
        <v>30</v>
      </c>
      <c r="E228" s="5" t="s">
        <v>13</v>
      </c>
      <c r="F228" s="5" t="s">
        <v>14</v>
      </c>
      <c r="G228" s="5" t="s">
        <v>15</v>
      </c>
      <c r="H228" s="5">
        <v>22172</v>
      </c>
      <c r="I228" s="5">
        <v>384</v>
      </c>
      <c r="J228" s="6">
        <f t="shared" si="3"/>
        <v>21788</v>
      </c>
    </row>
    <row r="229" spans="1:10">
      <c r="A229" s="5">
        <v>181976</v>
      </c>
      <c r="B229" s="5" t="s">
        <v>10</v>
      </c>
      <c r="C229" s="5" t="s">
        <v>38</v>
      </c>
      <c r="D229" s="5" t="s">
        <v>23</v>
      </c>
      <c r="E229" s="5" t="s">
        <v>13</v>
      </c>
      <c r="F229" s="5" t="s">
        <v>14</v>
      </c>
      <c r="G229" s="5" t="s">
        <v>15</v>
      </c>
      <c r="H229" s="5">
        <v>108891</v>
      </c>
      <c r="I229" s="5">
        <v>323</v>
      </c>
      <c r="J229" s="6">
        <f t="shared" si="3"/>
        <v>108568</v>
      </c>
    </row>
    <row r="230" spans="1:10">
      <c r="A230" s="5">
        <v>231834</v>
      </c>
      <c r="B230" s="5" t="s">
        <v>16</v>
      </c>
      <c r="C230" s="5" t="s">
        <v>17</v>
      </c>
      <c r="D230" s="5" t="s">
        <v>18</v>
      </c>
      <c r="E230" s="5" t="s">
        <v>19</v>
      </c>
      <c r="F230" s="5" t="s">
        <v>28</v>
      </c>
      <c r="G230" s="5" t="s">
        <v>24</v>
      </c>
      <c r="H230" s="5">
        <v>17201</v>
      </c>
      <c r="I230" s="5">
        <v>0</v>
      </c>
      <c r="J230" s="6">
        <f t="shared" si="3"/>
        <v>17201</v>
      </c>
    </row>
    <row r="231" spans="1:10">
      <c r="A231" s="5">
        <v>77396</v>
      </c>
      <c r="B231" s="5" t="s">
        <v>16</v>
      </c>
      <c r="C231" s="5" t="s">
        <v>35</v>
      </c>
      <c r="D231" s="5" t="s">
        <v>30</v>
      </c>
      <c r="E231" s="5" t="s">
        <v>13</v>
      </c>
      <c r="F231" s="5" t="s">
        <v>14</v>
      </c>
      <c r="G231" s="5" t="s">
        <v>15</v>
      </c>
      <c r="H231" s="5">
        <v>75441</v>
      </c>
      <c r="I231" s="5">
        <v>3</v>
      </c>
      <c r="J231" s="6">
        <f t="shared" si="3"/>
        <v>75438</v>
      </c>
    </row>
    <row r="232" spans="1:10">
      <c r="A232" s="5">
        <v>225301</v>
      </c>
      <c r="B232" s="5" t="s">
        <v>10</v>
      </c>
      <c r="C232" s="5" t="s">
        <v>17</v>
      </c>
      <c r="D232" s="5" t="s">
        <v>23</v>
      </c>
      <c r="E232" s="5" t="s">
        <v>19</v>
      </c>
      <c r="F232" s="5" t="s">
        <v>14</v>
      </c>
      <c r="G232" s="5" t="s">
        <v>24</v>
      </c>
      <c r="H232" s="5">
        <v>58779</v>
      </c>
      <c r="I232" s="5">
        <v>6053</v>
      </c>
      <c r="J232" s="6">
        <f t="shared" si="3"/>
        <v>52726</v>
      </c>
    </row>
    <row r="233" spans="1:10">
      <c r="A233" s="5">
        <v>246298</v>
      </c>
      <c r="B233" s="5" t="s">
        <v>10</v>
      </c>
      <c r="C233" s="5" t="s">
        <v>17</v>
      </c>
      <c r="D233" s="5" t="s">
        <v>36</v>
      </c>
      <c r="E233" s="5" t="s">
        <v>19</v>
      </c>
      <c r="F233" s="5" t="s">
        <v>14</v>
      </c>
      <c r="G233" s="5" t="s">
        <v>24</v>
      </c>
      <c r="H233" s="5">
        <v>63738</v>
      </c>
      <c r="I233" s="5">
        <v>277</v>
      </c>
      <c r="J233" s="6">
        <f t="shared" si="3"/>
        <v>63461</v>
      </c>
    </row>
    <row r="234" spans="1:10">
      <c r="A234" s="5">
        <v>199986</v>
      </c>
      <c r="B234" s="5" t="s">
        <v>10</v>
      </c>
      <c r="C234" s="5" t="s">
        <v>39</v>
      </c>
      <c r="D234" s="5" t="s">
        <v>12</v>
      </c>
      <c r="E234" s="5" t="s">
        <v>13</v>
      </c>
      <c r="F234" s="5" t="s">
        <v>14</v>
      </c>
      <c r="G234" s="5" t="s">
        <v>15</v>
      </c>
      <c r="H234" s="5">
        <v>41728</v>
      </c>
      <c r="I234" s="5">
        <v>4823</v>
      </c>
      <c r="J234" s="6">
        <f t="shared" si="3"/>
        <v>36905</v>
      </c>
    </row>
    <row r="235" spans="1:10">
      <c r="A235" s="5">
        <v>217366</v>
      </c>
      <c r="B235" s="5" t="s">
        <v>16</v>
      </c>
      <c r="C235" s="5" t="s">
        <v>38</v>
      </c>
      <c r="D235" s="5" t="s">
        <v>33</v>
      </c>
      <c r="E235" s="5" t="s">
        <v>19</v>
      </c>
      <c r="F235" s="5" t="s">
        <v>14</v>
      </c>
      <c r="G235" s="5" t="s">
        <v>15</v>
      </c>
      <c r="H235" s="5">
        <v>78487</v>
      </c>
      <c r="I235" s="5">
        <v>9548</v>
      </c>
      <c r="J235" s="6">
        <f t="shared" si="3"/>
        <v>68939</v>
      </c>
    </row>
    <row r="236" spans="1:10">
      <c r="A236" s="5">
        <v>242141</v>
      </c>
      <c r="B236" s="5" t="s">
        <v>16</v>
      </c>
      <c r="C236" s="5" t="s">
        <v>22</v>
      </c>
      <c r="D236" s="5" t="s">
        <v>30</v>
      </c>
      <c r="E236" s="5" t="s">
        <v>19</v>
      </c>
      <c r="F236" s="5" t="s">
        <v>28</v>
      </c>
      <c r="G236" s="5" t="s">
        <v>24</v>
      </c>
      <c r="H236" s="5">
        <v>69216</v>
      </c>
      <c r="I236" s="5">
        <v>1182</v>
      </c>
      <c r="J236" s="6">
        <f t="shared" si="3"/>
        <v>68034</v>
      </c>
    </row>
    <row r="237" spans="1:10">
      <c r="A237" s="5">
        <v>97468</v>
      </c>
      <c r="B237" s="5" t="s">
        <v>16</v>
      </c>
      <c r="C237" s="5" t="s">
        <v>34</v>
      </c>
      <c r="D237" s="5" t="s">
        <v>33</v>
      </c>
      <c r="E237" s="5" t="s">
        <v>13</v>
      </c>
      <c r="F237" s="5" t="s">
        <v>14</v>
      </c>
      <c r="G237" s="5" t="s">
        <v>15</v>
      </c>
      <c r="H237" s="5">
        <v>74018</v>
      </c>
      <c r="I237" s="5">
        <v>6829</v>
      </c>
      <c r="J237" s="6">
        <f t="shared" si="3"/>
        <v>67189</v>
      </c>
    </row>
    <row r="238" spans="1:10">
      <c r="A238" s="5">
        <v>85569</v>
      </c>
      <c r="B238" s="5" t="s">
        <v>16</v>
      </c>
      <c r="C238" s="5" t="s">
        <v>34</v>
      </c>
      <c r="D238" s="5" t="s">
        <v>30</v>
      </c>
      <c r="E238" s="5" t="s">
        <v>13</v>
      </c>
      <c r="F238" s="5" t="s">
        <v>28</v>
      </c>
      <c r="G238" s="5" t="s">
        <v>15</v>
      </c>
      <c r="H238" s="5">
        <v>41702</v>
      </c>
      <c r="I238" s="5">
        <v>553</v>
      </c>
      <c r="J238" s="6">
        <f t="shared" si="3"/>
        <v>41149</v>
      </c>
    </row>
    <row r="239" spans="1:10">
      <c r="A239" s="5">
        <v>155266</v>
      </c>
      <c r="B239" s="5" t="s">
        <v>16</v>
      </c>
      <c r="C239" s="5" t="s">
        <v>17</v>
      </c>
      <c r="D239" s="5" t="s">
        <v>26</v>
      </c>
      <c r="E239" s="5" t="s">
        <v>19</v>
      </c>
      <c r="F239" s="5" t="s">
        <v>28</v>
      </c>
      <c r="G239" s="5" t="s">
        <v>24</v>
      </c>
      <c r="H239" s="5">
        <v>15157</v>
      </c>
      <c r="I239" s="5">
        <v>249</v>
      </c>
      <c r="J239" s="6">
        <f t="shared" si="3"/>
        <v>14908</v>
      </c>
    </row>
    <row r="240" spans="1:10">
      <c r="A240" s="5">
        <v>124361</v>
      </c>
      <c r="B240" s="5" t="s">
        <v>10</v>
      </c>
      <c r="C240" s="5" t="s">
        <v>35</v>
      </c>
      <c r="D240" s="5" t="s">
        <v>30</v>
      </c>
      <c r="E240" s="5" t="s">
        <v>13</v>
      </c>
      <c r="F240" s="5" t="s">
        <v>28</v>
      </c>
      <c r="G240" s="5" t="s">
        <v>24</v>
      </c>
      <c r="H240" s="5">
        <v>3053</v>
      </c>
      <c r="I240" s="5">
        <v>0</v>
      </c>
      <c r="J240" s="6">
        <f t="shared" si="3"/>
        <v>3053</v>
      </c>
    </row>
    <row r="241" spans="1:10">
      <c r="A241" s="5">
        <v>126252</v>
      </c>
      <c r="B241" s="5" t="s">
        <v>10</v>
      </c>
      <c r="C241" s="5" t="s">
        <v>27</v>
      </c>
      <c r="D241" s="5" t="s">
        <v>29</v>
      </c>
      <c r="E241" s="5" t="s">
        <v>19</v>
      </c>
      <c r="F241" s="5" t="s">
        <v>14</v>
      </c>
      <c r="G241" s="5" t="s">
        <v>24</v>
      </c>
      <c r="H241" s="5">
        <v>63393</v>
      </c>
      <c r="I241" s="5">
        <v>322</v>
      </c>
      <c r="J241" s="6">
        <f t="shared" si="3"/>
        <v>63071</v>
      </c>
    </row>
    <row r="242" spans="1:10">
      <c r="A242" s="5">
        <v>5768</v>
      </c>
      <c r="B242" s="5" t="s">
        <v>16</v>
      </c>
      <c r="C242" s="5" t="s">
        <v>20</v>
      </c>
      <c r="D242" s="5" t="s">
        <v>32</v>
      </c>
      <c r="E242" s="5" t="s">
        <v>19</v>
      </c>
      <c r="F242" s="5" t="s">
        <v>28</v>
      </c>
      <c r="G242" s="5" t="s">
        <v>24</v>
      </c>
      <c r="H242" s="5">
        <v>586</v>
      </c>
      <c r="I242" s="5">
        <v>0</v>
      </c>
      <c r="J242" s="6">
        <f t="shared" si="3"/>
        <v>586</v>
      </c>
    </row>
    <row r="243" spans="1:10">
      <c r="A243" s="5">
        <v>129168</v>
      </c>
      <c r="B243" s="5" t="s">
        <v>10</v>
      </c>
      <c r="C243" s="5" t="s">
        <v>22</v>
      </c>
      <c r="D243" s="5" t="s">
        <v>29</v>
      </c>
      <c r="E243" s="5" t="s">
        <v>13</v>
      </c>
      <c r="F243" s="5" t="s">
        <v>14</v>
      </c>
      <c r="G243" s="5" t="s">
        <v>15</v>
      </c>
      <c r="H243" s="5">
        <v>103123</v>
      </c>
      <c r="I243" s="5">
        <v>2704</v>
      </c>
      <c r="J243" s="6">
        <f t="shared" si="3"/>
        <v>100419</v>
      </c>
    </row>
    <row r="244" spans="1:10">
      <c r="A244" s="5">
        <v>97558</v>
      </c>
      <c r="B244" s="5" t="s">
        <v>10</v>
      </c>
      <c r="C244" s="5" t="s">
        <v>38</v>
      </c>
      <c r="D244" s="5" t="s">
        <v>29</v>
      </c>
      <c r="E244" s="5" t="s">
        <v>13</v>
      </c>
      <c r="F244" s="5" t="s">
        <v>14</v>
      </c>
      <c r="G244" s="5" t="s">
        <v>15</v>
      </c>
      <c r="H244" s="5">
        <v>74064</v>
      </c>
      <c r="I244" s="5">
        <v>833</v>
      </c>
      <c r="J244" s="6">
        <f t="shared" si="3"/>
        <v>73231</v>
      </c>
    </row>
    <row r="245" spans="1:10">
      <c r="A245" s="5">
        <v>34646</v>
      </c>
      <c r="B245" s="5" t="s">
        <v>16</v>
      </c>
      <c r="C245" s="5" t="s">
        <v>34</v>
      </c>
      <c r="D245" s="5" t="s">
        <v>26</v>
      </c>
      <c r="E245" s="5" t="s">
        <v>19</v>
      </c>
      <c r="F245" s="5" t="s">
        <v>14</v>
      </c>
      <c r="G245" s="5" t="s">
        <v>24</v>
      </c>
      <c r="H245" s="5">
        <v>38693</v>
      </c>
      <c r="I245" s="5">
        <v>736</v>
      </c>
      <c r="J245" s="6">
        <f t="shared" si="3"/>
        <v>37957</v>
      </c>
    </row>
    <row r="246" spans="1:10">
      <c r="A246" s="5">
        <v>170803</v>
      </c>
      <c r="B246" s="5" t="s">
        <v>10</v>
      </c>
      <c r="C246" s="5" t="s">
        <v>17</v>
      </c>
      <c r="D246" s="5" t="s">
        <v>26</v>
      </c>
      <c r="E246" s="5" t="s">
        <v>19</v>
      </c>
      <c r="F246" s="5" t="s">
        <v>14</v>
      </c>
      <c r="G246" s="5" t="s">
        <v>24</v>
      </c>
      <c r="H246" s="5">
        <v>8702</v>
      </c>
      <c r="I246" s="5">
        <v>0</v>
      </c>
      <c r="J246" s="6">
        <f t="shared" si="3"/>
        <v>8702</v>
      </c>
    </row>
    <row r="247" spans="1:10">
      <c r="A247" s="5">
        <v>89982</v>
      </c>
      <c r="B247" s="5" t="s">
        <v>10</v>
      </c>
      <c r="C247" s="5" t="s">
        <v>37</v>
      </c>
      <c r="D247" s="5" t="s">
        <v>29</v>
      </c>
      <c r="E247" s="5" t="s">
        <v>13</v>
      </c>
      <c r="F247" s="5" t="s">
        <v>28</v>
      </c>
      <c r="G247" s="5" t="s">
        <v>15</v>
      </c>
      <c r="H247" s="5">
        <v>41147</v>
      </c>
      <c r="I247" s="5">
        <v>500</v>
      </c>
      <c r="J247" s="6">
        <f t="shared" si="3"/>
        <v>40647</v>
      </c>
    </row>
    <row r="248" spans="1:10">
      <c r="A248" s="5">
        <v>204823</v>
      </c>
      <c r="B248" s="5" t="s">
        <v>16</v>
      </c>
      <c r="C248" s="5" t="s">
        <v>34</v>
      </c>
      <c r="D248" s="5" t="s">
        <v>33</v>
      </c>
      <c r="E248" s="5" t="s">
        <v>13</v>
      </c>
      <c r="F248" s="5" t="s">
        <v>14</v>
      </c>
      <c r="G248" s="5" t="s">
        <v>15</v>
      </c>
      <c r="H248" s="5">
        <v>72696</v>
      </c>
      <c r="I248" s="5">
        <v>1176</v>
      </c>
      <c r="J248" s="6">
        <f t="shared" si="3"/>
        <v>71520</v>
      </c>
    </row>
    <row r="249" spans="1:10">
      <c r="A249" s="5">
        <v>1111</v>
      </c>
      <c r="B249" s="5" t="s">
        <v>16</v>
      </c>
      <c r="C249" s="5" t="s">
        <v>20</v>
      </c>
      <c r="D249" s="5" t="s">
        <v>32</v>
      </c>
      <c r="E249" s="5" t="s">
        <v>19</v>
      </c>
      <c r="F249" s="5" t="s">
        <v>28</v>
      </c>
      <c r="G249" s="5" t="s">
        <v>24</v>
      </c>
      <c r="H249" s="5">
        <v>222</v>
      </c>
      <c r="I249" s="5">
        <v>0</v>
      </c>
      <c r="J249" s="6">
        <f t="shared" si="3"/>
        <v>222</v>
      </c>
    </row>
    <row r="250" spans="1:10">
      <c r="A250" s="5">
        <v>145524</v>
      </c>
      <c r="B250" s="5" t="s">
        <v>16</v>
      </c>
      <c r="C250" s="5" t="s">
        <v>22</v>
      </c>
      <c r="D250" s="5" t="s">
        <v>30</v>
      </c>
      <c r="E250" s="5" t="s">
        <v>13</v>
      </c>
      <c r="F250" s="5" t="s">
        <v>14</v>
      </c>
      <c r="G250" s="5" t="s">
        <v>15</v>
      </c>
      <c r="H250" s="5">
        <v>19880</v>
      </c>
      <c r="I250" s="5">
        <v>425</v>
      </c>
      <c r="J250" s="6">
        <f t="shared" si="3"/>
        <v>19455</v>
      </c>
    </row>
    <row r="251" spans="1:10">
      <c r="A251" s="5">
        <v>160653</v>
      </c>
      <c r="B251" s="5" t="s">
        <v>16</v>
      </c>
      <c r="C251" s="5" t="s">
        <v>22</v>
      </c>
      <c r="D251" s="5" t="s">
        <v>33</v>
      </c>
      <c r="E251" s="5" t="s">
        <v>13</v>
      </c>
      <c r="F251" s="5" t="s">
        <v>14</v>
      </c>
      <c r="G251" s="5" t="s">
        <v>15</v>
      </c>
      <c r="H251" s="5">
        <v>8754</v>
      </c>
      <c r="I251" s="5">
        <v>277</v>
      </c>
      <c r="J251" s="6">
        <f t="shared" si="3"/>
        <v>8477</v>
      </c>
    </row>
    <row r="252" spans="1:10">
      <c r="A252" s="5">
        <v>155562</v>
      </c>
      <c r="B252" s="5" t="s">
        <v>16</v>
      </c>
      <c r="C252" s="5" t="s">
        <v>25</v>
      </c>
      <c r="D252" s="5" t="s">
        <v>30</v>
      </c>
      <c r="E252" s="5" t="s">
        <v>19</v>
      </c>
      <c r="F252" s="5" t="s">
        <v>14</v>
      </c>
      <c r="G252" s="5" t="s">
        <v>24</v>
      </c>
      <c r="H252" s="5">
        <v>53738</v>
      </c>
      <c r="I252" s="5">
        <v>2279</v>
      </c>
      <c r="J252" s="6">
        <f t="shared" si="3"/>
        <v>51459</v>
      </c>
    </row>
    <row r="253" spans="1:10">
      <c r="A253" s="5">
        <v>189908</v>
      </c>
      <c r="B253" s="5" t="s">
        <v>16</v>
      </c>
      <c r="C253" s="5" t="s">
        <v>37</v>
      </c>
      <c r="D253" s="5" t="s">
        <v>33</v>
      </c>
      <c r="E253" s="5" t="s">
        <v>13</v>
      </c>
      <c r="F253" s="5" t="s">
        <v>28</v>
      </c>
      <c r="G253" s="5" t="s">
        <v>15</v>
      </c>
      <c r="H253" s="5">
        <v>49797</v>
      </c>
      <c r="I253" s="5">
        <v>1748</v>
      </c>
      <c r="J253" s="6">
        <f t="shared" si="3"/>
        <v>48049</v>
      </c>
    </row>
    <row r="254" spans="1:10">
      <c r="A254" s="5">
        <v>248679</v>
      </c>
      <c r="B254" s="5" t="s">
        <v>16</v>
      </c>
      <c r="C254" s="5" t="s">
        <v>17</v>
      </c>
      <c r="D254" s="5" t="s">
        <v>26</v>
      </c>
      <c r="E254" s="5" t="s">
        <v>19</v>
      </c>
      <c r="F254" s="5" t="s">
        <v>14</v>
      </c>
      <c r="G254" s="5" t="s">
        <v>24</v>
      </c>
      <c r="H254" s="5">
        <v>17061</v>
      </c>
      <c r="I254" s="5">
        <v>629</v>
      </c>
      <c r="J254" s="6">
        <f t="shared" si="3"/>
        <v>16432</v>
      </c>
    </row>
    <row r="255" spans="1:10">
      <c r="A255" s="5">
        <v>255464</v>
      </c>
      <c r="B255" s="5" t="s">
        <v>10</v>
      </c>
      <c r="C255" s="5" t="s">
        <v>25</v>
      </c>
      <c r="D255" s="5" t="s">
        <v>23</v>
      </c>
      <c r="E255" s="5" t="s">
        <v>19</v>
      </c>
      <c r="F255" s="5" t="s">
        <v>14</v>
      </c>
      <c r="G255" s="5" t="s">
        <v>24</v>
      </c>
      <c r="H255" s="5">
        <v>53378</v>
      </c>
      <c r="I255" s="5">
        <v>1391</v>
      </c>
      <c r="J255" s="6">
        <f t="shared" si="3"/>
        <v>51987</v>
      </c>
    </row>
    <row r="256" spans="1:10">
      <c r="A256" s="5">
        <v>55612</v>
      </c>
      <c r="B256" s="5" t="s">
        <v>10</v>
      </c>
      <c r="C256" s="5" t="s">
        <v>11</v>
      </c>
      <c r="D256" s="5" t="s">
        <v>26</v>
      </c>
      <c r="E256" s="5" t="s">
        <v>19</v>
      </c>
      <c r="F256" s="5" t="s">
        <v>14</v>
      </c>
      <c r="G256" s="5" t="s">
        <v>24</v>
      </c>
      <c r="H256" s="5">
        <v>36553</v>
      </c>
      <c r="I256" s="5">
        <v>327</v>
      </c>
      <c r="J256" s="6">
        <f t="shared" si="3"/>
        <v>36226</v>
      </c>
    </row>
    <row r="257" spans="1:10">
      <c r="A257" s="5">
        <v>106980</v>
      </c>
      <c r="B257" s="5" t="s">
        <v>10</v>
      </c>
      <c r="C257" s="5" t="s">
        <v>25</v>
      </c>
      <c r="D257" s="5" t="s">
        <v>23</v>
      </c>
      <c r="E257" s="5" t="s">
        <v>13</v>
      </c>
      <c r="F257" s="5" t="s">
        <v>14</v>
      </c>
      <c r="G257" s="5" t="s">
        <v>24</v>
      </c>
      <c r="H257" s="5">
        <v>92204</v>
      </c>
      <c r="I257" s="5">
        <v>0</v>
      </c>
      <c r="J257" s="6">
        <f t="shared" si="3"/>
        <v>92204</v>
      </c>
    </row>
    <row r="258" spans="1:10">
      <c r="A258" s="5">
        <v>211071</v>
      </c>
      <c r="B258" s="5" t="s">
        <v>16</v>
      </c>
      <c r="C258" s="5" t="s">
        <v>34</v>
      </c>
      <c r="D258" s="5" t="s">
        <v>32</v>
      </c>
      <c r="E258" s="5" t="s">
        <v>13</v>
      </c>
      <c r="F258" s="5" t="s">
        <v>14</v>
      </c>
      <c r="G258" s="5" t="s">
        <v>15</v>
      </c>
      <c r="H258" s="5">
        <v>46032</v>
      </c>
      <c r="I258" s="5">
        <v>0</v>
      </c>
      <c r="J258" s="6">
        <f t="shared" ref="J258:J321" si="4">H258-I258</f>
        <v>46032</v>
      </c>
    </row>
    <row r="259" spans="1:10">
      <c r="A259" s="5">
        <v>199778</v>
      </c>
      <c r="B259" s="5" t="s">
        <v>16</v>
      </c>
      <c r="C259" s="5" t="s">
        <v>37</v>
      </c>
      <c r="D259" s="5" t="s">
        <v>12</v>
      </c>
      <c r="E259" s="5" t="s">
        <v>13</v>
      </c>
      <c r="F259" s="5" t="s">
        <v>28</v>
      </c>
      <c r="G259" s="5" t="s">
        <v>15</v>
      </c>
      <c r="H259" s="5">
        <v>164860</v>
      </c>
      <c r="I259" s="5">
        <v>1078</v>
      </c>
      <c r="J259" s="6">
        <f t="shared" si="4"/>
        <v>163782</v>
      </c>
    </row>
    <row r="260" spans="1:10">
      <c r="A260" s="5">
        <v>108475</v>
      </c>
      <c r="B260" s="5" t="s">
        <v>10</v>
      </c>
      <c r="C260" s="5" t="s">
        <v>25</v>
      </c>
      <c r="D260" s="5" t="s">
        <v>29</v>
      </c>
      <c r="E260" s="5" t="s">
        <v>19</v>
      </c>
      <c r="F260" s="5" t="s">
        <v>28</v>
      </c>
      <c r="G260" s="5" t="s">
        <v>24</v>
      </c>
      <c r="H260" s="5">
        <v>20390</v>
      </c>
      <c r="I260" s="5">
        <v>3838</v>
      </c>
      <c r="J260" s="6">
        <f t="shared" si="4"/>
        <v>16552</v>
      </c>
    </row>
    <row r="261" spans="1:10">
      <c r="A261" s="5">
        <v>190176</v>
      </c>
      <c r="B261" s="5" t="s">
        <v>10</v>
      </c>
      <c r="C261" s="5" t="s">
        <v>20</v>
      </c>
      <c r="D261" s="5" t="s">
        <v>32</v>
      </c>
      <c r="E261" s="5" t="s">
        <v>19</v>
      </c>
      <c r="F261" s="5" t="s">
        <v>28</v>
      </c>
      <c r="G261" s="5" t="s">
        <v>24</v>
      </c>
      <c r="H261" s="5">
        <v>411</v>
      </c>
      <c r="I261" s="5">
        <v>0</v>
      </c>
      <c r="J261" s="6">
        <f t="shared" si="4"/>
        <v>411</v>
      </c>
    </row>
    <row r="262" spans="1:10">
      <c r="A262" s="5">
        <v>52074</v>
      </c>
      <c r="B262" s="5" t="s">
        <v>10</v>
      </c>
      <c r="C262" s="5" t="s">
        <v>35</v>
      </c>
      <c r="D262" s="5" t="s">
        <v>12</v>
      </c>
      <c r="E262" s="5" t="s">
        <v>13</v>
      </c>
      <c r="F262" s="5" t="s">
        <v>14</v>
      </c>
      <c r="G262" s="5" t="s">
        <v>15</v>
      </c>
      <c r="H262" s="5">
        <v>362528</v>
      </c>
      <c r="I262" s="5">
        <v>8664</v>
      </c>
      <c r="J262" s="6">
        <f t="shared" si="4"/>
        <v>353864</v>
      </c>
    </row>
    <row r="263" spans="1:10">
      <c r="A263" s="5">
        <v>178274</v>
      </c>
      <c r="B263" s="5" t="s">
        <v>16</v>
      </c>
      <c r="C263" s="5" t="s">
        <v>27</v>
      </c>
      <c r="D263" s="5" t="s">
        <v>12</v>
      </c>
      <c r="E263" s="5" t="s">
        <v>13</v>
      </c>
      <c r="F263" s="5" t="s">
        <v>28</v>
      </c>
      <c r="G263" s="5" t="s">
        <v>15</v>
      </c>
      <c r="H263" s="5">
        <v>84012</v>
      </c>
      <c r="I263" s="5">
        <v>414</v>
      </c>
      <c r="J263" s="6">
        <f t="shared" si="4"/>
        <v>83598</v>
      </c>
    </row>
    <row r="264" spans="1:10">
      <c r="A264" s="5">
        <v>180373</v>
      </c>
      <c r="B264" s="5" t="s">
        <v>16</v>
      </c>
      <c r="C264" s="5" t="s">
        <v>31</v>
      </c>
      <c r="D264" s="5" t="s">
        <v>18</v>
      </c>
      <c r="E264" s="5" t="s">
        <v>19</v>
      </c>
      <c r="F264" s="5" t="s">
        <v>28</v>
      </c>
      <c r="G264" s="5" t="s">
        <v>24</v>
      </c>
      <c r="H264" s="5">
        <v>11932</v>
      </c>
      <c r="I264" s="5">
        <v>47</v>
      </c>
      <c r="J264" s="6">
        <f t="shared" si="4"/>
        <v>11885</v>
      </c>
    </row>
    <row r="265" spans="1:10">
      <c r="A265" s="5">
        <v>119636</v>
      </c>
      <c r="B265" s="5" t="s">
        <v>10</v>
      </c>
      <c r="C265" s="5" t="s">
        <v>27</v>
      </c>
      <c r="D265" s="5" t="s">
        <v>23</v>
      </c>
      <c r="E265" s="5" t="s">
        <v>19</v>
      </c>
      <c r="F265" s="5" t="s">
        <v>28</v>
      </c>
      <c r="G265" s="5" t="s">
        <v>15</v>
      </c>
      <c r="H265" s="5">
        <v>87820</v>
      </c>
      <c r="I265" s="5">
        <v>0</v>
      </c>
      <c r="J265" s="6">
        <f t="shared" si="4"/>
        <v>87820</v>
      </c>
    </row>
    <row r="266" spans="1:10">
      <c r="A266" s="5">
        <v>167884</v>
      </c>
      <c r="B266" s="5" t="s">
        <v>10</v>
      </c>
      <c r="C266" s="5" t="s">
        <v>27</v>
      </c>
      <c r="D266" s="5" t="s">
        <v>12</v>
      </c>
      <c r="E266" s="5" t="s">
        <v>13</v>
      </c>
      <c r="F266" s="5" t="s">
        <v>14</v>
      </c>
      <c r="G266" s="5" t="s">
        <v>24</v>
      </c>
      <c r="H266" s="5">
        <v>63677</v>
      </c>
      <c r="I266" s="5">
        <v>2524</v>
      </c>
      <c r="J266" s="6">
        <f t="shared" si="4"/>
        <v>61153</v>
      </c>
    </row>
    <row r="267" spans="1:10">
      <c r="A267" s="5">
        <v>197204</v>
      </c>
      <c r="B267" s="5" t="s">
        <v>10</v>
      </c>
      <c r="C267" s="5" t="s">
        <v>34</v>
      </c>
      <c r="D267" s="5" t="s">
        <v>29</v>
      </c>
      <c r="E267" s="5" t="s">
        <v>13</v>
      </c>
      <c r="F267" s="5" t="s">
        <v>28</v>
      </c>
      <c r="G267" s="5" t="s">
        <v>24</v>
      </c>
      <c r="H267" s="5">
        <v>41408</v>
      </c>
      <c r="I267" s="5">
        <v>403</v>
      </c>
      <c r="J267" s="6">
        <f t="shared" si="4"/>
        <v>41005</v>
      </c>
    </row>
    <row r="268" spans="1:10">
      <c r="A268" s="5">
        <v>109440</v>
      </c>
      <c r="B268" s="5" t="s">
        <v>10</v>
      </c>
      <c r="C268" s="5" t="s">
        <v>22</v>
      </c>
      <c r="D268" s="5" t="s">
        <v>36</v>
      </c>
      <c r="E268" s="5" t="s">
        <v>19</v>
      </c>
      <c r="F268" s="5" t="s">
        <v>28</v>
      </c>
      <c r="G268" s="5" t="s">
        <v>24</v>
      </c>
      <c r="H268" s="5">
        <v>687</v>
      </c>
      <c r="I268" s="5">
        <v>0</v>
      </c>
      <c r="J268" s="6">
        <f t="shared" si="4"/>
        <v>687</v>
      </c>
    </row>
    <row r="269" spans="1:10">
      <c r="A269" s="5">
        <v>86176</v>
      </c>
      <c r="B269" s="5" t="s">
        <v>10</v>
      </c>
      <c r="C269" s="5" t="s">
        <v>20</v>
      </c>
      <c r="D269" s="5" t="s">
        <v>32</v>
      </c>
      <c r="E269" s="5" t="s">
        <v>13</v>
      </c>
      <c r="F269" s="5" t="s">
        <v>14</v>
      </c>
      <c r="G269" s="5" t="s">
        <v>15</v>
      </c>
      <c r="H269" s="5">
        <v>24043</v>
      </c>
      <c r="I269" s="5">
        <v>344</v>
      </c>
      <c r="J269" s="6">
        <f t="shared" si="4"/>
        <v>23699</v>
      </c>
    </row>
    <row r="270" spans="1:10">
      <c r="A270" s="5">
        <v>208917</v>
      </c>
      <c r="B270" s="5" t="s">
        <v>10</v>
      </c>
      <c r="C270" s="5" t="s">
        <v>20</v>
      </c>
      <c r="D270" s="5" t="s">
        <v>32</v>
      </c>
      <c r="E270" s="5" t="s">
        <v>13</v>
      </c>
      <c r="F270" s="5" t="s">
        <v>14</v>
      </c>
      <c r="G270" s="5" t="s">
        <v>15</v>
      </c>
      <c r="H270" s="5">
        <v>18083</v>
      </c>
      <c r="I270" s="5">
        <v>0</v>
      </c>
      <c r="J270" s="6">
        <f t="shared" si="4"/>
        <v>18083</v>
      </c>
    </row>
    <row r="271" spans="1:10">
      <c r="A271" s="5">
        <v>118722</v>
      </c>
      <c r="B271" s="5" t="s">
        <v>10</v>
      </c>
      <c r="C271" s="5" t="s">
        <v>31</v>
      </c>
      <c r="D271" s="5" t="s">
        <v>26</v>
      </c>
      <c r="E271" s="5" t="s">
        <v>19</v>
      </c>
      <c r="F271" s="5" t="s">
        <v>14</v>
      </c>
      <c r="G271" s="5" t="s">
        <v>24</v>
      </c>
      <c r="H271" s="5">
        <v>21621</v>
      </c>
      <c r="I271" s="5">
        <v>388</v>
      </c>
      <c r="J271" s="6">
        <f t="shared" si="4"/>
        <v>21233</v>
      </c>
    </row>
    <row r="272" spans="1:10">
      <c r="A272" s="5">
        <v>93846</v>
      </c>
      <c r="B272" s="5" t="s">
        <v>10</v>
      </c>
      <c r="C272" s="5" t="s">
        <v>39</v>
      </c>
      <c r="D272" s="5" t="s">
        <v>23</v>
      </c>
      <c r="E272" s="5" t="s">
        <v>13</v>
      </c>
      <c r="F272" s="5" t="s">
        <v>14</v>
      </c>
      <c r="G272" s="5" t="s">
        <v>15</v>
      </c>
      <c r="H272" s="5">
        <v>45731</v>
      </c>
      <c r="I272" s="5">
        <v>243</v>
      </c>
      <c r="J272" s="6">
        <f t="shared" si="4"/>
        <v>45488</v>
      </c>
    </row>
    <row r="273" spans="1:10">
      <c r="A273" s="5">
        <v>20849</v>
      </c>
      <c r="B273" s="5" t="s">
        <v>16</v>
      </c>
      <c r="C273" s="5" t="s">
        <v>11</v>
      </c>
      <c r="D273" s="5" t="s">
        <v>32</v>
      </c>
      <c r="E273" s="5" t="s">
        <v>13</v>
      </c>
      <c r="F273" s="5" t="s">
        <v>14</v>
      </c>
      <c r="G273" s="5" t="s">
        <v>24</v>
      </c>
      <c r="H273" s="5">
        <v>-989</v>
      </c>
      <c r="I273" s="5">
        <v>0</v>
      </c>
      <c r="J273" s="6">
        <f t="shared" si="4"/>
        <v>-989</v>
      </c>
    </row>
    <row r="274" spans="1:10">
      <c r="A274" s="5">
        <v>28219</v>
      </c>
      <c r="B274" s="5" t="s">
        <v>10</v>
      </c>
      <c r="C274" s="5" t="s">
        <v>35</v>
      </c>
      <c r="D274" s="5" t="s">
        <v>36</v>
      </c>
      <c r="E274" s="5" t="s">
        <v>13</v>
      </c>
      <c r="F274" s="5" t="s">
        <v>14</v>
      </c>
      <c r="G274" s="5" t="s">
        <v>24</v>
      </c>
      <c r="H274" s="5">
        <v>66338</v>
      </c>
      <c r="I274" s="5">
        <v>883</v>
      </c>
      <c r="J274" s="6">
        <f t="shared" si="4"/>
        <v>65455</v>
      </c>
    </row>
    <row r="275" spans="1:10">
      <c r="A275" s="5">
        <v>151465</v>
      </c>
      <c r="B275" s="5" t="s">
        <v>10</v>
      </c>
      <c r="C275" s="5" t="s">
        <v>11</v>
      </c>
      <c r="D275" s="5" t="s">
        <v>26</v>
      </c>
      <c r="E275" s="5" t="s">
        <v>13</v>
      </c>
      <c r="F275" s="5" t="s">
        <v>14</v>
      </c>
      <c r="G275" s="5" t="s">
        <v>24</v>
      </c>
      <c r="H275" s="5">
        <v>63322</v>
      </c>
      <c r="I275" s="5">
        <v>252</v>
      </c>
      <c r="J275" s="6">
        <f t="shared" si="4"/>
        <v>63070</v>
      </c>
    </row>
    <row r="276" spans="1:10">
      <c r="A276" s="5">
        <v>63809</v>
      </c>
      <c r="B276" s="5" t="s">
        <v>10</v>
      </c>
      <c r="C276" s="5" t="s">
        <v>27</v>
      </c>
      <c r="D276" s="5" t="s">
        <v>26</v>
      </c>
      <c r="E276" s="5" t="s">
        <v>19</v>
      </c>
      <c r="F276" s="5" t="s">
        <v>14</v>
      </c>
      <c r="G276" s="5" t="s">
        <v>24</v>
      </c>
      <c r="H276" s="5">
        <v>19786</v>
      </c>
      <c r="I276" s="5">
        <v>338</v>
      </c>
      <c r="J276" s="6">
        <f t="shared" si="4"/>
        <v>19448</v>
      </c>
    </row>
    <row r="277" spans="1:10">
      <c r="A277" s="5">
        <v>46731</v>
      </c>
      <c r="B277" s="5" t="s">
        <v>16</v>
      </c>
      <c r="C277" s="5" t="s">
        <v>37</v>
      </c>
      <c r="D277" s="5" t="s">
        <v>33</v>
      </c>
      <c r="E277" s="5" t="s">
        <v>13</v>
      </c>
      <c r="F277" s="5" t="s">
        <v>14</v>
      </c>
      <c r="G277" s="5" t="s">
        <v>15</v>
      </c>
      <c r="H277" s="5">
        <v>46660</v>
      </c>
      <c r="I277" s="5">
        <v>963</v>
      </c>
      <c r="J277" s="6">
        <f t="shared" si="4"/>
        <v>45697</v>
      </c>
    </row>
    <row r="278" spans="1:10">
      <c r="A278" s="5">
        <v>57607</v>
      </c>
      <c r="B278" s="5" t="s">
        <v>10</v>
      </c>
      <c r="C278" s="5" t="s">
        <v>34</v>
      </c>
      <c r="D278" s="5" t="s">
        <v>32</v>
      </c>
      <c r="E278" s="5" t="s">
        <v>13</v>
      </c>
      <c r="F278" s="5" t="s">
        <v>28</v>
      </c>
      <c r="G278" s="5" t="s">
        <v>15</v>
      </c>
      <c r="H278" s="5">
        <v>115874</v>
      </c>
      <c r="I278" s="5">
        <v>1715</v>
      </c>
      <c r="J278" s="6">
        <f t="shared" si="4"/>
        <v>114159</v>
      </c>
    </row>
    <row r="279" spans="1:10">
      <c r="A279" s="5">
        <v>252311</v>
      </c>
      <c r="B279" s="5" t="s">
        <v>10</v>
      </c>
      <c r="C279" s="5" t="s">
        <v>17</v>
      </c>
      <c r="D279" s="5" t="s">
        <v>30</v>
      </c>
      <c r="E279" s="5" t="s">
        <v>19</v>
      </c>
      <c r="F279" s="5" t="s">
        <v>14</v>
      </c>
      <c r="G279" s="5" t="s">
        <v>15</v>
      </c>
      <c r="H279" s="5">
        <v>23868</v>
      </c>
      <c r="I279" s="5">
        <v>0</v>
      </c>
      <c r="J279" s="6">
        <f t="shared" si="4"/>
        <v>23868</v>
      </c>
    </row>
    <row r="280" spans="1:10">
      <c r="A280" s="5">
        <v>222043</v>
      </c>
      <c r="B280" s="5" t="s">
        <v>16</v>
      </c>
      <c r="C280" s="5" t="s">
        <v>25</v>
      </c>
      <c r="D280" s="5" t="s">
        <v>33</v>
      </c>
      <c r="E280" s="5" t="s">
        <v>13</v>
      </c>
      <c r="F280" s="5" t="s">
        <v>14</v>
      </c>
      <c r="G280" s="5" t="s">
        <v>15</v>
      </c>
      <c r="H280" s="5">
        <v>43868</v>
      </c>
      <c r="I280" s="5">
        <v>471</v>
      </c>
      <c r="J280" s="6">
        <f t="shared" si="4"/>
        <v>43397</v>
      </c>
    </row>
    <row r="281" spans="1:10">
      <c r="A281" s="5">
        <v>78939</v>
      </c>
      <c r="B281" s="5" t="s">
        <v>16</v>
      </c>
      <c r="C281" s="5" t="s">
        <v>20</v>
      </c>
      <c r="D281" s="5" t="s">
        <v>32</v>
      </c>
      <c r="E281" s="5" t="s">
        <v>13</v>
      </c>
      <c r="F281" s="5" t="s">
        <v>28</v>
      </c>
      <c r="G281" s="5" t="s">
        <v>15</v>
      </c>
      <c r="H281" s="5">
        <v>10966</v>
      </c>
      <c r="I281" s="5">
        <v>0</v>
      </c>
      <c r="J281" s="6">
        <f t="shared" si="4"/>
        <v>10966</v>
      </c>
    </row>
    <row r="282" spans="1:10">
      <c r="A282" s="5">
        <v>128173</v>
      </c>
      <c r="B282" s="5" t="s">
        <v>16</v>
      </c>
      <c r="C282" s="5" t="s">
        <v>22</v>
      </c>
      <c r="D282" s="5" t="s">
        <v>30</v>
      </c>
      <c r="E282" s="5" t="s">
        <v>13</v>
      </c>
      <c r="F282" s="5" t="s">
        <v>28</v>
      </c>
      <c r="G282" s="5" t="s">
        <v>15</v>
      </c>
      <c r="H282" s="5">
        <v>75468</v>
      </c>
      <c r="I282" s="5">
        <v>12</v>
      </c>
      <c r="J282" s="6">
        <f t="shared" si="4"/>
        <v>75456</v>
      </c>
    </row>
    <row r="283" spans="1:10">
      <c r="A283" s="5">
        <v>13408</v>
      </c>
      <c r="B283" s="5" t="s">
        <v>16</v>
      </c>
      <c r="C283" s="5" t="s">
        <v>34</v>
      </c>
      <c r="D283" s="5" t="s">
        <v>36</v>
      </c>
      <c r="E283" s="5" t="s">
        <v>13</v>
      </c>
      <c r="F283" s="5" t="s">
        <v>14</v>
      </c>
      <c r="G283" s="5" t="s">
        <v>24</v>
      </c>
      <c r="H283" s="5">
        <v>19340</v>
      </c>
      <c r="I283" s="5">
        <v>4583</v>
      </c>
      <c r="J283" s="6">
        <f t="shared" si="4"/>
        <v>14757</v>
      </c>
    </row>
    <row r="284" spans="1:10">
      <c r="A284" s="5">
        <v>176095</v>
      </c>
      <c r="B284" s="5" t="s">
        <v>16</v>
      </c>
      <c r="C284" s="5" t="s">
        <v>22</v>
      </c>
      <c r="D284" s="5" t="s">
        <v>30</v>
      </c>
      <c r="E284" s="5" t="s">
        <v>13</v>
      </c>
      <c r="F284" s="5" t="s">
        <v>28</v>
      </c>
      <c r="G284" s="5" t="s">
        <v>15</v>
      </c>
      <c r="H284" s="5">
        <v>204515</v>
      </c>
      <c r="I284" s="5">
        <v>3131</v>
      </c>
      <c r="J284" s="6">
        <f t="shared" si="4"/>
        <v>201384</v>
      </c>
    </row>
    <row r="285" spans="1:10">
      <c r="A285" s="5">
        <v>208936</v>
      </c>
      <c r="B285" s="5" t="s">
        <v>10</v>
      </c>
      <c r="C285" s="5" t="s">
        <v>38</v>
      </c>
      <c r="D285" s="5" t="s">
        <v>12</v>
      </c>
      <c r="E285" s="5" t="s">
        <v>13</v>
      </c>
      <c r="F285" s="5" t="s">
        <v>14</v>
      </c>
      <c r="G285" s="5" t="s">
        <v>15</v>
      </c>
      <c r="H285" s="5">
        <v>76777</v>
      </c>
      <c r="I285" s="5">
        <v>877</v>
      </c>
      <c r="J285" s="6">
        <f t="shared" si="4"/>
        <v>75900</v>
      </c>
    </row>
    <row r="286" spans="1:10">
      <c r="A286" s="5">
        <v>226207</v>
      </c>
      <c r="B286" s="5" t="s">
        <v>16</v>
      </c>
      <c r="C286" s="5" t="s">
        <v>25</v>
      </c>
      <c r="D286" s="5" t="s">
        <v>18</v>
      </c>
      <c r="E286" s="5" t="s">
        <v>19</v>
      </c>
      <c r="F286" s="5" t="s">
        <v>28</v>
      </c>
      <c r="G286" s="5" t="s">
        <v>24</v>
      </c>
      <c r="H286" s="5">
        <v>22865</v>
      </c>
      <c r="I286" s="5">
        <v>1045</v>
      </c>
      <c r="J286" s="6">
        <f t="shared" si="4"/>
        <v>21820</v>
      </c>
    </row>
    <row r="287" spans="1:10">
      <c r="A287" s="5">
        <v>79718</v>
      </c>
      <c r="B287" s="5" t="s">
        <v>16</v>
      </c>
      <c r="C287" s="5" t="s">
        <v>38</v>
      </c>
      <c r="D287" s="5" t="s">
        <v>30</v>
      </c>
      <c r="E287" s="5" t="s">
        <v>19</v>
      </c>
      <c r="F287" s="5" t="s">
        <v>14</v>
      </c>
      <c r="G287" s="5" t="s">
        <v>15</v>
      </c>
      <c r="H287" s="5">
        <v>170613</v>
      </c>
      <c r="I287" s="5">
        <v>9240</v>
      </c>
      <c r="J287" s="6">
        <f t="shared" si="4"/>
        <v>161373</v>
      </c>
    </row>
    <row r="288" spans="1:10">
      <c r="A288" s="5">
        <v>22739</v>
      </c>
      <c r="B288" s="5" t="s">
        <v>16</v>
      </c>
      <c r="C288" s="5" t="s">
        <v>11</v>
      </c>
      <c r="D288" s="5" t="s">
        <v>18</v>
      </c>
      <c r="E288" s="5" t="s">
        <v>13</v>
      </c>
      <c r="F288" s="5" t="s">
        <v>14</v>
      </c>
      <c r="G288" s="5" t="s">
        <v>15</v>
      </c>
      <c r="H288" s="5">
        <v>39073</v>
      </c>
      <c r="I288" s="5">
        <v>135</v>
      </c>
      <c r="J288" s="6">
        <f t="shared" si="4"/>
        <v>38938</v>
      </c>
    </row>
    <row r="289" spans="1:10">
      <c r="A289" s="5">
        <v>255004</v>
      </c>
      <c r="B289" s="5" t="s">
        <v>10</v>
      </c>
      <c r="C289" s="5" t="s">
        <v>17</v>
      </c>
      <c r="D289" s="5" t="s">
        <v>21</v>
      </c>
      <c r="E289" s="5" t="s">
        <v>19</v>
      </c>
      <c r="F289" s="5" t="s">
        <v>14</v>
      </c>
      <c r="G289" s="5" t="s">
        <v>24</v>
      </c>
      <c r="H289" s="5">
        <v>22825</v>
      </c>
      <c r="I289" s="5">
        <v>269</v>
      </c>
      <c r="J289" s="6">
        <f t="shared" si="4"/>
        <v>22556</v>
      </c>
    </row>
    <row r="290" spans="1:10">
      <c r="A290" s="5">
        <v>15439</v>
      </c>
      <c r="B290" s="5" t="s">
        <v>10</v>
      </c>
      <c r="C290" s="5" t="s">
        <v>11</v>
      </c>
      <c r="D290" s="5" t="s">
        <v>23</v>
      </c>
      <c r="E290" s="5" t="s">
        <v>13</v>
      </c>
      <c r="F290" s="5" t="s">
        <v>14</v>
      </c>
      <c r="G290" s="5" t="s">
        <v>24</v>
      </c>
      <c r="H290" s="5">
        <v>68022</v>
      </c>
      <c r="I290" s="5">
        <v>553</v>
      </c>
      <c r="J290" s="6">
        <f t="shared" si="4"/>
        <v>67469</v>
      </c>
    </row>
    <row r="291" spans="1:10">
      <c r="A291" s="5">
        <v>246317</v>
      </c>
      <c r="B291" s="5" t="s">
        <v>16</v>
      </c>
      <c r="C291" s="5" t="s">
        <v>17</v>
      </c>
      <c r="D291" s="5" t="s">
        <v>18</v>
      </c>
      <c r="E291" s="5" t="s">
        <v>19</v>
      </c>
      <c r="F291" s="5" t="s">
        <v>14</v>
      </c>
      <c r="G291" s="5" t="s">
        <v>15</v>
      </c>
      <c r="H291" s="5">
        <v>15649</v>
      </c>
      <c r="I291" s="5">
        <v>130</v>
      </c>
      <c r="J291" s="6">
        <f t="shared" si="4"/>
        <v>15519</v>
      </c>
    </row>
    <row r="292" spans="1:10">
      <c r="A292" s="5">
        <v>30618</v>
      </c>
      <c r="B292" s="5" t="s">
        <v>10</v>
      </c>
      <c r="C292" s="5" t="s">
        <v>11</v>
      </c>
      <c r="D292" s="5" t="s">
        <v>29</v>
      </c>
      <c r="E292" s="5" t="s">
        <v>19</v>
      </c>
      <c r="F292" s="5" t="s">
        <v>28</v>
      </c>
      <c r="G292" s="5" t="s">
        <v>24</v>
      </c>
      <c r="H292" s="5">
        <v>14902</v>
      </c>
      <c r="I292" s="5">
        <v>71</v>
      </c>
      <c r="J292" s="6">
        <f t="shared" si="4"/>
        <v>14831</v>
      </c>
    </row>
    <row r="293" spans="1:10">
      <c r="A293" s="5">
        <v>138220</v>
      </c>
      <c r="B293" s="5" t="s">
        <v>16</v>
      </c>
      <c r="C293" s="5" t="s">
        <v>25</v>
      </c>
      <c r="D293" s="5" t="s">
        <v>23</v>
      </c>
      <c r="E293" s="5" t="s">
        <v>19</v>
      </c>
      <c r="F293" s="5" t="s">
        <v>14</v>
      </c>
      <c r="G293" s="5" t="s">
        <v>15</v>
      </c>
      <c r="H293" s="5">
        <v>50117</v>
      </c>
      <c r="I293" s="5">
        <v>1579</v>
      </c>
      <c r="J293" s="6">
        <f t="shared" si="4"/>
        <v>48538</v>
      </c>
    </row>
    <row r="294" spans="1:10">
      <c r="A294" s="5">
        <v>14608</v>
      </c>
      <c r="B294" s="5" t="s">
        <v>16</v>
      </c>
      <c r="C294" s="5" t="s">
        <v>39</v>
      </c>
      <c r="D294" s="5" t="s">
        <v>32</v>
      </c>
      <c r="E294" s="5" t="s">
        <v>13</v>
      </c>
      <c r="F294" s="5" t="s">
        <v>14</v>
      </c>
      <c r="G294" s="5" t="s">
        <v>15</v>
      </c>
      <c r="H294" s="5">
        <v>10032</v>
      </c>
      <c r="I294" s="5">
        <v>1311</v>
      </c>
      <c r="J294" s="6">
        <f t="shared" si="4"/>
        <v>8721</v>
      </c>
    </row>
    <row r="295" spans="1:10">
      <c r="A295" s="5">
        <v>176137</v>
      </c>
      <c r="B295" s="5" t="s">
        <v>16</v>
      </c>
      <c r="C295" s="5" t="s">
        <v>25</v>
      </c>
      <c r="D295" s="5" t="s">
        <v>33</v>
      </c>
      <c r="E295" s="5" t="s">
        <v>13</v>
      </c>
      <c r="F295" s="5" t="s">
        <v>14</v>
      </c>
      <c r="G295" s="5" t="s">
        <v>15</v>
      </c>
      <c r="H295" s="5">
        <v>145393</v>
      </c>
      <c r="I295" s="5">
        <v>3046</v>
      </c>
      <c r="J295" s="6">
        <f t="shared" si="4"/>
        <v>142347</v>
      </c>
    </row>
    <row r="296" spans="1:10">
      <c r="A296" s="5">
        <v>93869</v>
      </c>
      <c r="B296" s="5" t="s">
        <v>10</v>
      </c>
      <c r="C296" s="5" t="s">
        <v>20</v>
      </c>
      <c r="D296" s="5" t="s">
        <v>32</v>
      </c>
      <c r="E296" s="5" t="s">
        <v>13</v>
      </c>
      <c r="F296" s="5" t="s">
        <v>14</v>
      </c>
      <c r="G296" s="5" t="s">
        <v>15</v>
      </c>
      <c r="H296" s="5">
        <v>1530</v>
      </c>
      <c r="I296" s="5">
        <v>0</v>
      </c>
      <c r="J296" s="6">
        <f t="shared" si="4"/>
        <v>1530</v>
      </c>
    </row>
    <row r="297" spans="1:10">
      <c r="A297" s="5">
        <v>122150</v>
      </c>
      <c r="B297" s="5" t="s">
        <v>16</v>
      </c>
      <c r="C297" s="5" t="s">
        <v>25</v>
      </c>
      <c r="D297" s="5" t="s">
        <v>30</v>
      </c>
      <c r="E297" s="5" t="s">
        <v>19</v>
      </c>
      <c r="F297" s="5" t="s">
        <v>14</v>
      </c>
      <c r="G297" s="5" t="s">
        <v>15</v>
      </c>
      <c r="H297" s="5">
        <v>45494</v>
      </c>
      <c r="I297" s="5">
        <v>2619</v>
      </c>
      <c r="J297" s="6">
        <f t="shared" si="4"/>
        <v>42875</v>
      </c>
    </row>
    <row r="298" spans="1:10">
      <c r="A298" s="5">
        <v>214004</v>
      </c>
      <c r="B298" s="5" t="s">
        <v>16</v>
      </c>
      <c r="C298" s="5" t="s">
        <v>38</v>
      </c>
      <c r="D298" s="5" t="s">
        <v>21</v>
      </c>
      <c r="E298" s="5" t="s">
        <v>19</v>
      </c>
      <c r="F298" s="5" t="s">
        <v>14</v>
      </c>
      <c r="G298" s="5" t="s">
        <v>24</v>
      </c>
      <c r="H298" s="5">
        <v>33927</v>
      </c>
      <c r="I298" s="5">
        <v>625</v>
      </c>
      <c r="J298" s="6">
        <f t="shared" si="4"/>
        <v>33302</v>
      </c>
    </row>
    <row r="299" spans="1:10">
      <c r="A299" s="5">
        <v>212726</v>
      </c>
      <c r="B299" s="5" t="s">
        <v>16</v>
      </c>
      <c r="C299" s="5" t="s">
        <v>34</v>
      </c>
      <c r="D299" s="5" t="s">
        <v>30</v>
      </c>
      <c r="E299" s="5" t="s">
        <v>13</v>
      </c>
      <c r="F299" s="5" t="s">
        <v>14</v>
      </c>
      <c r="G299" s="5" t="s">
        <v>15</v>
      </c>
      <c r="H299" s="5">
        <v>40478</v>
      </c>
      <c r="I299" s="5">
        <v>1196</v>
      </c>
      <c r="J299" s="6">
        <f t="shared" si="4"/>
        <v>39282</v>
      </c>
    </row>
    <row r="300" spans="1:10">
      <c r="A300" s="5">
        <v>138196</v>
      </c>
      <c r="B300" s="5" t="s">
        <v>10</v>
      </c>
      <c r="C300" s="5" t="s">
        <v>22</v>
      </c>
      <c r="D300" s="5" t="s">
        <v>32</v>
      </c>
      <c r="E300" s="5" t="s">
        <v>13</v>
      </c>
      <c r="F300" s="5" t="s">
        <v>14</v>
      </c>
      <c r="G300" s="5" t="s">
        <v>24</v>
      </c>
      <c r="H300" s="5">
        <v>48598</v>
      </c>
      <c r="I300" s="5">
        <v>89</v>
      </c>
      <c r="J300" s="6">
        <f t="shared" si="4"/>
        <v>48509</v>
      </c>
    </row>
    <row r="301" spans="1:10">
      <c r="A301" s="5">
        <v>197142</v>
      </c>
      <c r="B301" s="5" t="s">
        <v>10</v>
      </c>
      <c r="C301" s="5" t="s">
        <v>11</v>
      </c>
      <c r="D301" s="5" t="s">
        <v>29</v>
      </c>
      <c r="E301" s="5" t="s">
        <v>13</v>
      </c>
      <c r="F301" s="5" t="s">
        <v>14</v>
      </c>
      <c r="G301" s="5" t="s">
        <v>15</v>
      </c>
      <c r="H301" s="5">
        <v>64041</v>
      </c>
      <c r="I301" s="5">
        <v>479</v>
      </c>
      <c r="J301" s="6">
        <f t="shared" si="4"/>
        <v>63562</v>
      </c>
    </row>
    <row r="302" spans="1:10">
      <c r="A302" s="5">
        <v>16982</v>
      </c>
      <c r="B302" s="5" t="s">
        <v>16</v>
      </c>
      <c r="C302" s="5" t="s">
        <v>11</v>
      </c>
      <c r="D302" s="5" t="s">
        <v>36</v>
      </c>
      <c r="E302" s="5" t="s">
        <v>13</v>
      </c>
      <c r="F302" s="5" t="s">
        <v>14</v>
      </c>
      <c r="G302" s="5" t="s">
        <v>24</v>
      </c>
      <c r="H302" s="5">
        <v>278</v>
      </c>
      <c r="I302" s="5">
        <v>0</v>
      </c>
      <c r="J302" s="6">
        <f t="shared" si="4"/>
        <v>278</v>
      </c>
    </row>
    <row r="303" spans="1:10">
      <c r="A303" s="5">
        <v>195385</v>
      </c>
      <c r="B303" s="5" t="s">
        <v>10</v>
      </c>
      <c r="C303" s="5" t="s">
        <v>11</v>
      </c>
      <c r="D303" s="5" t="s">
        <v>29</v>
      </c>
      <c r="E303" s="5" t="s">
        <v>13</v>
      </c>
      <c r="F303" s="5" t="s">
        <v>14</v>
      </c>
      <c r="G303" s="5" t="s">
        <v>15</v>
      </c>
      <c r="H303" s="5">
        <v>107092</v>
      </c>
      <c r="I303" s="5">
        <v>9015</v>
      </c>
      <c r="J303" s="6">
        <f t="shared" si="4"/>
        <v>98077</v>
      </c>
    </row>
    <row r="304" spans="1:10">
      <c r="A304" s="5">
        <v>93997</v>
      </c>
      <c r="B304" s="5" t="s">
        <v>16</v>
      </c>
      <c r="C304" s="5" t="s">
        <v>38</v>
      </c>
      <c r="D304" s="5" t="s">
        <v>32</v>
      </c>
      <c r="E304" s="5" t="s">
        <v>13</v>
      </c>
      <c r="F304" s="5" t="s">
        <v>14</v>
      </c>
      <c r="G304" s="5" t="s">
        <v>15</v>
      </c>
      <c r="H304" s="5">
        <v>3202</v>
      </c>
      <c r="I304" s="5">
        <v>1089</v>
      </c>
      <c r="J304" s="6">
        <f t="shared" si="4"/>
        <v>2113</v>
      </c>
    </row>
    <row r="305" spans="1:10">
      <c r="A305" s="5">
        <v>95481</v>
      </c>
      <c r="B305" s="5" t="s">
        <v>16</v>
      </c>
      <c r="C305" s="5" t="s">
        <v>37</v>
      </c>
      <c r="D305" s="5" t="s">
        <v>30</v>
      </c>
      <c r="E305" s="5" t="s">
        <v>13</v>
      </c>
      <c r="F305" s="5" t="s">
        <v>14</v>
      </c>
      <c r="G305" s="5" t="s">
        <v>15</v>
      </c>
      <c r="H305" s="5">
        <v>45498</v>
      </c>
      <c r="I305" s="5">
        <v>3331</v>
      </c>
      <c r="J305" s="6">
        <f t="shared" si="4"/>
        <v>42167</v>
      </c>
    </row>
    <row r="306" spans="1:10">
      <c r="A306" s="5">
        <v>96643</v>
      </c>
      <c r="B306" s="5" t="s">
        <v>10</v>
      </c>
      <c r="C306" s="5" t="s">
        <v>34</v>
      </c>
      <c r="D306" s="5" t="s">
        <v>32</v>
      </c>
      <c r="E306" s="5" t="s">
        <v>13</v>
      </c>
      <c r="F306" s="5" t="s">
        <v>14</v>
      </c>
      <c r="G306" s="5" t="s">
        <v>15</v>
      </c>
      <c r="H306" s="5">
        <v>68615</v>
      </c>
      <c r="I306" s="5">
        <v>129</v>
      </c>
      <c r="J306" s="6">
        <f t="shared" si="4"/>
        <v>68486</v>
      </c>
    </row>
    <row r="307" spans="1:10">
      <c r="A307" s="5">
        <v>89401</v>
      </c>
      <c r="B307" s="5" t="s">
        <v>16</v>
      </c>
      <c r="C307" s="5" t="s">
        <v>37</v>
      </c>
      <c r="D307" s="5" t="s">
        <v>30</v>
      </c>
      <c r="E307" s="5" t="s">
        <v>19</v>
      </c>
      <c r="F307" s="5" t="s">
        <v>14</v>
      </c>
      <c r="G307" s="5" t="s">
        <v>24</v>
      </c>
      <c r="H307" s="5">
        <v>31488</v>
      </c>
      <c r="I307" s="5">
        <v>1881</v>
      </c>
      <c r="J307" s="6">
        <f t="shared" si="4"/>
        <v>29607</v>
      </c>
    </row>
    <row r="308" spans="1:10">
      <c r="A308" s="5">
        <v>257573</v>
      </c>
      <c r="B308" s="5" t="s">
        <v>10</v>
      </c>
      <c r="C308" s="5" t="s">
        <v>35</v>
      </c>
      <c r="D308" s="5" t="s">
        <v>33</v>
      </c>
      <c r="E308" s="5" t="s">
        <v>19</v>
      </c>
      <c r="F308" s="5" t="s">
        <v>14</v>
      </c>
      <c r="G308" s="5" t="s">
        <v>24</v>
      </c>
      <c r="H308" s="5">
        <v>38450</v>
      </c>
      <c r="I308" s="5">
        <v>3238</v>
      </c>
      <c r="J308" s="6">
        <f t="shared" si="4"/>
        <v>35212</v>
      </c>
    </row>
    <row r="309" spans="1:10">
      <c r="A309" s="5">
        <v>178658</v>
      </c>
      <c r="B309" s="5" t="s">
        <v>10</v>
      </c>
      <c r="C309" s="5" t="s">
        <v>17</v>
      </c>
      <c r="D309" s="5" t="s">
        <v>18</v>
      </c>
      <c r="E309" s="5" t="s">
        <v>19</v>
      </c>
      <c r="F309" s="5" t="s">
        <v>14</v>
      </c>
      <c r="G309" s="5" t="s">
        <v>24</v>
      </c>
      <c r="H309" s="5">
        <v>41728</v>
      </c>
      <c r="I309" s="5">
        <v>1119</v>
      </c>
      <c r="J309" s="6">
        <f t="shared" si="4"/>
        <v>40609</v>
      </c>
    </row>
    <row r="310" spans="1:10">
      <c r="A310" s="5">
        <v>225363</v>
      </c>
      <c r="B310" s="5" t="s">
        <v>10</v>
      </c>
      <c r="C310" s="5" t="s">
        <v>25</v>
      </c>
      <c r="D310" s="5" t="s">
        <v>23</v>
      </c>
      <c r="E310" s="5" t="s">
        <v>13</v>
      </c>
      <c r="F310" s="5" t="s">
        <v>28</v>
      </c>
      <c r="G310" s="5" t="s">
        <v>24</v>
      </c>
      <c r="H310" s="5">
        <v>52404</v>
      </c>
      <c r="I310" s="5">
        <v>2907</v>
      </c>
      <c r="J310" s="6">
        <f t="shared" si="4"/>
        <v>49497</v>
      </c>
    </row>
    <row r="311" spans="1:10">
      <c r="A311" s="5">
        <v>5070</v>
      </c>
      <c r="B311" s="5" t="s">
        <v>16</v>
      </c>
      <c r="C311" s="5" t="s">
        <v>37</v>
      </c>
      <c r="D311" s="5" t="s">
        <v>23</v>
      </c>
      <c r="E311" s="5" t="s">
        <v>13</v>
      </c>
      <c r="F311" s="5" t="s">
        <v>14</v>
      </c>
      <c r="G311" s="5" t="s">
        <v>24</v>
      </c>
      <c r="H311" s="5">
        <v>15171</v>
      </c>
      <c r="I311" s="5">
        <v>1358</v>
      </c>
      <c r="J311" s="6">
        <f t="shared" si="4"/>
        <v>13813</v>
      </c>
    </row>
    <row r="312" spans="1:10">
      <c r="A312" s="5">
        <v>48077</v>
      </c>
      <c r="B312" s="5" t="s">
        <v>16</v>
      </c>
      <c r="C312" s="5" t="s">
        <v>34</v>
      </c>
      <c r="D312" s="5" t="s">
        <v>36</v>
      </c>
      <c r="E312" s="5" t="s">
        <v>13</v>
      </c>
      <c r="F312" s="5" t="s">
        <v>14</v>
      </c>
      <c r="G312" s="5" t="s">
        <v>24</v>
      </c>
      <c r="H312" s="5">
        <v>74453</v>
      </c>
      <c r="I312" s="5">
        <v>689</v>
      </c>
      <c r="J312" s="6">
        <f t="shared" si="4"/>
        <v>73764</v>
      </c>
    </row>
    <row r="313" spans="1:10">
      <c r="A313" s="5">
        <v>16539</v>
      </c>
      <c r="B313" s="5" t="s">
        <v>16</v>
      </c>
      <c r="C313" s="5" t="s">
        <v>11</v>
      </c>
      <c r="D313" s="5" t="s">
        <v>32</v>
      </c>
      <c r="E313" s="5" t="s">
        <v>13</v>
      </c>
      <c r="F313" s="5" t="s">
        <v>28</v>
      </c>
      <c r="G313" s="5" t="s">
        <v>24</v>
      </c>
      <c r="H313" s="5">
        <v>19648</v>
      </c>
      <c r="I313" s="5">
        <v>675</v>
      </c>
      <c r="J313" s="6">
        <f t="shared" si="4"/>
        <v>18973</v>
      </c>
    </row>
    <row r="314" spans="1:10">
      <c r="A314" s="5">
        <v>54288</v>
      </c>
      <c r="B314" s="5" t="s">
        <v>10</v>
      </c>
      <c r="C314" s="5" t="s">
        <v>35</v>
      </c>
      <c r="D314" s="5" t="s">
        <v>30</v>
      </c>
      <c r="E314" s="5" t="s">
        <v>13</v>
      </c>
      <c r="F314" s="5" t="s">
        <v>14</v>
      </c>
      <c r="G314" s="5" t="s">
        <v>15</v>
      </c>
      <c r="H314" s="5">
        <v>80271</v>
      </c>
      <c r="I314" s="5">
        <v>1491</v>
      </c>
      <c r="J314" s="6">
        <f t="shared" si="4"/>
        <v>78780</v>
      </c>
    </row>
    <row r="315" spans="1:10">
      <c r="A315" s="5">
        <v>213966</v>
      </c>
      <c r="B315" s="5" t="s">
        <v>16</v>
      </c>
      <c r="C315" s="5" t="s">
        <v>11</v>
      </c>
      <c r="D315" s="5" t="s">
        <v>12</v>
      </c>
      <c r="E315" s="5" t="s">
        <v>13</v>
      </c>
      <c r="F315" s="5" t="s">
        <v>28</v>
      </c>
      <c r="G315" s="5" t="s">
        <v>15</v>
      </c>
      <c r="H315" s="5">
        <v>119681</v>
      </c>
      <c r="I315" s="5">
        <v>9</v>
      </c>
      <c r="J315" s="6">
        <f t="shared" si="4"/>
        <v>119672</v>
      </c>
    </row>
    <row r="316" spans="1:10">
      <c r="A316" s="5">
        <v>184551</v>
      </c>
      <c r="B316" s="5" t="s">
        <v>16</v>
      </c>
      <c r="C316" s="5" t="s">
        <v>34</v>
      </c>
      <c r="D316" s="5" t="s">
        <v>32</v>
      </c>
      <c r="E316" s="5" t="s">
        <v>13</v>
      </c>
      <c r="F316" s="5" t="s">
        <v>14</v>
      </c>
      <c r="G316" s="5" t="s">
        <v>24</v>
      </c>
      <c r="H316" s="5">
        <v>2629</v>
      </c>
      <c r="I316" s="5">
        <v>0</v>
      </c>
      <c r="J316" s="6">
        <f t="shared" si="4"/>
        <v>2629</v>
      </c>
    </row>
    <row r="317" spans="1:10">
      <c r="A317" s="5">
        <v>7022</v>
      </c>
      <c r="B317" s="5" t="s">
        <v>10</v>
      </c>
      <c r="C317" s="5" t="s">
        <v>20</v>
      </c>
      <c r="D317" s="5" t="s">
        <v>32</v>
      </c>
      <c r="E317" s="5" t="s">
        <v>13</v>
      </c>
      <c r="F317" s="5" t="s">
        <v>14</v>
      </c>
      <c r="G317" s="5" t="s">
        <v>15</v>
      </c>
      <c r="H317" s="5">
        <v>130322</v>
      </c>
      <c r="I317" s="5">
        <v>211</v>
      </c>
      <c r="J317" s="6">
        <f t="shared" si="4"/>
        <v>130111</v>
      </c>
    </row>
    <row r="318" spans="1:10">
      <c r="A318" s="5">
        <v>95674</v>
      </c>
      <c r="B318" s="5" t="s">
        <v>16</v>
      </c>
      <c r="C318" s="5" t="s">
        <v>37</v>
      </c>
      <c r="D318" s="5" t="s">
        <v>33</v>
      </c>
      <c r="E318" s="5" t="s">
        <v>13</v>
      </c>
      <c r="F318" s="5" t="s">
        <v>14</v>
      </c>
      <c r="G318" s="5" t="s">
        <v>15</v>
      </c>
      <c r="H318" s="5">
        <v>42586</v>
      </c>
      <c r="I318" s="5">
        <v>0</v>
      </c>
      <c r="J318" s="6">
        <f t="shared" si="4"/>
        <v>42586</v>
      </c>
    </row>
    <row r="319" spans="1:10">
      <c r="A319" s="5">
        <v>191306</v>
      </c>
      <c r="B319" s="5" t="s">
        <v>10</v>
      </c>
      <c r="C319" s="5" t="s">
        <v>34</v>
      </c>
      <c r="D319" s="5" t="s">
        <v>29</v>
      </c>
      <c r="E319" s="5" t="s">
        <v>13</v>
      </c>
      <c r="F319" s="5" t="s">
        <v>28</v>
      </c>
      <c r="G319" s="5" t="s">
        <v>24</v>
      </c>
      <c r="H319" s="5">
        <v>116709</v>
      </c>
      <c r="I319" s="5">
        <v>25855</v>
      </c>
      <c r="J319" s="6">
        <f t="shared" si="4"/>
        <v>90854</v>
      </c>
    </row>
    <row r="320" spans="1:10">
      <c r="A320" s="5">
        <v>15144</v>
      </c>
      <c r="B320" s="5" t="s">
        <v>16</v>
      </c>
      <c r="C320" s="5" t="s">
        <v>11</v>
      </c>
      <c r="D320" s="5" t="s">
        <v>36</v>
      </c>
      <c r="E320" s="5" t="s">
        <v>19</v>
      </c>
      <c r="F320" s="5" t="s">
        <v>14</v>
      </c>
      <c r="G320" s="5" t="s">
        <v>24</v>
      </c>
      <c r="H320" s="5">
        <v>77766</v>
      </c>
      <c r="I320" s="5">
        <v>3966</v>
      </c>
      <c r="J320" s="6">
        <f t="shared" si="4"/>
        <v>73800</v>
      </c>
    </row>
    <row r="321" spans="1:10">
      <c r="A321" s="5">
        <v>228842</v>
      </c>
      <c r="B321" s="5" t="s">
        <v>10</v>
      </c>
      <c r="C321" s="5" t="s">
        <v>22</v>
      </c>
      <c r="D321" s="5" t="s">
        <v>23</v>
      </c>
      <c r="E321" s="5" t="s">
        <v>19</v>
      </c>
      <c r="F321" s="5" t="s">
        <v>14</v>
      </c>
      <c r="G321" s="5" t="s">
        <v>24</v>
      </c>
      <c r="H321" s="5">
        <v>76166</v>
      </c>
      <c r="I321" s="5">
        <v>1318</v>
      </c>
      <c r="J321" s="6">
        <f t="shared" si="4"/>
        <v>74848</v>
      </c>
    </row>
    <row r="322" spans="1:10">
      <c r="A322" s="5">
        <v>85804</v>
      </c>
      <c r="B322" s="5" t="s">
        <v>16</v>
      </c>
      <c r="C322" s="5" t="s">
        <v>34</v>
      </c>
      <c r="D322" s="5" t="s">
        <v>18</v>
      </c>
      <c r="E322" s="5" t="s">
        <v>19</v>
      </c>
      <c r="F322" s="5" t="s">
        <v>28</v>
      </c>
      <c r="G322" s="5" t="s">
        <v>15</v>
      </c>
      <c r="H322" s="5">
        <v>28863</v>
      </c>
      <c r="I322" s="5">
        <v>643</v>
      </c>
      <c r="J322" s="6">
        <f t="shared" ref="J322:J385" si="5">H322-I322</f>
        <v>28220</v>
      </c>
    </row>
    <row r="323" spans="1:10">
      <c r="A323" s="5">
        <v>236644</v>
      </c>
      <c r="B323" s="5" t="s">
        <v>10</v>
      </c>
      <c r="C323" s="5" t="s">
        <v>17</v>
      </c>
      <c r="D323" s="5" t="s">
        <v>33</v>
      </c>
      <c r="E323" s="5" t="s">
        <v>19</v>
      </c>
      <c r="F323" s="5" t="s">
        <v>28</v>
      </c>
      <c r="G323" s="5" t="s">
        <v>15</v>
      </c>
      <c r="H323" s="5">
        <v>45633</v>
      </c>
      <c r="I323" s="5">
        <v>378</v>
      </c>
      <c r="J323" s="6">
        <f t="shared" si="5"/>
        <v>45255</v>
      </c>
    </row>
    <row r="324" spans="1:10">
      <c r="A324" s="5">
        <v>25262</v>
      </c>
      <c r="B324" s="5" t="s">
        <v>10</v>
      </c>
      <c r="C324" s="5" t="s">
        <v>35</v>
      </c>
      <c r="D324" s="5" t="s">
        <v>18</v>
      </c>
      <c r="E324" s="5" t="s">
        <v>19</v>
      </c>
      <c r="F324" s="5" t="s">
        <v>14</v>
      </c>
      <c r="G324" s="5" t="s">
        <v>24</v>
      </c>
      <c r="H324" s="5">
        <v>75128</v>
      </c>
      <c r="I324" s="5">
        <v>5039</v>
      </c>
      <c r="J324" s="6">
        <f t="shared" si="5"/>
        <v>70089</v>
      </c>
    </row>
    <row r="325" spans="1:10">
      <c r="A325" s="5">
        <v>51196</v>
      </c>
      <c r="B325" s="5" t="s">
        <v>10</v>
      </c>
      <c r="C325" s="5" t="s">
        <v>35</v>
      </c>
      <c r="D325" s="5" t="s">
        <v>18</v>
      </c>
      <c r="E325" s="5" t="s">
        <v>13</v>
      </c>
      <c r="F325" s="5" t="s">
        <v>14</v>
      </c>
      <c r="G325" s="5" t="s">
        <v>24</v>
      </c>
      <c r="H325" s="5">
        <v>78897</v>
      </c>
      <c r="I325" s="5">
        <v>27267</v>
      </c>
      <c r="J325" s="6">
        <f t="shared" si="5"/>
        <v>51630</v>
      </c>
    </row>
    <row r="326" spans="1:10">
      <c r="A326" s="5">
        <v>224954</v>
      </c>
      <c r="B326" s="5" t="s">
        <v>16</v>
      </c>
      <c r="C326" s="5" t="s">
        <v>25</v>
      </c>
      <c r="D326" s="5" t="s">
        <v>21</v>
      </c>
      <c r="E326" s="5" t="s">
        <v>19</v>
      </c>
      <c r="F326" s="5" t="s">
        <v>14</v>
      </c>
      <c r="G326" s="5" t="s">
        <v>24</v>
      </c>
      <c r="H326" s="5">
        <v>67510</v>
      </c>
      <c r="I326" s="5">
        <v>328</v>
      </c>
      <c r="J326" s="6">
        <f t="shared" si="5"/>
        <v>67182</v>
      </c>
    </row>
    <row r="327" spans="1:10">
      <c r="A327" s="5">
        <v>215569</v>
      </c>
      <c r="B327" s="5" t="s">
        <v>10</v>
      </c>
      <c r="C327" s="5" t="s">
        <v>38</v>
      </c>
      <c r="D327" s="5" t="s">
        <v>26</v>
      </c>
      <c r="E327" s="5" t="s">
        <v>13</v>
      </c>
      <c r="F327" s="5" t="s">
        <v>14</v>
      </c>
      <c r="G327" s="5" t="s">
        <v>24</v>
      </c>
      <c r="H327" s="5">
        <v>43561</v>
      </c>
      <c r="I327" s="5">
        <v>1110</v>
      </c>
      <c r="J327" s="6">
        <f t="shared" si="5"/>
        <v>42451</v>
      </c>
    </row>
    <row r="328" spans="1:10">
      <c r="A328" s="5">
        <v>160367</v>
      </c>
      <c r="B328" s="5" t="s">
        <v>16</v>
      </c>
      <c r="C328" s="5" t="s">
        <v>25</v>
      </c>
      <c r="D328" s="5" t="s">
        <v>30</v>
      </c>
      <c r="E328" s="5" t="s">
        <v>19</v>
      </c>
      <c r="F328" s="5" t="s">
        <v>28</v>
      </c>
      <c r="G328" s="5" t="s">
        <v>24</v>
      </c>
      <c r="H328" s="5">
        <v>59184</v>
      </c>
      <c r="I328" s="5">
        <v>3283</v>
      </c>
      <c r="J328" s="6">
        <f t="shared" si="5"/>
        <v>55901</v>
      </c>
    </row>
    <row r="329" spans="1:10">
      <c r="A329" s="5">
        <v>97324</v>
      </c>
      <c r="B329" s="5" t="s">
        <v>16</v>
      </c>
      <c r="C329" s="5" t="s">
        <v>38</v>
      </c>
      <c r="D329" s="5" t="s">
        <v>12</v>
      </c>
      <c r="E329" s="5" t="s">
        <v>13</v>
      </c>
      <c r="F329" s="5" t="s">
        <v>14</v>
      </c>
      <c r="G329" s="5" t="s">
        <v>15</v>
      </c>
      <c r="H329" s="5">
        <v>69530</v>
      </c>
      <c r="I329" s="5">
        <v>1666</v>
      </c>
      <c r="J329" s="6">
        <f t="shared" si="5"/>
        <v>67864</v>
      </c>
    </row>
    <row r="330" spans="1:10">
      <c r="A330" s="5">
        <v>9440</v>
      </c>
      <c r="B330" s="5" t="s">
        <v>16</v>
      </c>
      <c r="C330" s="5" t="s">
        <v>20</v>
      </c>
      <c r="D330" s="5" t="s">
        <v>32</v>
      </c>
      <c r="E330" s="5" t="s">
        <v>13</v>
      </c>
      <c r="F330" s="5" t="s">
        <v>14</v>
      </c>
      <c r="G330" s="5" t="s">
        <v>15</v>
      </c>
      <c r="H330" s="5">
        <v>138540</v>
      </c>
      <c r="I330" s="5">
        <v>0</v>
      </c>
      <c r="J330" s="6">
        <f t="shared" si="5"/>
        <v>138540</v>
      </c>
    </row>
    <row r="331" spans="1:10">
      <c r="A331" s="5">
        <v>57702</v>
      </c>
      <c r="B331" s="5" t="s">
        <v>10</v>
      </c>
      <c r="C331" s="5" t="s">
        <v>27</v>
      </c>
      <c r="D331" s="5" t="s">
        <v>12</v>
      </c>
      <c r="E331" s="5" t="s">
        <v>13</v>
      </c>
      <c r="F331" s="5" t="s">
        <v>14</v>
      </c>
      <c r="G331" s="5" t="s">
        <v>15</v>
      </c>
      <c r="H331" s="5">
        <v>49108</v>
      </c>
      <c r="I331" s="5">
        <v>526</v>
      </c>
      <c r="J331" s="6">
        <f t="shared" si="5"/>
        <v>48582</v>
      </c>
    </row>
    <row r="332" spans="1:10">
      <c r="A332" s="5">
        <v>204160</v>
      </c>
      <c r="B332" s="5" t="s">
        <v>16</v>
      </c>
      <c r="C332" s="5" t="s">
        <v>37</v>
      </c>
      <c r="D332" s="5" t="s">
        <v>33</v>
      </c>
      <c r="E332" s="5" t="s">
        <v>19</v>
      </c>
      <c r="F332" s="5" t="s">
        <v>28</v>
      </c>
      <c r="G332" s="5" t="s">
        <v>15</v>
      </c>
      <c r="H332" s="5">
        <v>48662</v>
      </c>
      <c r="I332" s="5">
        <v>5455</v>
      </c>
      <c r="J332" s="6">
        <f t="shared" si="5"/>
        <v>43207</v>
      </c>
    </row>
    <row r="333" spans="1:10">
      <c r="A333" s="5">
        <v>55923</v>
      </c>
      <c r="B333" s="5" t="s">
        <v>10</v>
      </c>
      <c r="C333" s="5" t="s">
        <v>11</v>
      </c>
      <c r="D333" s="5" t="s">
        <v>30</v>
      </c>
      <c r="E333" s="5" t="s">
        <v>13</v>
      </c>
      <c r="F333" s="5" t="s">
        <v>28</v>
      </c>
      <c r="G333" s="5" t="s">
        <v>24</v>
      </c>
      <c r="H333" s="5">
        <v>37481</v>
      </c>
      <c r="I333" s="5">
        <v>6022</v>
      </c>
      <c r="J333" s="6">
        <f t="shared" si="5"/>
        <v>31459</v>
      </c>
    </row>
    <row r="334" spans="1:10">
      <c r="A334" s="5">
        <v>5092</v>
      </c>
      <c r="B334" s="5" t="s">
        <v>10</v>
      </c>
      <c r="C334" s="5" t="s">
        <v>37</v>
      </c>
      <c r="D334" s="5" t="s">
        <v>33</v>
      </c>
      <c r="E334" s="5" t="s">
        <v>13</v>
      </c>
      <c r="F334" s="5" t="s">
        <v>28</v>
      </c>
      <c r="G334" s="5" t="s">
        <v>15</v>
      </c>
      <c r="H334" s="5">
        <v>65253</v>
      </c>
      <c r="I334" s="5">
        <v>756</v>
      </c>
      <c r="J334" s="6">
        <f t="shared" si="5"/>
        <v>64497</v>
      </c>
    </row>
    <row r="335" spans="1:10">
      <c r="A335" s="5">
        <v>29172</v>
      </c>
      <c r="B335" s="5" t="s">
        <v>10</v>
      </c>
      <c r="C335" s="5" t="s">
        <v>11</v>
      </c>
      <c r="D335" s="5" t="s">
        <v>23</v>
      </c>
      <c r="E335" s="5" t="s">
        <v>13</v>
      </c>
      <c r="F335" s="5" t="s">
        <v>14</v>
      </c>
      <c r="G335" s="5" t="s">
        <v>15</v>
      </c>
      <c r="H335" s="5">
        <v>59928</v>
      </c>
      <c r="I335" s="5">
        <v>8756</v>
      </c>
      <c r="J335" s="6">
        <f t="shared" si="5"/>
        <v>51172</v>
      </c>
    </row>
    <row r="336" spans="1:10">
      <c r="A336" s="5">
        <v>30658</v>
      </c>
      <c r="B336" s="5" t="s">
        <v>16</v>
      </c>
      <c r="C336" s="5" t="s">
        <v>35</v>
      </c>
      <c r="D336" s="5" t="s">
        <v>36</v>
      </c>
      <c r="E336" s="5" t="s">
        <v>13</v>
      </c>
      <c r="F336" s="5" t="s">
        <v>14</v>
      </c>
      <c r="G336" s="5" t="s">
        <v>24</v>
      </c>
      <c r="H336" s="5">
        <v>11159</v>
      </c>
      <c r="I336" s="5">
        <v>725</v>
      </c>
      <c r="J336" s="6">
        <f t="shared" si="5"/>
        <v>10434</v>
      </c>
    </row>
    <row r="337" spans="1:10">
      <c r="A337" s="5">
        <v>192430</v>
      </c>
      <c r="B337" s="5" t="s">
        <v>16</v>
      </c>
      <c r="C337" s="5" t="s">
        <v>20</v>
      </c>
      <c r="D337" s="5" t="s">
        <v>32</v>
      </c>
      <c r="E337" s="5" t="s">
        <v>19</v>
      </c>
      <c r="F337" s="5" t="s">
        <v>14</v>
      </c>
      <c r="G337" s="5" t="s">
        <v>24</v>
      </c>
      <c r="H337" s="5">
        <v>58984</v>
      </c>
      <c r="I337" s="5">
        <v>232</v>
      </c>
      <c r="J337" s="6">
        <f t="shared" si="5"/>
        <v>58752</v>
      </c>
    </row>
    <row r="338" spans="1:10">
      <c r="A338" s="5">
        <v>169428</v>
      </c>
      <c r="B338" s="5" t="s">
        <v>10</v>
      </c>
      <c r="C338" s="5" t="s">
        <v>25</v>
      </c>
      <c r="D338" s="5" t="s">
        <v>30</v>
      </c>
      <c r="E338" s="5" t="s">
        <v>13</v>
      </c>
      <c r="F338" s="5" t="s">
        <v>14</v>
      </c>
      <c r="G338" s="5" t="s">
        <v>15</v>
      </c>
      <c r="H338" s="5">
        <v>91953</v>
      </c>
      <c r="I338" s="5">
        <v>7294</v>
      </c>
      <c r="J338" s="6">
        <f t="shared" si="5"/>
        <v>84659</v>
      </c>
    </row>
    <row r="339" spans="1:10">
      <c r="A339" s="5">
        <v>10903</v>
      </c>
      <c r="B339" s="5" t="s">
        <v>10</v>
      </c>
      <c r="C339" s="5" t="s">
        <v>34</v>
      </c>
      <c r="D339" s="5" t="s">
        <v>29</v>
      </c>
      <c r="E339" s="5" t="s">
        <v>19</v>
      </c>
      <c r="F339" s="5" t="s">
        <v>14</v>
      </c>
      <c r="G339" s="5" t="s">
        <v>15</v>
      </c>
      <c r="H339" s="5">
        <v>106104</v>
      </c>
      <c r="I339" s="5">
        <v>6908</v>
      </c>
      <c r="J339" s="6">
        <f t="shared" si="5"/>
        <v>99196</v>
      </c>
    </row>
    <row r="340" spans="1:10">
      <c r="A340" s="5">
        <v>134946</v>
      </c>
      <c r="B340" s="5" t="s">
        <v>16</v>
      </c>
      <c r="C340" s="5" t="s">
        <v>27</v>
      </c>
      <c r="D340" s="5" t="s">
        <v>18</v>
      </c>
      <c r="E340" s="5" t="s">
        <v>19</v>
      </c>
      <c r="F340" s="5" t="s">
        <v>14</v>
      </c>
      <c r="G340" s="5" t="s">
        <v>24</v>
      </c>
      <c r="H340" s="5">
        <v>15205</v>
      </c>
      <c r="I340" s="5">
        <v>674</v>
      </c>
      <c r="J340" s="6">
        <f t="shared" si="5"/>
        <v>14531</v>
      </c>
    </row>
    <row r="341" spans="1:10">
      <c r="A341" s="5">
        <v>197088</v>
      </c>
      <c r="B341" s="5" t="s">
        <v>16</v>
      </c>
      <c r="C341" s="5" t="s">
        <v>11</v>
      </c>
      <c r="D341" s="5" t="s">
        <v>32</v>
      </c>
      <c r="E341" s="5" t="s">
        <v>13</v>
      </c>
      <c r="F341" s="5" t="s">
        <v>28</v>
      </c>
      <c r="G341" s="5" t="s">
        <v>15</v>
      </c>
      <c r="H341" s="5">
        <v>36653</v>
      </c>
      <c r="I341" s="5">
        <v>164</v>
      </c>
      <c r="J341" s="6">
        <f t="shared" si="5"/>
        <v>36489</v>
      </c>
    </row>
    <row r="342" spans="1:10">
      <c r="A342" s="5">
        <v>101764</v>
      </c>
      <c r="B342" s="5" t="s">
        <v>16</v>
      </c>
      <c r="C342" s="5" t="s">
        <v>37</v>
      </c>
      <c r="D342" s="5" t="s">
        <v>26</v>
      </c>
      <c r="E342" s="5" t="s">
        <v>13</v>
      </c>
      <c r="F342" s="5" t="s">
        <v>28</v>
      </c>
      <c r="G342" s="5" t="s">
        <v>24</v>
      </c>
      <c r="H342" s="5">
        <v>27258</v>
      </c>
      <c r="I342" s="5">
        <v>718</v>
      </c>
      <c r="J342" s="6">
        <f t="shared" si="5"/>
        <v>26540</v>
      </c>
    </row>
    <row r="343" spans="1:10">
      <c r="A343" s="5">
        <v>48965</v>
      </c>
      <c r="B343" s="5" t="s">
        <v>16</v>
      </c>
      <c r="C343" s="5" t="s">
        <v>34</v>
      </c>
      <c r="D343" s="5" t="s">
        <v>33</v>
      </c>
      <c r="E343" s="5" t="s">
        <v>13</v>
      </c>
      <c r="F343" s="5" t="s">
        <v>28</v>
      </c>
      <c r="G343" s="5" t="s">
        <v>24</v>
      </c>
      <c r="H343" s="5">
        <v>24223</v>
      </c>
      <c r="I343" s="5">
        <v>249</v>
      </c>
      <c r="J343" s="6">
        <f t="shared" si="5"/>
        <v>23974</v>
      </c>
    </row>
    <row r="344" spans="1:10">
      <c r="A344" s="5">
        <v>5440</v>
      </c>
      <c r="B344" s="5" t="s">
        <v>16</v>
      </c>
      <c r="C344" s="5" t="s">
        <v>20</v>
      </c>
      <c r="D344" s="5" t="s">
        <v>32</v>
      </c>
      <c r="E344" s="5" t="s">
        <v>13</v>
      </c>
      <c r="F344" s="5" t="s">
        <v>14</v>
      </c>
      <c r="G344" s="5" t="s">
        <v>15</v>
      </c>
      <c r="H344" s="5">
        <v>41210</v>
      </c>
      <c r="I344" s="5">
        <v>0</v>
      </c>
      <c r="J344" s="6">
        <f t="shared" si="5"/>
        <v>41210</v>
      </c>
    </row>
    <row r="345" spans="1:10">
      <c r="A345" s="5">
        <v>245387</v>
      </c>
      <c r="B345" s="5" t="s">
        <v>16</v>
      </c>
      <c r="C345" s="5" t="s">
        <v>35</v>
      </c>
      <c r="D345" s="5" t="s">
        <v>30</v>
      </c>
      <c r="E345" s="5" t="s">
        <v>13</v>
      </c>
      <c r="F345" s="5" t="s">
        <v>14</v>
      </c>
      <c r="G345" s="5" t="s">
        <v>15</v>
      </c>
      <c r="H345" s="5">
        <v>177747</v>
      </c>
      <c r="I345" s="5">
        <v>9284</v>
      </c>
      <c r="J345" s="6">
        <f t="shared" si="5"/>
        <v>168463</v>
      </c>
    </row>
    <row r="346" spans="1:10">
      <c r="A346" s="5">
        <v>97118</v>
      </c>
      <c r="B346" s="5" t="s">
        <v>16</v>
      </c>
      <c r="C346" s="5" t="s">
        <v>34</v>
      </c>
      <c r="D346" s="5" t="s">
        <v>36</v>
      </c>
      <c r="E346" s="5" t="s">
        <v>13</v>
      </c>
      <c r="F346" s="5" t="s">
        <v>14</v>
      </c>
      <c r="G346" s="5" t="s">
        <v>24</v>
      </c>
      <c r="H346" s="5">
        <v>26670</v>
      </c>
      <c r="I346" s="5">
        <v>253</v>
      </c>
      <c r="J346" s="6">
        <f t="shared" si="5"/>
        <v>26417</v>
      </c>
    </row>
    <row r="347" spans="1:10">
      <c r="A347" s="5">
        <v>71915</v>
      </c>
      <c r="B347" s="5" t="s">
        <v>16</v>
      </c>
      <c r="C347" s="5" t="s">
        <v>34</v>
      </c>
      <c r="D347" s="5" t="s">
        <v>32</v>
      </c>
      <c r="E347" s="5" t="s">
        <v>19</v>
      </c>
      <c r="F347" s="5" t="s">
        <v>14</v>
      </c>
      <c r="G347" s="5" t="s">
        <v>24</v>
      </c>
      <c r="H347" s="5">
        <v>6392</v>
      </c>
      <c r="I347" s="5">
        <v>0</v>
      </c>
      <c r="J347" s="6">
        <f t="shared" si="5"/>
        <v>6392</v>
      </c>
    </row>
    <row r="348" spans="1:10">
      <c r="A348" s="5">
        <v>84842</v>
      </c>
      <c r="B348" s="5" t="s">
        <v>10</v>
      </c>
      <c r="C348" s="5" t="s">
        <v>11</v>
      </c>
      <c r="D348" s="5" t="s">
        <v>33</v>
      </c>
      <c r="E348" s="5" t="s">
        <v>19</v>
      </c>
      <c r="F348" s="5" t="s">
        <v>14</v>
      </c>
      <c r="G348" s="5" t="s">
        <v>24</v>
      </c>
      <c r="H348" s="5">
        <v>64042</v>
      </c>
      <c r="I348" s="5">
        <v>454</v>
      </c>
      <c r="J348" s="6">
        <f t="shared" si="5"/>
        <v>63588</v>
      </c>
    </row>
    <row r="349" spans="1:10">
      <c r="A349" s="5">
        <v>70130</v>
      </c>
      <c r="B349" s="5" t="s">
        <v>16</v>
      </c>
      <c r="C349" s="5" t="s">
        <v>34</v>
      </c>
      <c r="D349" s="5" t="s">
        <v>36</v>
      </c>
      <c r="E349" s="5" t="s">
        <v>19</v>
      </c>
      <c r="F349" s="5" t="s">
        <v>14</v>
      </c>
      <c r="G349" s="5" t="s">
        <v>15</v>
      </c>
      <c r="H349" s="5">
        <v>59677</v>
      </c>
      <c r="I349" s="5">
        <v>347</v>
      </c>
      <c r="J349" s="6">
        <f t="shared" si="5"/>
        <v>59330</v>
      </c>
    </row>
    <row r="350" spans="1:10">
      <c r="A350" s="5">
        <v>207543</v>
      </c>
      <c r="B350" s="5" t="s">
        <v>16</v>
      </c>
      <c r="C350" s="5" t="s">
        <v>20</v>
      </c>
      <c r="D350" s="5" t="s">
        <v>32</v>
      </c>
      <c r="E350" s="5" t="s">
        <v>19</v>
      </c>
      <c r="F350" s="5" t="s">
        <v>28</v>
      </c>
      <c r="G350" s="5" t="s">
        <v>15</v>
      </c>
      <c r="H350" s="5">
        <v>205028</v>
      </c>
      <c r="I350" s="5">
        <v>2841</v>
      </c>
      <c r="J350" s="6">
        <f t="shared" si="5"/>
        <v>202187</v>
      </c>
    </row>
    <row r="351" spans="1:10">
      <c r="A351" s="5">
        <v>7084</v>
      </c>
      <c r="B351" s="5" t="s">
        <v>16</v>
      </c>
      <c r="C351" s="5" t="s">
        <v>20</v>
      </c>
      <c r="D351" s="5" t="s">
        <v>32</v>
      </c>
      <c r="E351" s="5" t="s">
        <v>19</v>
      </c>
      <c r="F351" s="5" t="s">
        <v>14</v>
      </c>
      <c r="G351" s="5" t="s">
        <v>24</v>
      </c>
      <c r="H351" s="5">
        <v>121759</v>
      </c>
      <c r="I351" s="5">
        <v>678</v>
      </c>
      <c r="J351" s="6">
        <f t="shared" si="5"/>
        <v>121081</v>
      </c>
    </row>
    <row r="352" spans="1:10">
      <c r="A352" s="5">
        <v>218811</v>
      </c>
      <c r="B352" s="5" t="s">
        <v>16</v>
      </c>
      <c r="C352" s="5" t="s">
        <v>34</v>
      </c>
      <c r="D352" s="5" t="s">
        <v>36</v>
      </c>
      <c r="E352" s="5" t="s">
        <v>13</v>
      </c>
      <c r="F352" s="5" t="s">
        <v>14</v>
      </c>
      <c r="G352" s="5" t="s">
        <v>15</v>
      </c>
      <c r="H352" s="5">
        <v>50248</v>
      </c>
      <c r="I352" s="5">
        <v>735</v>
      </c>
      <c r="J352" s="6">
        <f t="shared" si="5"/>
        <v>49513</v>
      </c>
    </row>
    <row r="353" spans="1:10">
      <c r="A353" s="5">
        <v>61612</v>
      </c>
      <c r="B353" s="5" t="s">
        <v>16</v>
      </c>
      <c r="C353" s="5" t="s">
        <v>27</v>
      </c>
      <c r="D353" s="5" t="s">
        <v>30</v>
      </c>
      <c r="E353" s="5" t="s">
        <v>13</v>
      </c>
      <c r="F353" s="5" t="s">
        <v>14</v>
      </c>
      <c r="G353" s="5" t="s">
        <v>15</v>
      </c>
      <c r="H353" s="5">
        <v>81260</v>
      </c>
      <c r="I353" s="5">
        <v>3698</v>
      </c>
      <c r="J353" s="6">
        <f t="shared" si="5"/>
        <v>77562</v>
      </c>
    </row>
    <row r="354" spans="1:10">
      <c r="A354" s="5">
        <v>130394</v>
      </c>
      <c r="B354" s="5" t="s">
        <v>16</v>
      </c>
      <c r="C354" s="5" t="s">
        <v>25</v>
      </c>
      <c r="D354" s="5" t="s">
        <v>33</v>
      </c>
      <c r="E354" s="5" t="s">
        <v>13</v>
      </c>
      <c r="F354" s="5" t="s">
        <v>28</v>
      </c>
      <c r="G354" s="5" t="s">
        <v>15</v>
      </c>
      <c r="H354" s="5">
        <v>26314</v>
      </c>
      <c r="I354" s="5">
        <v>965</v>
      </c>
      <c r="J354" s="6">
        <f t="shared" si="5"/>
        <v>25349</v>
      </c>
    </row>
    <row r="355" spans="1:10">
      <c r="A355" s="5">
        <v>81720</v>
      </c>
      <c r="B355" s="5" t="s">
        <v>16</v>
      </c>
      <c r="C355" s="5" t="s">
        <v>20</v>
      </c>
      <c r="D355" s="5" t="s">
        <v>32</v>
      </c>
      <c r="E355" s="5" t="s">
        <v>19</v>
      </c>
      <c r="F355" s="5" t="s">
        <v>14</v>
      </c>
      <c r="G355" s="5" t="s">
        <v>24</v>
      </c>
      <c r="H355" s="5">
        <v>308266</v>
      </c>
      <c r="I355" s="5">
        <v>154</v>
      </c>
      <c r="J355" s="6">
        <f t="shared" si="5"/>
        <v>308112</v>
      </c>
    </row>
    <row r="356" spans="1:10">
      <c r="A356" s="5">
        <v>22716</v>
      </c>
      <c r="B356" s="5" t="s">
        <v>10</v>
      </c>
      <c r="C356" s="5" t="s">
        <v>11</v>
      </c>
      <c r="D356" s="5" t="s">
        <v>26</v>
      </c>
      <c r="E356" s="5" t="s">
        <v>19</v>
      </c>
      <c r="F356" s="5" t="s">
        <v>14</v>
      </c>
      <c r="G356" s="5" t="s">
        <v>24</v>
      </c>
      <c r="H356" s="5">
        <v>94643</v>
      </c>
      <c r="I356" s="5">
        <v>799</v>
      </c>
      <c r="J356" s="6">
        <f t="shared" si="5"/>
        <v>93844</v>
      </c>
    </row>
    <row r="357" spans="1:10">
      <c r="A357" s="5">
        <v>191020</v>
      </c>
      <c r="B357" s="5" t="s">
        <v>10</v>
      </c>
      <c r="C357" s="5" t="s">
        <v>39</v>
      </c>
      <c r="D357" s="5" t="s">
        <v>32</v>
      </c>
      <c r="E357" s="5" t="s">
        <v>13</v>
      </c>
      <c r="F357" s="5" t="s">
        <v>14</v>
      </c>
      <c r="G357" s="5" t="s">
        <v>15</v>
      </c>
      <c r="H357" s="5">
        <v>14091</v>
      </c>
      <c r="I357" s="5">
        <v>0</v>
      </c>
      <c r="J357" s="6">
        <f t="shared" si="5"/>
        <v>14091</v>
      </c>
    </row>
    <row r="358" spans="1:10">
      <c r="A358" s="5">
        <v>216782</v>
      </c>
      <c r="B358" s="5" t="s">
        <v>10</v>
      </c>
      <c r="C358" s="5" t="s">
        <v>34</v>
      </c>
      <c r="D358" s="5" t="s">
        <v>23</v>
      </c>
      <c r="E358" s="5" t="s">
        <v>19</v>
      </c>
      <c r="F358" s="5" t="s">
        <v>14</v>
      </c>
      <c r="G358" s="5" t="s">
        <v>15</v>
      </c>
      <c r="H358" s="5">
        <v>37766</v>
      </c>
      <c r="I358" s="5">
        <v>2634</v>
      </c>
      <c r="J358" s="6">
        <f t="shared" si="5"/>
        <v>35132</v>
      </c>
    </row>
    <row r="359" spans="1:10">
      <c r="A359" s="5">
        <v>189241</v>
      </c>
      <c r="B359" s="5" t="s">
        <v>10</v>
      </c>
      <c r="C359" s="5" t="s">
        <v>37</v>
      </c>
      <c r="D359" s="5" t="s">
        <v>29</v>
      </c>
      <c r="E359" s="5" t="s">
        <v>13</v>
      </c>
      <c r="F359" s="5" t="s">
        <v>14</v>
      </c>
      <c r="G359" s="5" t="s">
        <v>15</v>
      </c>
      <c r="H359" s="5">
        <v>91854</v>
      </c>
      <c r="I359" s="5">
        <v>573</v>
      </c>
      <c r="J359" s="6">
        <f t="shared" si="5"/>
        <v>91281</v>
      </c>
    </row>
    <row r="360" spans="1:10">
      <c r="A360" s="5">
        <v>47904</v>
      </c>
      <c r="B360" s="5" t="s">
        <v>10</v>
      </c>
      <c r="C360" s="5" t="s">
        <v>35</v>
      </c>
      <c r="D360" s="5" t="s">
        <v>21</v>
      </c>
      <c r="E360" s="5" t="s">
        <v>13</v>
      </c>
      <c r="F360" s="5" t="s">
        <v>28</v>
      </c>
      <c r="G360" s="5" t="s">
        <v>24</v>
      </c>
      <c r="H360" s="5">
        <v>14003</v>
      </c>
      <c r="I360" s="5">
        <v>0</v>
      </c>
      <c r="J360" s="6">
        <f t="shared" si="5"/>
        <v>14003</v>
      </c>
    </row>
    <row r="361" spans="1:10">
      <c r="A361" s="5">
        <v>139376</v>
      </c>
      <c r="B361" s="5" t="s">
        <v>16</v>
      </c>
      <c r="C361" s="5" t="s">
        <v>35</v>
      </c>
      <c r="D361" s="5" t="s">
        <v>21</v>
      </c>
      <c r="E361" s="5" t="s">
        <v>19</v>
      </c>
      <c r="F361" s="5" t="s">
        <v>14</v>
      </c>
      <c r="G361" s="5" t="s">
        <v>15</v>
      </c>
      <c r="H361" s="5">
        <v>101018</v>
      </c>
      <c r="I361" s="5">
        <v>7032</v>
      </c>
      <c r="J361" s="6">
        <f t="shared" si="5"/>
        <v>93986</v>
      </c>
    </row>
    <row r="362" spans="1:10">
      <c r="A362" s="5">
        <v>183710</v>
      </c>
      <c r="B362" s="5" t="s">
        <v>16</v>
      </c>
      <c r="C362" s="5" t="s">
        <v>37</v>
      </c>
      <c r="D362" s="5" t="s">
        <v>30</v>
      </c>
      <c r="E362" s="5" t="s">
        <v>13</v>
      </c>
      <c r="F362" s="5" t="s">
        <v>14</v>
      </c>
      <c r="G362" s="5" t="s">
        <v>15</v>
      </c>
      <c r="H362" s="5">
        <v>88363</v>
      </c>
      <c r="I362" s="5">
        <v>2264</v>
      </c>
      <c r="J362" s="6">
        <f t="shared" si="5"/>
        <v>86099</v>
      </c>
    </row>
    <row r="363" spans="1:10">
      <c r="A363" s="5">
        <v>135276</v>
      </c>
      <c r="B363" s="5" t="s">
        <v>16</v>
      </c>
      <c r="C363" s="5" t="s">
        <v>27</v>
      </c>
      <c r="D363" s="5" t="s">
        <v>30</v>
      </c>
      <c r="E363" s="5" t="s">
        <v>13</v>
      </c>
      <c r="F363" s="5" t="s">
        <v>14</v>
      </c>
      <c r="G363" s="5" t="s">
        <v>15</v>
      </c>
      <c r="H363" s="5">
        <v>125755</v>
      </c>
      <c r="I363" s="5">
        <v>7855</v>
      </c>
      <c r="J363" s="6">
        <f t="shared" si="5"/>
        <v>117900</v>
      </c>
    </row>
    <row r="364" spans="1:10">
      <c r="A364" s="5">
        <v>21306</v>
      </c>
      <c r="B364" s="5" t="s">
        <v>16</v>
      </c>
      <c r="C364" s="5" t="s">
        <v>11</v>
      </c>
      <c r="D364" s="5" t="s">
        <v>30</v>
      </c>
      <c r="E364" s="5" t="s">
        <v>19</v>
      </c>
      <c r="F364" s="5" t="s">
        <v>14</v>
      </c>
      <c r="G364" s="5" t="s">
        <v>15</v>
      </c>
      <c r="H364" s="5">
        <v>102712</v>
      </c>
      <c r="I364" s="5">
        <v>5118</v>
      </c>
      <c r="J364" s="6">
        <f t="shared" si="5"/>
        <v>97594</v>
      </c>
    </row>
    <row r="365" spans="1:10">
      <c r="A365" s="5">
        <v>179834</v>
      </c>
      <c r="B365" s="5" t="s">
        <v>16</v>
      </c>
      <c r="C365" s="5" t="s">
        <v>17</v>
      </c>
      <c r="D365" s="5" t="s">
        <v>33</v>
      </c>
      <c r="E365" s="5" t="s">
        <v>19</v>
      </c>
      <c r="F365" s="5" t="s">
        <v>14</v>
      </c>
      <c r="G365" s="5" t="s">
        <v>24</v>
      </c>
      <c r="H365" s="5">
        <v>62999</v>
      </c>
      <c r="I365" s="5">
        <v>503</v>
      </c>
      <c r="J365" s="6">
        <f t="shared" si="5"/>
        <v>62496</v>
      </c>
    </row>
    <row r="366" spans="1:10">
      <c r="A366" s="5">
        <v>140296</v>
      </c>
      <c r="B366" s="5" t="s">
        <v>16</v>
      </c>
      <c r="C366" s="5" t="s">
        <v>25</v>
      </c>
      <c r="D366" s="5" t="s">
        <v>36</v>
      </c>
      <c r="E366" s="5" t="s">
        <v>19</v>
      </c>
      <c r="F366" s="5" t="s">
        <v>28</v>
      </c>
      <c r="G366" s="5" t="s">
        <v>24</v>
      </c>
      <c r="H366" s="5">
        <v>35008</v>
      </c>
      <c r="I366" s="5">
        <v>0</v>
      </c>
      <c r="J366" s="6">
        <f t="shared" si="5"/>
        <v>35008</v>
      </c>
    </row>
    <row r="367" spans="1:10">
      <c r="A367" s="5">
        <v>19161</v>
      </c>
      <c r="B367" s="5" t="s">
        <v>16</v>
      </c>
      <c r="C367" s="5" t="s">
        <v>11</v>
      </c>
      <c r="D367" s="5" t="s">
        <v>26</v>
      </c>
      <c r="E367" s="5" t="s">
        <v>13</v>
      </c>
      <c r="F367" s="5" t="s">
        <v>14</v>
      </c>
      <c r="G367" s="5" t="s">
        <v>15</v>
      </c>
      <c r="H367" s="5">
        <v>37744</v>
      </c>
      <c r="I367" s="5">
        <v>2773</v>
      </c>
      <c r="J367" s="6">
        <f t="shared" si="5"/>
        <v>34971</v>
      </c>
    </row>
    <row r="368" spans="1:10">
      <c r="A368" s="5">
        <v>212937</v>
      </c>
      <c r="B368" s="5" t="s">
        <v>16</v>
      </c>
      <c r="C368" s="5" t="s">
        <v>38</v>
      </c>
      <c r="D368" s="5" t="s">
        <v>32</v>
      </c>
      <c r="E368" s="5" t="s">
        <v>13</v>
      </c>
      <c r="F368" s="5" t="s">
        <v>14</v>
      </c>
      <c r="G368" s="5" t="s">
        <v>15</v>
      </c>
      <c r="H368" s="5">
        <v>1011</v>
      </c>
      <c r="I368" s="5">
        <v>0</v>
      </c>
      <c r="J368" s="6">
        <f t="shared" si="5"/>
        <v>1011</v>
      </c>
    </row>
    <row r="369" spans="1:10">
      <c r="A369" s="5">
        <v>197479</v>
      </c>
      <c r="B369" s="5" t="s">
        <v>10</v>
      </c>
      <c r="C369" s="5" t="s">
        <v>37</v>
      </c>
      <c r="D369" s="5" t="s">
        <v>32</v>
      </c>
      <c r="E369" s="5" t="s">
        <v>19</v>
      </c>
      <c r="F369" s="5" t="s">
        <v>14</v>
      </c>
      <c r="G369" s="5" t="s">
        <v>24</v>
      </c>
      <c r="H369" s="5">
        <v>23655</v>
      </c>
      <c r="I369" s="5">
        <v>4700</v>
      </c>
      <c r="J369" s="6">
        <f t="shared" si="5"/>
        <v>18955</v>
      </c>
    </row>
    <row r="370" spans="1:10">
      <c r="A370" s="5">
        <v>32705</v>
      </c>
      <c r="B370" s="5" t="s">
        <v>10</v>
      </c>
      <c r="C370" s="5" t="s">
        <v>11</v>
      </c>
      <c r="D370" s="5" t="s">
        <v>12</v>
      </c>
      <c r="E370" s="5" t="s">
        <v>13</v>
      </c>
      <c r="F370" s="5" t="s">
        <v>14</v>
      </c>
      <c r="G370" s="5" t="s">
        <v>15</v>
      </c>
      <c r="H370" s="5">
        <v>488320</v>
      </c>
      <c r="I370" s="5">
        <v>1768</v>
      </c>
      <c r="J370" s="6">
        <f t="shared" si="5"/>
        <v>486552</v>
      </c>
    </row>
    <row r="371" spans="1:10">
      <c r="A371" s="5">
        <v>142772</v>
      </c>
      <c r="B371" s="5" t="s">
        <v>10</v>
      </c>
      <c r="C371" s="5" t="s">
        <v>27</v>
      </c>
      <c r="D371" s="5" t="s">
        <v>21</v>
      </c>
      <c r="E371" s="5" t="s">
        <v>19</v>
      </c>
      <c r="F371" s="5" t="s">
        <v>14</v>
      </c>
      <c r="G371" s="5" t="s">
        <v>24</v>
      </c>
      <c r="H371" s="5">
        <v>39860</v>
      </c>
      <c r="I371" s="5">
        <v>182</v>
      </c>
      <c r="J371" s="6">
        <f t="shared" si="5"/>
        <v>39678</v>
      </c>
    </row>
    <row r="372" spans="1:10">
      <c r="A372" s="5">
        <v>185174</v>
      </c>
      <c r="B372" s="5" t="s">
        <v>10</v>
      </c>
      <c r="C372" s="5" t="s">
        <v>34</v>
      </c>
      <c r="D372" s="5" t="s">
        <v>30</v>
      </c>
      <c r="E372" s="5" t="s">
        <v>13</v>
      </c>
      <c r="F372" s="5" t="s">
        <v>14</v>
      </c>
      <c r="G372" s="5" t="s">
        <v>15</v>
      </c>
      <c r="H372" s="5">
        <v>151110</v>
      </c>
      <c r="I372" s="5">
        <v>2173</v>
      </c>
      <c r="J372" s="6">
        <f t="shared" si="5"/>
        <v>148937</v>
      </c>
    </row>
    <row r="373" spans="1:10">
      <c r="A373" s="5">
        <v>147525</v>
      </c>
      <c r="B373" s="5" t="s">
        <v>10</v>
      </c>
      <c r="C373" s="5" t="s">
        <v>34</v>
      </c>
      <c r="D373" s="5" t="s">
        <v>12</v>
      </c>
      <c r="E373" s="5" t="s">
        <v>13</v>
      </c>
      <c r="F373" s="5" t="s">
        <v>14</v>
      </c>
      <c r="G373" s="5" t="s">
        <v>15</v>
      </c>
      <c r="H373" s="5">
        <v>308194</v>
      </c>
      <c r="I373" s="5">
        <v>1506</v>
      </c>
      <c r="J373" s="6">
        <f t="shared" si="5"/>
        <v>306688</v>
      </c>
    </row>
    <row r="374" spans="1:10">
      <c r="A374" s="5">
        <v>225887</v>
      </c>
      <c r="B374" s="5" t="s">
        <v>16</v>
      </c>
      <c r="C374" s="5" t="s">
        <v>27</v>
      </c>
      <c r="D374" s="5" t="s">
        <v>23</v>
      </c>
      <c r="E374" s="5" t="s">
        <v>13</v>
      </c>
      <c r="F374" s="5" t="s">
        <v>28</v>
      </c>
      <c r="G374" s="5" t="s">
        <v>24</v>
      </c>
      <c r="H374" s="5">
        <v>18363</v>
      </c>
      <c r="I374" s="5">
        <v>0</v>
      </c>
      <c r="J374" s="6">
        <f t="shared" si="5"/>
        <v>18363</v>
      </c>
    </row>
    <row r="375" spans="1:10">
      <c r="A375" s="5">
        <v>39222</v>
      </c>
      <c r="B375" s="5" t="s">
        <v>10</v>
      </c>
      <c r="C375" s="5" t="s">
        <v>35</v>
      </c>
      <c r="D375" s="5" t="s">
        <v>23</v>
      </c>
      <c r="E375" s="5" t="s">
        <v>19</v>
      </c>
      <c r="F375" s="5" t="s">
        <v>14</v>
      </c>
      <c r="G375" s="5" t="s">
        <v>15</v>
      </c>
      <c r="H375" s="5">
        <v>181275</v>
      </c>
      <c r="I375" s="5">
        <v>25183</v>
      </c>
      <c r="J375" s="6">
        <f t="shared" si="5"/>
        <v>156092</v>
      </c>
    </row>
    <row r="376" spans="1:10">
      <c r="A376" s="5">
        <v>128724</v>
      </c>
      <c r="B376" s="5" t="s">
        <v>16</v>
      </c>
      <c r="C376" s="5" t="s">
        <v>22</v>
      </c>
      <c r="D376" s="5" t="s">
        <v>12</v>
      </c>
      <c r="E376" s="5" t="s">
        <v>19</v>
      </c>
      <c r="F376" s="5" t="s">
        <v>28</v>
      </c>
      <c r="G376" s="5" t="s">
        <v>15</v>
      </c>
      <c r="H376" s="5">
        <v>78850</v>
      </c>
      <c r="I376" s="5">
        <v>63</v>
      </c>
      <c r="J376" s="6">
        <f t="shared" si="5"/>
        <v>78787</v>
      </c>
    </row>
    <row r="377" spans="1:10">
      <c r="A377" s="5">
        <v>136594</v>
      </c>
      <c r="B377" s="5" t="s">
        <v>10</v>
      </c>
      <c r="C377" s="5" t="s">
        <v>34</v>
      </c>
      <c r="D377" s="5" t="s">
        <v>23</v>
      </c>
      <c r="E377" s="5" t="s">
        <v>13</v>
      </c>
      <c r="F377" s="5" t="s">
        <v>14</v>
      </c>
      <c r="G377" s="5" t="s">
        <v>15</v>
      </c>
      <c r="H377" s="5">
        <v>41389</v>
      </c>
      <c r="I377" s="5">
        <v>2307</v>
      </c>
      <c r="J377" s="6">
        <f t="shared" si="5"/>
        <v>39082</v>
      </c>
    </row>
    <row r="378" spans="1:10">
      <c r="A378" s="5">
        <v>209290</v>
      </c>
      <c r="B378" s="5" t="s">
        <v>16</v>
      </c>
      <c r="C378" s="5" t="s">
        <v>38</v>
      </c>
      <c r="D378" s="5" t="s">
        <v>12</v>
      </c>
      <c r="E378" s="5" t="s">
        <v>13</v>
      </c>
      <c r="F378" s="5" t="s">
        <v>14</v>
      </c>
      <c r="G378" s="5" t="s">
        <v>15</v>
      </c>
      <c r="H378" s="5">
        <v>87181</v>
      </c>
      <c r="I378" s="5">
        <v>0</v>
      </c>
      <c r="J378" s="6">
        <f t="shared" si="5"/>
        <v>87181</v>
      </c>
    </row>
    <row r="379" spans="1:10">
      <c r="A379" s="5">
        <v>200944</v>
      </c>
      <c r="B379" s="5" t="s">
        <v>16</v>
      </c>
      <c r="C379" s="5" t="s">
        <v>38</v>
      </c>
      <c r="D379" s="5" t="s">
        <v>21</v>
      </c>
      <c r="E379" s="5" t="s">
        <v>19</v>
      </c>
      <c r="F379" s="5" t="s">
        <v>14</v>
      </c>
      <c r="G379" s="5" t="s">
        <v>15</v>
      </c>
      <c r="H379" s="5">
        <v>38618</v>
      </c>
      <c r="I379" s="5">
        <v>5701</v>
      </c>
      <c r="J379" s="6">
        <f t="shared" si="5"/>
        <v>32917</v>
      </c>
    </row>
    <row r="380" spans="1:10">
      <c r="A380" s="5">
        <v>173364</v>
      </c>
      <c r="B380" s="5" t="s">
        <v>10</v>
      </c>
      <c r="C380" s="5" t="s">
        <v>27</v>
      </c>
      <c r="D380" s="5" t="s">
        <v>30</v>
      </c>
      <c r="E380" s="5" t="s">
        <v>13</v>
      </c>
      <c r="F380" s="5" t="s">
        <v>14</v>
      </c>
      <c r="G380" s="5" t="s">
        <v>24</v>
      </c>
      <c r="H380" s="5">
        <v>108263</v>
      </c>
      <c r="I380" s="5">
        <v>967</v>
      </c>
      <c r="J380" s="6">
        <f t="shared" si="5"/>
        <v>107296</v>
      </c>
    </row>
    <row r="381" spans="1:10">
      <c r="A381" s="5">
        <v>194486</v>
      </c>
      <c r="B381" s="5" t="s">
        <v>10</v>
      </c>
      <c r="C381" s="5" t="s">
        <v>34</v>
      </c>
      <c r="D381" s="5" t="s">
        <v>29</v>
      </c>
      <c r="E381" s="5" t="s">
        <v>13</v>
      </c>
      <c r="F381" s="5" t="s">
        <v>28</v>
      </c>
      <c r="G381" s="5" t="s">
        <v>15</v>
      </c>
      <c r="H381" s="5">
        <v>164958</v>
      </c>
      <c r="I381" s="5">
        <v>1024</v>
      </c>
      <c r="J381" s="6">
        <f t="shared" si="5"/>
        <v>163934</v>
      </c>
    </row>
    <row r="382" spans="1:10">
      <c r="A382" s="5">
        <v>211554</v>
      </c>
      <c r="B382" s="5" t="s">
        <v>16</v>
      </c>
      <c r="C382" s="5" t="s">
        <v>38</v>
      </c>
      <c r="D382" s="5" t="s">
        <v>12</v>
      </c>
      <c r="E382" s="5" t="s">
        <v>13</v>
      </c>
      <c r="F382" s="5" t="s">
        <v>28</v>
      </c>
      <c r="G382" s="5" t="s">
        <v>24</v>
      </c>
      <c r="H382" s="5">
        <v>33655</v>
      </c>
      <c r="I382" s="5">
        <v>157</v>
      </c>
      <c r="J382" s="6">
        <f t="shared" si="5"/>
        <v>33498</v>
      </c>
    </row>
    <row r="383" spans="1:10">
      <c r="A383" s="5">
        <v>49303</v>
      </c>
      <c r="B383" s="5" t="s">
        <v>10</v>
      </c>
      <c r="C383" s="5" t="s">
        <v>35</v>
      </c>
      <c r="D383" s="5" t="s">
        <v>36</v>
      </c>
      <c r="E383" s="5" t="s">
        <v>13</v>
      </c>
      <c r="F383" s="5" t="s">
        <v>14</v>
      </c>
      <c r="G383" s="5" t="s">
        <v>15</v>
      </c>
      <c r="H383" s="5">
        <v>69036</v>
      </c>
      <c r="I383" s="5">
        <v>25466</v>
      </c>
      <c r="J383" s="6">
        <f t="shared" si="5"/>
        <v>43570</v>
      </c>
    </row>
    <row r="384" spans="1:10">
      <c r="A384" s="5">
        <v>96878</v>
      </c>
      <c r="B384" s="5" t="s">
        <v>10</v>
      </c>
      <c r="C384" s="5" t="s">
        <v>37</v>
      </c>
      <c r="D384" s="5" t="s">
        <v>12</v>
      </c>
      <c r="E384" s="5" t="s">
        <v>13</v>
      </c>
      <c r="F384" s="5" t="s">
        <v>14</v>
      </c>
      <c r="G384" s="5" t="s">
        <v>15</v>
      </c>
      <c r="H384" s="5">
        <v>74892</v>
      </c>
      <c r="I384" s="5">
        <v>495</v>
      </c>
      <c r="J384" s="6">
        <f t="shared" si="5"/>
        <v>74397</v>
      </c>
    </row>
    <row r="385" spans="1:10">
      <c r="A385" s="5">
        <v>228761</v>
      </c>
      <c r="B385" s="5" t="s">
        <v>10</v>
      </c>
      <c r="C385" s="5" t="s">
        <v>17</v>
      </c>
      <c r="D385" s="5" t="s">
        <v>18</v>
      </c>
      <c r="E385" s="5" t="s">
        <v>19</v>
      </c>
      <c r="F385" s="5" t="s">
        <v>14</v>
      </c>
      <c r="G385" s="5" t="s">
        <v>15</v>
      </c>
      <c r="H385" s="5">
        <v>96112</v>
      </c>
      <c r="I385" s="5">
        <v>5788</v>
      </c>
      <c r="J385" s="6">
        <f t="shared" si="5"/>
        <v>90324</v>
      </c>
    </row>
    <row r="386" spans="1:10">
      <c r="A386" s="5">
        <v>117040</v>
      </c>
      <c r="B386" s="5" t="s">
        <v>10</v>
      </c>
      <c r="C386" s="5" t="s">
        <v>31</v>
      </c>
      <c r="D386" s="5" t="s">
        <v>21</v>
      </c>
      <c r="E386" s="5" t="s">
        <v>19</v>
      </c>
      <c r="F386" s="5" t="s">
        <v>28</v>
      </c>
      <c r="G386" s="5" t="s">
        <v>24</v>
      </c>
      <c r="H386" s="5">
        <v>30087</v>
      </c>
      <c r="I386" s="5">
        <v>783</v>
      </c>
      <c r="J386" s="6">
        <f t="shared" ref="J386:J449" si="6">H386-I386</f>
        <v>29304</v>
      </c>
    </row>
    <row r="387" spans="1:10">
      <c r="A387" s="5">
        <v>186395</v>
      </c>
      <c r="B387" s="5" t="s">
        <v>16</v>
      </c>
      <c r="C387" s="5" t="s">
        <v>38</v>
      </c>
      <c r="D387" s="5" t="s">
        <v>33</v>
      </c>
      <c r="E387" s="5" t="s">
        <v>13</v>
      </c>
      <c r="F387" s="5" t="s">
        <v>14</v>
      </c>
      <c r="G387" s="5" t="s">
        <v>15</v>
      </c>
      <c r="H387" s="5">
        <v>91742</v>
      </c>
      <c r="I387" s="5">
        <v>2148</v>
      </c>
      <c r="J387" s="6">
        <f t="shared" si="6"/>
        <v>89594</v>
      </c>
    </row>
    <row r="388" spans="1:10">
      <c r="A388" s="5">
        <v>2128</v>
      </c>
      <c r="B388" s="5" t="s">
        <v>10</v>
      </c>
      <c r="C388" s="5" t="s">
        <v>39</v>
      </c>
      <c r="D388" s="5" t="s">
        <v>12</v>
      </c>
      <c r="E388" s="5" t="s">
        <v>13</v>
      </c>
      <c r="F388" s="5" t="s">
        <v>14</v>
      </c>
      <c r="G388" s="5" t="s">
        <v>15</v>
      </c>
      <c r="H388" s="5">
        <v>28828</v>
      </c>
      <c r="I388" s="5">
        <v>352</v>
      </c>
      <c r="J388" s="6">
        <f t="shared" si="6"/>
        <v>28476</v>
      </c>
    </row>
    <row r="389" spans="1:10">
      <c r="A389" s="5">
        <v>89037</v>
      </c>
      <c r="B389" s="5" t="s">
        <v>10</v>
      </c>
      <c r="C389" s="5" t="s">
        <v>37</v>
      </c>
      <c r="D389" s="5" t="s">
        <v>30</v>
      </c>
      <c r="E389" s="5" t="s">
        <v>13</v>
      </c>
      <c r="F389" s="5" t="s">
        <v>14</v>
      </c>
      <c r="G389" s="5" t="s">
        <v>15</v>
      </c>
      <c r="H389" s="5">
        <v>64806</v>
      </c>
      <c r="I389" s="5">
        <v>1159</v>
      </c>
      <c r="J389" s="6">
        <f t="shared" si="6"/>
        <v>63647</v>
      </c>
    </row>
    <row r="390" spans="1:10">
      <c r="A390" s="5">
        <v>129259</v>
      </c>
      <c r="B390" s="5" t="s">
        <v>16</v>
      </c>
      <c r="C390" s="5" t="s">
        <v>22</v>
      </c>
      <c r="D390" s="5" t="s">
        <v>36</v>
      </c>
      <c r="E390" s="5" t="s">
        <v>19</v>
      </c>
      <c r="F390" s="5" t="s">
        <v>28</v>
      </c>
      <c r="G390" s="5" t="s">
        <v>24</v>
      </c>
      <c r="H390" s="5">
        <v>35360</v>
      </c>
      <c r="I390" s="5">
        <v>9295</v>
      </c>
      <c r="J390" s="6">
        <f t="shared" si="6"/>
        <v>26065</v>
      </c>
    </row>
    <row r="391" spans="1:10">
      <c r="A391" s="5">
        <v>73845</v>
      </c>
      <c r="B391" s="5" t="s">
        <v>16</v>
      </c>
      <c r="C391" s="5" t="s">
        <v>11</v>
      </c>
      <c r="D391" s="5" t="s">
        <v>18</v>
      </c>
      <c r="E391" s="5" t="s">
        <v>19</v>
      </c>
      <c r="F391" s="5" t="s">
        <v>14</v>
      </c>
      <c r="G391" s="5" t="s">
        <v>24</v>
      </c>
      <c r="H391" s="5">
        <v>72218</v>
      </c>
      <c r="I391" s="5">
        <v>1140</v>
      </c>
      <c r="J391" s="6">
        <f t="shared" si="6"/>
        <v>71078</v>
      </c>
    </row>
    <row r="392" spans="1:10">
      <c r="A392" s="5">
        <v>67588</v>
      </c>
      <c r="B392" s="5" t="s">
        <v>10</v>
      </c>
      <c r="C392" s="5" t="s">
        <v>27</v>
      </c>
      <c r="D392" s="5" t="s">
        <v>29</v>
      </c>
      <c r="E392" s="5" t="s">
        <v>13</v>
      </c>
      <c r="F392" s="5" t="s">
        <v>28</v>
      </c>
      <c r="G392" s="5" t="s">
        <v>24</v>
      </c>
      <c r="H392" s="5">
        <v>79835</v>
      </c>
      <c r="I392" s="5">
        <v>1357</v>
      </c>
      <c r="J392" s="6">
        <f t="shared" si="6"/>
        <v>78478</v>
      </c>
    </row>
    <row r="393" spans="1:10">
      <c r="A393" s="5">
        <v>105731</v>
      </c>
      <c r="B393" s="5" t="s">
        <v>10</v>
      </c>
      <c r="C393" s="5" t="s">
        <v>22</v>
      </c>
      <c r="D393" s="5" t="s">
        <v>23</v>
      </c>
      <c r="E393" s="5" t="s">
        <v>13</v>
      </c>
      <c r="F393" s="5" t="s">
        <v>14</v>
      </c>
      <c r="G393" s="5" t="s">
        <v>15</v>
      </c>
      <c r="H393" s="5">
        <v>85896</v>
      </c>
      <c r="I393" s="5">
        <v>6278</v>
      </c>
      <c r="J393" s="6">
        <f t="shared" si="6"/>
        <v>79618</v>
      </c>
    </row>
    <row r="394" spans="1:10">
      <c r="A394" s="5">
        <v>185676</v>
      </c>
      <c r="B394" s="5" t="s">
        <v>10</v>
      </c>
      <c r="C394" s="5" t="s">
        <v>37</v>
      </c>
      <c r="D394" s="5" t="s">
        <v>12</v>
      </c>
      <c r="E394" s="5" t="s">
        <v>13</v>
      </c>
      <c r="F394" s="5" t="s">
        <v>14</v>
      </c>
      <c r="G394" s="5" t="s">
        <v>15</v>
      </c>
      <c r="H394" s="5">
        <v>51113</v>
      </c>
      <c r="I394" s="5">
        <v>1575</v>
      </c>
      <c r="J394" s="6">
        <f t="shared" si="6"/>
        <v>49538</v>
      </c>
    </row>
    <row r="395" spans="1:10">
      <c r="A395" s="5">
        <v>150676</v>
      </c>
      <c r="B395" s="5" t="s">
        <v>10</v>
      </c>
      <c r="C395" s="5" t="s">
        <v>27</v>
      </c>
      <c r="D395" s="5" t="s">
        <v>23</v>
      </c>
      <c r="E395" s="5" t="s">
        <v>13</v>
      </c>
      <c r="F395" s="5" t="s">
        <v>14</v>
      </c>
      <c r="G395" s="5" t="s">
        <v>24</v>
      </c>
      <c r="H395" s="5">
        <v>50304</v>
      </c>
      <c r="I395" s="5">
        <v>8420</v>
      </c>
      <c r="J395" s="6">
        <f t="shared" si="6"/>
        <v>41884</v>
      </c>
    </row>
    <row r="396" spans="1:10">
      <c r="A396" s="5">
        <v>209389</v>
      </c>
      <c r="B396" s="5" t="s">
        <v>10</v>
      </c>
      <c r="C396" s="5" t="s">
        <v>38</v>
      </c>
      <c r="D396" s="5" t="s">
        <v>32</v>
      </c>
      <c r="E396" s="5" t="s">
        <v>13</v>
      </c>
      <c r="F396" s="5" t="s">
        <v>14</v>
      </c>
      <c r="G396" s="5" t="s">
        <v>15</v>
      </c>
      <c r="H396" s="5">
        <v>15571</v>
      </c>
      <c r="I396" s="5">
        <v>1705</v>
      </c>
      <c r="J396" s="6">
        <f t="shared" si="6"/>
        <v>13866</v>
      </c>
    </row>
    <row r="397" spans="1:10">
      <c r="A397" s="5">
        <v>143332</v>
      </c>
      <c r="B397" s="5" t="s">
        <v>10</v>
      </c>
      <c r="C397" s="5" t="s">
        <v>22</v>
      </c>
      <c r="D397" s="5" t="s">
        <v>12</v>
      </c>
      <c r="E397" s="5" t="s">
        <v>13</v>
      </c>
      <c r="F397" s="5" t="s">
        <v>14</v>
      </c>
      <c r="G397" s="5" t="s">
        <v>15</v>
      </c>
      <c r="H397" s="5">
        <v>81769</v>
      </c>
      <c r="I397" s="5">
        <v>2726</v>
      </c>
      <c r="J397" s="6">
        <f t="shared" si="6"/>
        <v>79043</v>
      </c>
    </row>
    <row r="398" spans="1:10">
      <c r="A398" s="5">
        <v>190050</v>
      </c>
      <c r="B398" s="5" t="s">
        <v>16</v>
      </c>
      <c r="C398" s="5" t="s">
        <v>37</v>
      </c>
      <c r="D398" s="5" t="s">
        <v>32</v>
      </c>
      <c r="E398" s="5" t="s">
        <v>19</v>
      </c>
      <c r="F398" s="5" t="s">
        <v>28</v>
      </c>
      <c r="G398" s="5" t="s">
        <v>24</v>
      </c>
      <c r="H398" s="5">
        <v>1144</v>
      </c>
      <c r="I398" s="5">
        <v>0</v>
      </c>
      <c r="J398" s="6">
        <f t="shared" si="6"/>
        <v>1144</v>
      </c>
    </row>
    <row r="399" spans="1:10">
      <c r="A399" s="5">
        <v>194148</v>
      </c>
      <c r="B399" s="5" t="s">
        <v>16</v>
      </c>
      <c r="C399" s="5" t="s">
        <v>34</v>
      </c>
      <c r="D399" s="5" t="s">
        <v>26</v>
      </c>
      <c r="E399" s="5" t="s">
        <v>19</v>
      </c>
      <c r="F399" s="5" t="s">
        <v>14</v>
      </c>
      <c r="G399" s="5" t="s">
        <v>24</v>
      </c>
      <c r="H399" s="5">
        <v>19039</v>
      </c>
      <c r="I399" s="5">
        <v>678</v>
      </c>
      <c r="J399" s="6">
        <f t="shared" si="6"/>
        <v>18361</v>
      </c>
    </row>
    <row r="400" spans="1:10">
      <c r="A400" s="5">
        <v>165016</v>
      </c>
      <c r="B400" s="5" t="s">
        <v>16</v>
      </c>
      <c r="C400" s="5" t="s">
        <v>17</v>
      </c>
      <c r="D400" s="5" t="s">
        <v>21</v>
      </c>
      <c r="E400" s="5" t="s">
        <v>19</v>
      </c>
      <c r="F400" s="5" t="s">
        <v>14</v>
      </c>
      <c r="G400" s="5" t="s">
        <v>24</v>
      </c>
      <c r="H400" s="5">
        <v>31289</v>
      </c>
      <c r="I400" s="5">
        <v>308</v>
      </c>
      <c r="J400" s="6">
        <f t="shared" si="6"/>
        <v>30981</v>
      </c>
    </row>
    <row r="401" spans="1:10">
      <c r="A401" s="5">
        <v>57633</v>
      </c>
      <c r="B401" s="5" t="s">
        <v>16</v>
      </c>
      <c r="C401" s="5" t="s">
        <v>11</v>
      </c>
      <c r="D401" s="5" t="s">
        <v>36</v>
      </c>
      <c r="E401" s="5" t="s">
        <v>13</v>
      </c>
      <c r="F401" s="5" t="s">
        <v>14</v>
      </c>
      <c r="G401" s="5" t="s">
        <v>24</v>
      </c>
      <c r="H401" s="5">
        <v>12492</v>
      </c>
      <c r="I401" s="5">
        <v>47</v>
      </c>
      <c r="J401" s="6">
        <f t="shared" si="6"/>
        <v>12445</v>
      </c>
    </row>
    <row r="402" spans="1:10">
      <c r="A402" s="5">
        <v>251900</v>
      </c>
      <c r="B402" s="5" t="s">
        <v>10</v>
      </c>
      <c r="C402" s="5" t="s">
        <v>25</v>
      </c>
      <c r="D402" s="5" t="s">
        <v>26</v>
      </c>
      <c r="E402" s="5" t="s">
        <v>19</v>
      </c>
      <c r="F402" s="5" t="s">
        <v>28</v>
      </c>
      <c r="G402" s="5" t="s">
        <v>24</v>
      </c>
      <c r="H402" s="5">
        <v>34940</v>
      </c>
      <c r="I402" s="5">
        <v>225</v>
      </c>
      <c r="J402" s="6">
        <f t="shared" si="6"/>
        <v>34715</v>
      </c>
    </row>
    <row r="403" spans="1:10">
      <c r="A403" s="5">
        <v>143187</v>
      </c>
      <c r="B403" s="5" t="s">
        <v>10</v>
      </c>
      <c r="C403" s="5" t="s">
        <v>38</v>
      </c>
      <c r="D403" s="5" t="s">
        <v>21</v>
      </c>
      <c r="E403" s="5" t="s">
        <v>13</v>
      </c>
      <c r="F403" s="5" t="s">
        <v>28</v>
      </c>
      <c r="G403" s="5" t="s">
        <v>15</v>
      </c>
      <c r="H403" s="5">
        <v>14743</v>
      </c>
      <c r="I403" s="5">
        <v>0</v>
      </c>
      <c r="J403" s="6">
        <f t="shared" si="6"/>
        <v>14743</v>
      </c>
    </row>
    <row r="404" spans="1:10">
      <c r="A404" s="5">
        <v>237902</v>
      </c>
      <c r="B404" s="5" t="s">
        <v>10</v>
      </c>
      <c r="C404" s="5" t="s">
        <v>22</v>
      </c>
      <c r="D404" s="5" t="s">
        <v>29</v>
      </c>
      <c r="E404" s="5" t="s">
        <v>13</v>
      </c>
      <c r="F404" s="5" t="s">
        <v>14</v>
      </c>
      <c r="G404" s="5" t="s">
        <v>24</v>
      </c>
      <c r="H404" s="5">
        <v>59661</v>
      </c>
      <c r="I404" s="5">
        <v>1843</v>
      </c>
      <c r="J404" s="6">
        <f t="shared" si="6"/>
        <v>57818</v>
      </c>
    </row>
    <row r="405" spans="1:10">
      <c r="A405" s="5">
        <v>171585</v>
      </c>
      <c r="B405" s="5" t="s">
        <v>16</v>
      </c>
      <c r="C405" s="5" t="s">
        <v>31</v>
      </c>
      <c r="D405" s="5" t="s">
        <v>21</v>
      </c>
      <c r="E405" s="5" t="s">
        <v>19</v>
      </c>
      <c r="F405" s="5" t="s">
        <v>14</v>
      </c>
      <c r="G405" s="5" t="s">
        <v>24</v>
      </c>
      <c r="H405" s="5">
        <v>37787</v>
      </c>
      <c r="I405" s="5">
        <v>0</v>
      </c>
      <c r="J405" s="6">
        <f t="shared" si="6"/>
        <v>37787</v>
      </c>
    </row>
    <row r="406" spans="1:10">
      <c r="A406" s="5">
        <v>132046</v>
      </c>
      <c r="B406" s="5" t="s">
        <v>16</v>
      </c>
      <c r="C406" s="5" t="s">
        <v>25</v>
      </c>
      <c r="D406" s="5" t="s">
        <v>33</v>
      </c>
      <c r="E406" s="5" t="s">
        <v>19</v>
      </c>
      <c r="F406" s="5" t="s">
        <v>14</v>
      </c>
      <c r="G406" s="5" t="s">
        <v>15</v>
      </c>
      <c r="H406" s="5">
        <v>67807</v>
      </c>
      <c r="I406" s="5">
        <v>1266</v>
      </c>
      <c r="J406" s="6">
        <f t="shared" si="6"/>
        <v>66541</v>
      </c>
    </row>
    <row r="407" spans="1:10">
      <c r="A407" s="5">
        <v>196833</v>
      </c>
      <c r="B407" s="5" t="s">
        <v>16</v>
      </c>
      <c r="C407" s="5" t="s">
        <v>11</v>
      </c>
      <c r="D407" s="5" t="s">
        <v>33</v>
      </c>
      <c r="E407" s="5" t="s">
        <v>13</v>
      </c>
      <c r="F407" s="5" t="s">
        <v>14</v>
      </c>
      <c r="G407" s="5" t="s">
        <v>15</v>
      </c>
      <c r="H407" s="5">
        <v>66885</v>
      </c>
      <c r="I407" s="5">
        <v>2920</v>
      </c>
      <c r="J407" s="6">
        <f t="shared" si="6"/>
        <v>63965</v>
      </c>
    </row>
    <row r="408" spans="1:10">
      <c r="A408" s="5">
        <v>116001</v>
      </c>
      <c r="B408" s="5" t="s">
        <v>16</v>
      </c>
      <c r="C408" s="5" t="s">
        <v>25</v>
      </c>
      <c r="D408" s="5" t="s">
        <v>30</v>
      </c>
      <c r="E408" s="5" t="s">
        <v>13</v>
      </c>
      <c r="F408" s="5" t="s">
        <v>14</v>
      </c>
      <c r="G408" s="5" t="s">
        <v>24</v>
      </c>
      <c r="H408" s="5">
        <v>32101</v>
      </c>
      <c r="I408" s="5">
        <v>375</v>
      </c>
      <c r="J408" s="6">
        <f t="shared" si="6"/>
        <v>31726</v>
      </c>
    </row>
    <row r="409" spans="1:10">
      <c r="A409" s="5">
        <v>123013</v>
      </c>
      <c r="B409" s="5" t="s">
        <v>10</v>
      </c>
      <c r="C409" s="5" t="s">
        <v>25</v>
      </c>
      <c r="D409" s="5" t="s">
        <v>26</v>
      </c>
      <c r="E409" s="5" t="s">
        <v>19</v>
      </c>
      <c r="F409" s="5" t="s">
        <v>14</v>
      </c>
      <c r="G409" s="5" t="s">
        <v>24</v>
      </c>
      <c r="H409" s="5">
        <v>73390</v>
      </c>
      <c r="I409" s="5">
        <v>7469</v>
      </c>
      <c r="J409" s="6">
        <f t="shared" si="6"/>
        <v>65921</v>
      </c>
    </row>
    <row r="410" spans="1:10">
      <c r="A410" s="5">
        <v>152663</v>
      </c>
      <c r="B410" s="5" t="s">
        <v>16</v>
      </c>
      <c r="C410" s="5" t="s">
        <v>22</v>
      </c>
      <c r="D410" s="5" t="s">
        <v>12</v>
      </c>
      <c r="E410" s="5" t="s">
        <v>13</v>
      </c>
      <c r="F410" s="5" t="s">
        <v>14</v>
      </c>
      <c r="G410" s="5" t="s">
        <v>15</v>
      </c>
      <c r="H410" s="5">
        <v>61922</v>
      </c>
      <c r="I410" s="5">
        <v>2084</v>
      </c>
      <c r="J410" s="6">
        <f t="shared" si="6"/>
        <v>59838</v>
      </c>
    </row>
    <row r="411" spans="1:10">
      <c r="A411" s="5">
        <v>84840</v>
      </c>
      <c r="B411" s="5" t="s">
        <v>10</v>
      </c>
      <c r="C411" s="5" t="s">
        <v>11</v>
      </c>
      <c r="D411" s="5" t="s">
        <v>12</v>
      </c>
      <c r="E411" s="5" t="s">
        <v>13</v>
      </c>
      <c r="F411" s="5" t="s">
        <v>14</v>
      </c>
      <c r="G411" s="5" t="s">
        <v>15</v>
      </c>
      <c r="H411" s="5">
        <v>215808</v>
      </c>
      <c r="I411" s="5">
        <v>1447</v>
      </c>
      <c r="J411" s="6">
        <f t="shared" si="6"/>
        <v>214361</v>
      </c>
    </row>
    <row r="412" spans="1:10">
      <c r="A412" s="5">
        <v>236789</v>
      </c>
      <c r="B412" s="5" t="s">
        <v>16</v>
      </c>
      <c r="C412" s="5" t="s">
        <v>17</v>
      </c>
      <c r="D412" s="5" t="s">
        <v>21</v>
      </c>
      <c r="E412" s="5" t="s">
        <v>19</v>
      </c>
      <c r="F412" s="5" t="s">
        <v>28</v>
      </c>
      <c r="G412" s="5" t="s">
        <v>24</v>
      </c>
      <c r="H412" s="5">
        <v>9150</v>
      </c>
      <c r="I412" s="5">
        <v>135</v>
      </c>
      <c r="J412" s="6">
        <f t="shared" si="6"/>
        <v>9015</v>
      </c>
    </row>
    <row r="413" spans="1:10">
      <c r="A413" s="5">
        <v>178503</v>
      </c>
      <c r="B413" s="5" t="s">
        <v>16</v>
      </c>
      <c r="C413" s="5" t="s">
        <v>22</v>
      </c>
      <c r="D413" s="5" t="s">
        <v>30</v>
      </c>
      <c r="E413" s="5" t="s">
        <v>19</v>
      </c>
      <c r="F413" s="5" t="s">
        <v>28</v>
      </c>
      <c r="G413" s="5" t="s">
        <v>24</v>
      </c>
      <c r="H413" s="5">
        <v>56215</v>
      </c>
      <c r="I413" s="5">
        <v>1479</v>
      </c>
      <c r="J413" s="6">
        <f t="shared" si="6"/>
        <v>54736</v>
      </c>
    </row>
    <row r="414" spans="1:10">
      <c r="A414" s="5">
        <v>116627</v>
      </c>
      <c r="B414" s="5" t="s">
        <v>10</v>
      </c>
      <c r="C414" s="5" t="s">
        <v>27</v>
      </c>
      <c r="D414" s="5" t="s">
        <v>36</v>
      </c>
      <c r="E414" s="5" t="s">
        <v>13</v>
      </c>
      <c r="F414" s="5" t="s">
        <v>14</v>
      </c>
      <c r="G414" s="5" t="s">
        <v>24</v>
      </c>
      <c r="H414" s="5">
        <v>45100</v>
      </c>
      <c r="I414" s="5">
        <v>1343</v>
      </c>
      <c r="J414" s="6">
        <f t="shared" si="6"/>
        <v>43757</v>
      </c>
    </row>
    <row r="415" spans="1:10">
      <c r="A415" s="5">
        <v>130432</v>
      </c>
      <c r="B415" s="5" t="s">
        <v>10</v>
      </c>
      <c r="C415" s="5" t="s">
        <v>25</v>
      </c>
      <c r="D415" s="5" t="s">
        <v>23</v>
      </c>
      <c r="E415" s="5" t="s">
        <v>19</v>
      </c>
      <c r="F415" s="5" t="s">
        <v>28</v>
      </c>
      <c r="G415" s="5" t="s">
        <v>15</v>
      </c>
      <c r="H415" s="5">
        <v>57408</v>
      </c>
      <c r="I415" s="5">
        <v>2133</v>
      </c>
      <c r="J415" s="6">
        <f t="shared" si="6"/>
        <v>55275</v>
      </c>
    </row>
    <row r="416" spans="1:10">
      <c r="A416" s="5">
        <v>16946</v>
      </c>
      <c r="B416" s="5" t="s">
        <v>10</v>
      </c>
      <c r="C416" s="5" t="s">
        <v>11</v>
      </c>
      <c r="D416" s="5" t="s">
        <v>33</v>
      </c>
      <c r="E416" s="5" t="s">
        <v>13</v>
      </c>
      <c r="F416" s="5" t="s">
        <v>14</v>
      </c>
      <c r="G416" s="5" t="s">
        <v>15</v>
      </c>
      <c r="H416" s="5">
        <v>72575</v>
      </c>
      <c r="I416" s="5">
        <v>2319</v>
      </c>
      <c r="J416" s="6">
        <f t="shared" si="6"/>
        <v>70256</v>
      </c>
    </row>
    <row r="417" spans="1:10">
      <c r="A417" s="5">
        <v>156832</v>
      </c>
      <c r="B417" s="5" t="s">
        <v>16</v>
      </c>
      <c r="C417" s="5" t="s">
        <v>25</v>
      </c>
      <c r="D417" s="5" t="s">
        <v>36</v>
      </c>
      <c r="E417" s="5" t="s">
        <v>13</v>
      </c>
      <c r="F417" s="5" t="s">
        <v>14</v>
      </c>
      <c r="G417" s="5" t="s">
        <v>24</v>
      </c>
      <c r="H417" s="5">
        <v>7581</v>
      </c>
      <c r="I417" s="5">
        <v>0</v>
      </c>
      <c r="J417" s="6">
        <f t="shared" si="6"/>
        <v>7581</v>
      </c>
    </row>
    <row r="418" spans="1:10">
      <c r="A418" s="5">
        <v>7881</v>
      </c>
      <c r="B418" s="5" t="s">
        <v>16</v>
      </c>
      <c r="C418" s="5" t="s">
        <v>37</v>
      </c>
      <c r="D418" s="5" t="s">
        <v>36</v>
      </c>
      <c r="E418" s="5" t="s">
        <v>13</v>
      </c>
      <c r="F418" s="5" t="s">
        <v>14</v>
      </c>
      <c r="G418" s="5" t="s">
        <v>15</v>
      </c>
      <c r="H418" s="5">
        <v>12457</v>
      </c>
      <c r="I418" s="5">
        <v>1625</v>
      </c>
      <c r="J418" s="6">
        <f t="shared" si="6"/>
        <v>10832</v>
      </c>
    </row>
    <row r="419" spans="1:10">
      <c r="A419" s="5">
        <v>79667</v>
      </c>
      <c r="B419" s="5" t="s">
        <v>16</v>
      </c>
      <c r="C419" s="5" t="s">
        <v>38</v>
      </c>
      <c r="D419" s="5" t="s">
        <v>30</v>
      </c>
      <c r="E419" s="5" t="s">
        <v>13</v>
      </c>
      <c r="F419" s="5" t="s">
        <v>14</v>
      </c>
      <c r="G419" s="5" t="s">
        <v>15</v>
      </c>
      <c r="H419" s="5">
        <v>60686</v>
      </c>
      <c r="I419" s="5">
        <v>766</v>
      </c>
      <c r="J419" s="6">
        <f t="shared" si="6"/>
        <v>59920</v>
      </c>
    </row>
    <row r="420" spans="1:10">
      <c r="A420" s="5">
        <v>246133</v>
      </c>
      <c r="B420" s="5" t="s">
        <v>10</v>
      </c>
      <c r="C420" s="5" t="s">
        <v>22</v>
      </c>
      <c r="D420" s="5" t="s">
        <v>12</v>
      </c>
      <c r="E420" s="5" t="s">
        <v>19</v>
      </c>
      <c r="F420" s="5" t="s">
        <v>14</v>
      </c>
      <c r="G420" s="5" t="s">
        <v>24</v>
      </c>
      <c r="H420" s="5">
        <v>65324</v>
      </c>
      <c r="I420" s="5">
        <v>3664</v>
      </c>
      <c r="J420" s="6">
        <f t="shared" si="6"/>
        <v>61660</v>
      </c>
    </row>
    <row r="421" spans="1:10">
      <c r="A421" s="5">
        <v>8786</v>
      </c>
      <c r="B421" s="5" t="s">
        <v>10</v>
      </c>
      <c r="C421" s="5" t="s">
        <v>37</v>
      </c>
      <c r="D421" s="5" t="s">
        <v>12</v>
      </c>
      <c r="E421" s="5" t="s">
        <v>13</v>
      </c>
      <c r="F421" s="5" t="s">
        <v>14</v>
      </c>
      <c r="G421" s="5" t="s">
        <v>24</v>
      </c>
      <c r="H421" s="5">
        <v>84938</v>
      </c>
      <c r="I421" s="5">
        <v>3891</v>
      </c>
      <c r="J421" s="6">
        <f t="shared" si="6"/>
        <v>81047</v>
      </c>
    </row>
    <row r="422" spans="1:10">
      <c r="A422" s="5">
        <v>152511</v>
      </c>
      <c r="B422" s="5" t="s">
        <v>16</v>
      </c>
      <c r="C422" s="5" t="s">
        <v>22</v>
      </c>
      <c r="D422" s="5" t="s">
        <v>21</v>
      </c>
      <c r="E422" s="5" t="s">
        <v>13</v>
      </c>
      <c r="F422" s="5" t="s">
        <v>28</v>
      </c>
      <c r="G422" s="5" t="s">
        <v>15</v>
      </c>
      <c r="H422" s="5">
        <v>55</v>
      </c>
      <c r="I422" s="5">
        <v>0</v>
      </c>
      <c r="J422" s="6">
        <f t="shared" si="6"/>
        <v>55</v>
      </c>
    </row>
    <row r="423" spans="1:10">
      <c r="A423" s="5">
        <v>87445</v>
      </c>
      <c r="B423" s="5" t="s">
        <v>16</v>
      </c>
      <c r="C423" s="5" t="s">
        <v>38</v>
      </c>
      <c r="D423" s="5" t="s">
        <v>33</v>
      </c>
      <c r="E423" s="5" t="s">
        <v>19</v>
      </c>
      <c r="F423" s="5" t="s">
        <v>14</v>
      </c>
      <c r="G423" s="5" t="s">
        <v>24</v>
      </c>
      <c r="H423" s="5">
        <v>33227</v>
      </c>
      <c r="I423" s="5">
        <v>601</v>
      </c>
      <c r="J423" s="6">
        <f t="shared" si="6"/>
        <v>32626</v>
      </c>
    </row>
    <row r="424" spans="1:10">
      <c r="A424" s="5">
        <v>42275</v>
      </c>
      <c r="B424" s="5" t="s">
        <v>16</v>
      </c>
      <c r="C424" s="5" t="s">
        <v>35</v>
      </c>
      <c r="D424" s="5" t="s">
        <v>21</v>
      </c>
      <c r="E424" s="5" t="s">
        <v>13</v>
      </c>
      <c r="F424" s="5" t="s">
        <v>14</v>
      </c>
      <c r="G424" s="5" t="s">
        <v>15</v>
      </c>
      <c r="H424" s="5">
        <v>259130</v>
      </c>
      <c r="I424" s="5">
        <v>2767</v>
      </c>
      <c r="J424" s="6">
        <f t="shared" si="6"/>
        <v>256363</v>
      </c>
    </row>
    <row r="425" spans="1:10">
      <c r="A425" s="5">
        <v>17240</v>
      </c>
      <c r="B425" s="5" t="s">
        <v>10</v>
      </c>
      <c r="C425" s="5" t="s">
        <v>34</v>
      </c>
      <c r="D425" s="5" t="s">
        <v>23</v>
      </c>
      <c r="E425" s="5" t="s">
        <v>19</v>
      </c>
      <c r="F425" s="5" t="s">
        <v>14</v>
      </c>
      <c r="G425" s="5" t="s">
        <v>15</v>
      </c>
      <c r="H425" s="5">
        <v>19372</v>
      </c>
      <c r="I425" s="5">
        <v>285</v>
      </c>
      <c r="J425" s="6">
        <f t="shared" si="6"/>
        <v>19087</v>
      </c>
    </row>
    <row r="426" spans="1:10">
      <c r="A426" s="5">
        <v>185176</v>
      </c>
      <c r="B426" s="5" t="s">
        <v>16</v>
      </c>
      <c r="C426" s="5" t="s">
        <v>11</v>
      </c>
      <c r="D426" s="5" t="s">
        <v>21</v>
      </c>
      <c r="E426" s="5" t="s">
        <v>13</v>
      </c>
      <c r="F426" s="5" t="s">
        <v>28</v>
      </c>
      <c r="G426" s="5" t="s">
        <v>15</v>
      </c>
      <c r="H426" s="5">
        <v>34027</v>
      </c>
      <c r="I426" s="5">
        <v>1431</v>
      </c>
      <c r="J426" s="6">
        <f t="shared" si="6"/>
        <v>32596</v>
      </c>
    </row>
    <row r="427" spans="1:10">
      <c r="A427" s="5">
        <v>141860</v>
      </c>
      <c r="B427" s="5" t="s">
        <v>16</v>
      </c>
      <c r="C427" s="5" t="s">
        <v>22</v>
      </c>
      <c r="D427" s="5" t="s">
        <v>26</v>
      </c>
      <c r="E427" s="5" t="s">
        <v>19</v>
      </c>
      <c r="F427" s="5" t="s">
        <v>28</v>
      </c>
      <c r="G427" s="5" t="s">
        <v>24</v>
      </c>
      <c r="H427" s="5">
        <v>11742</v>
      </c>
      <c r="I427" s="5">
        <v>0</v>
      </c>
      <c r="J427" s="6">
        <f t="shared" si="6"/>
        <v>11742</v>
      </c>
    </row>
    <row r="428" spans="1:10">
      <c r="A428" s="5">
        <v>211654</v>
      </c>
      <c r="B428" s="5" t="s">
        <v>16</v>
      </c>
      <c r="C428" s="5" t="s">
        <v>38</v>
      </c>
      <c r="D428" s="5" t="s">
        <v>36</v>
      </c>
      <c r="E428" s="5" t="s">
        <v>19</v>
      </c>
      <c r="F428" s="5" t="s">
        <v>14</v>
      </c>
      <c r="G428" s="5" t="s">
        <v>24</v>
      </c>
      <c r="H428" s="5">
        <v>47796</v>
      </c>
      <c r="I428" s="5">
        <v>670</v>
      </c>
      <c r="J428" s="6">
        <f t="shared" si="6"/>
        <v>47126</v>
      </c>
    </row>
    <row r="429" spans="1:10">
      <c r="A429" s="5">
        <v>190387</v>
      </c>
      <c r="B429" s="5" t="s">
        <v>10</v>
      </c>
      <c r="C429" s="5" t="s">
        <v>38</v>
      </c>
      <c r="D429" s="5" t="s">
        <v>30</v>
      </c>
      <c r="E429" s="5" t="s">
        <v>13</v>
      </c>
      <c r="F429" s="5" t="s">
        <v>14</v>
      </c>
      <c r="G429" s="5" t="s">
        <v>15</v>
      </c>
      <c r="H429" s="5">
        <v>177360</v>
      </c>
      <c r="I429" s="5">
        <v>521</v>
      </c>
      <c r="J429" s="6">
        <f t="shared" si="6"/>
        <v>176839</v>
      </c>
    </row>
    <row r="430" spans="1:10">
      <c r="A430" s="5">
        <v>38387</v>
      </c>
      <c r="B430" s="5" t="s">
        <v>16</v>
      </c>
      <c r="C430" s="5" t="s">
        <v>35</v>
      </c>
      <c r="D430" s="5" t="s">
        <v>30</v>
      </c>
      <c r="E430" s="5" t="s">
        <v>19</v>
      </c>
      <c r="F430" s="5" t="s">
        <v>14</v>
      </c>
      <c r="G430" s="5" t="s">
        <v>24</v>
      </c>
      <c r="H430" s="5">
        <v>103878</v>
      </c>
      <c r="I430" s="5">
        <v>6942</v>
      </c>
      <c r="J430" s="6">
        <f t="shared" si="6"/>
        <v>96936</v>
      </c>
    </row>
    <row r="431" spans="1:10">
      <c r="A431" s="5">
        <v>152262</v>
      </c>
      <c r="B431" s="5" t="s">
        <v>16</v>
      </c>
      <c r="C431" s="5" t="s">
        <v>22</v>
      </c>
      <c r="D431" s="5" t="s">
        <v>30</v>
      </c>
      <c r="E431" s="5" t="s">
        <v>19</v>
      </c>
      <c r="F431" s="5" t="s">
        <v>14</v>
      </c>
      <c r="G431" s="5" t="s">
        <v>24</v>
      </c>
      <c r="H431" s="5">
        <v>63636</v>
      </c>
      <c r="I431" s="5">
        <v>1077</v>
      </c>
      <c r="J431" s="6">
        <f t="shared" si="6"/>
        <v>62559</v>
      </c>
    </row>
    <row r="432" spans="1:10">
      <c r="A432" s="5">
        <v>183499</v>
      </c>
      <c r="B432" s="5" t="s">
        <v>16</v>
      </c>
      <c r="C432" s="5" t="s">
        <v>37</v>
      </c>
      <c r="D432" s="5" t="s">
        <v>33</v>
      </c>
      <c r="E432" s="5" t="s">
        <v>19</v>
      </c>
      <c r="F432" s="5" t="s">
        <v>28</v>
      </c>
      <c r="G432" s="5" t="s">
        <v>24</v>
      </c>
      <c r="H432" s="5">
        <v>38585</v>
      </c>
      <c r="I432" s="5">
        <v>737</v>
      </c>
      <c r="J432" s="6">
        <f t="shared" si="6"/>
        <v>37848</v>
      </c>
    </row>
    <row r="433" spans="1:10">
      <c r="A433" s="5">
        <v>198647</v>
      </c>
      <c r="B433" s="5" t="s">
        <v>16</v>
      </c>
      <c r="C433" s="5" t="s">
        <v>34</v>
      </c>
      <c r="D433" s="5" t="s">
        <v>33</v>
      </c>
      <c r="E433" s="5" t="s">
        <v>13</v>
      </c>
      <c r="F433" s="5" t="s">
        <v>14</v>
      </c>
      <c r="G433" s="5" t="s">
        <v>15</v>
      </c>
      <c r="H433" s="5">
        <v>13962</v>
      </c>
      <c r="I433" s="5">
        <v>99</v>
      </c>
      <c r="J433" s="6">
        <f t="shared" si="6"/>
        <v>13863</v>
      </c>
    </row>
    <row r="434" spans="1:10">
      <c r="A434" s="5">
        <v>221411</v>
      </c>
      <c r="B434" s="5" t="s">
        <v>16</v>
      </c>
      <c r="C434" s="5" t="s">
        <v>25</v>
      </c>
      <c r="D434" s="5" t="s">
        <v>12</v>
      </c>
      <c r="E434" s="5" t="s">
        <v>19</v>
      </c>
      <c r="F434" s="5" t="s">
        <v>14</v>
      </c>
      <c r="G434" s="5" t="s">
        <v>24</v>
      </c>
      <c r="H434" s="5">
        <v>34362</v>
      </c>
      <c r="I434" s="5">
        <v>3949</v>
      </c>
      <c r="J434" s="6">
        <f t="shared" si="6"/>
        <v>30413</v>
      </c>
    </row>
    <row r="435" spans="1:10">
      <c r="A435" s="5">
        <v>257043</v>
      </c>
      <c r="B435" s="5" t="s">
        <v>10</v>
      </c>
      <c r="C435" s="5" t="s">
        <v>17</v>
      </c>
      <c r="D435" s="5" t="s">
        <v>18</v>
      </c>
      <c r="E435" s="5" t="s">
        <v>19</v>
      </c>
      <c r="F435" s="5" t="s">
        <v>14</v>
      </c>
      <c r="G435" s="5" t="s">
        <v>15</v>
      </c>
      <c r="H435" s="5">
        <v>23269</v>
      </c>
      <c r="I435" s="5">
        <v>0</v>
      </c>
      <c r="J435" s="6">
        <f t="shared" si="6"/>
        <v>23269</v>
      </c>
    </row>
    <row r="436" spans="1:10">
      <c r="A436" s="5">
        <v>52701</v>
      </c>
      <c r="B436" s="5" t="s">
        <v>16</v>
      </c>
      <c r="C436" s="5" t="s">
        <v>35</v>
      </c>
      <c r="D436" s="5" t="s">
        <v>36</v>
      </c>
      <c r="E436" s="5" t="s">
        <v>19</v>
      </c>
      <c r="F436" s="5" t="s">
        <v>14</v>
      </c>
      <c r="G436" s="5" t="s">
        <v>15</v>
      </c>
      <c r="H436" s="5">
        <v>81530</v>
      </c>
      <c r="I436" s="5">
        <v>3849</v>
      </c>
      <c r="J436" s="6">
        <f t="shared" si="6"/>
        <v>77681</v>
      </c>
    </row>
    <row r="437" spans="1:10">
      <c r="A437" s="5">
        <v>129521</v>
      </c>
      <c r="B437" s="5" t="s">
        <v>10</v>
      </c>
      <c r="C437" s="5" t="s">
        <v>22</v>
      </c>
      <c r="D437" s="5" t="s">
        <v>12</v>
      </c>
      <c r="E437" s="5" t="s">
        <v>13</v>
      </c>
      <c r="F437" s="5" t="s">
        <v>14</v>
      </c>
      <c r="G437" s="5" t="s">
        <v>15</v>
      </c>
      <c r="H437" s="5">
        <v>87487</v>
      </c>
      <c r="I437" s="5">
        <v>159</v>
      </c>
      <c r="J437" s="6">
        <f t="shared" si="6"/>
        <v>87328</v>
      </c>
    </row>
    <row r="438" spans="1:10">
      <c r="A438" s="5">
        <v>135983</v>
      </c>
      <c r="B438" s="5" t="s">
        <v>10</v>
      </c>
      <c r="C438" s="5" t="s">
        <v>22</v>
      </c>
      <c r="D438" s="5" t="s">
        <v>26</v>
      </c>
      <c r="E438" s="5" t="s">
        <v>13</v>
      </c>
      <c r="F438" s="5" t="s">
        <v>14</v>
      </c>
      <c r="G438" s="5" t="s">
        <v>15</v>
      </c>
      <c r="H438" s="5">
        <v>84164</v>
      </c>
      <c r="I438" s="5">
        <v>2486</v>
      </c>
      <c r="J438" s="6">
        <f t="shared" si="6"/>
        <v>81678</v>
      </c>
    </row>
    <row r="439" spans="1:10">
      <c r="A439" s="5">
        <v>203631</v>
      </c>
      <c r="B439" s="5" t="s">
        <v>16</v>
      </c>
      <c r="C439" s="5" t="s">
        <v>37</v>
      </c>
      <c r="D439" s="5" t="s">
        <v>36</v>
      </c>
      <c r="E439" s="5" t="s">
        <v>19</v>
      </c>
      <c r="F439" s="5" t="s">
        <v>14</v>
      </c>
      <c r="G439" s="5" t="s">
        <v>24</v>
      </c>
      <c r="H439" s="5">
        <v>19278</v>
      </c>
      <c r="I439" s="5">
        <v>4388</v>
      </c>
      <c r="J439" s="6">
        <f t="shared" si="6"/>
        <v>14890</v>
      </c>
    </row>
    <row r="440" spans="1:10">
      <c r="A440" s="5">
        <v>45511</v>
      </c>
      <c r="B440" s="5" t="s">
        <v>16</v>
      </c>
      <c r="C440" s="5" t="s">
        <v>11</v>
      </c>
      <c r="D440" s="5" t="s">
        <v>32</v>
      </c>
      <c r="E440" s="5" t="s">
        <v>13</v>
      </c>
      <c r="F440" s="5" t="s">
        <v>14</v>
      </c>
      <c r="G440" s="5" t="s">
        <v>15</v>
      </c>
      <c r="H440" s="5">
        <v>28460</v>
      </c>
      <c r="I440" s="5">
        <v>0</v>
      </c>
      <c r="J440" s="6">
        <f t="shared" si="6"/>
        <v>28460</v>
      </c>
    </row>
    <row r="441" spans="1:10">
      <c r="A441" s="5">
        <v>12027</v>
      </c>
      <c r="B441" s="5" t="s">
        <v>16</v>
      </c>
      <c r="C441" s="5" t="s">
        <v>34</v>
      </c>
      <c r="D441" s="5" t="s">
        <v>33</v>
      </c>
      <c r="E441" s="5" t="s">
        <v>13</v>
      </c>
      <c r="F441" s="5" t="s">
        <v>14</v>
      </c>
      <c r="G441" s="5" t="s">
        <v>24</v>
      </c>
      <c r="H441" s="5">
        <v>20102</v>
      </c>
      <c r="I441" s="5">
        <v>265</v>
      </c>
      <c r="J441" s="6">
        <f t="shared" si="6"/>
        <v>19837</v>
      </c>
    </row>
    <row r="442" spans="1:10">
      <c r="A442" s="5">
        <v>177224</v>
      </c>
      <c r="B442" s="5" t="s">
        <v>16</v>
      </c>
      <c r="C442" s="5" t="s">
        <v>25</v>
      </c>
      <c r="D442" s="5" t="s">
        <v>33</v>
      </c>
      <c r="E442" s="5" t="s">
        <v>19</v>
      </c>
      <c r="F442" s="5" t="s">
        <v>14</v>
      </c>
      <c r="G442" s="5" t="s">
        <v>15</v>
      </c>
      <c r="H442" s="5">
        <v>86061</v>
      </c>
      <c r="I442" s="5">
        <v>7967</v>
      </c>
      <c r="J442" s="6">
        <f t="shared" si="6"/>
        <v>78094</v>
      </c>
    </row>
    <row r="443" spans="1:10">
      <c r="A443" s="5">
        <v>193137</v>
      </c>
      <c r="B443" s="5" t="s">
        <v>16</v>
      </c>
      <c r="C443" s="5" t="s">
        <v>11</v>
      </c>
      <c r="D443" s="5" t="s">
        <v>33</v>
      </c>
      <c r="E443" s="5" t="s">
        <v>13</v>
      </c>
      <c r="F443" s="5" t="s">
        <v>14</v>
      </c>
      <c r="G443" s="5" t="s">
        <v>24</v>
      </c>
      <c r="H443" s="5">
        <v>34008</v>
      </c>
      <c r="I443" s="5">
        <v>409</v>
      </c>
      <c r="J443" s="6">
        <f t="shared" si="6"/>
        <v>33599</v>
      </c>
    </row>
    <row r="444" spans="1:10">
      <c r="A444" s="5">
        <v>74519</v>
      </c>
      <c r="B444" s="5" t="s">
        <v>16</v>
      </c>
      <c r="C444" s="5" t="s">
        <v>27</v>
      </c>
      <c r="D444" s="5" t="s">
        <v>30</v>
      </c>
      <c r="E444" s="5" t="s">
        <v>13</v>
      </c>
      <c r="F444" s="5" t="s">
        <v>14</v>
      </c>
      <c r="G444" s="5" t="s">
        <v>15</v>
      </c>
      <c r="H444" s="5">
        <v>65604</v>
      </c>
      <c r="I444" s="5">
        <v>15205</v>
      </c>
      <c r="J444" s="6">
        <f t="shared" si="6"/>
        <v>50399</v>
      </c>
    </row>
    <row r="445" spans="1:10">
      <c r="A445" s="5">
        <v>26341</v>
      </c>
      <c r="B445" s="5" t="s">
        <v>16</v>
      </c>
      <c r="C445" s="5" t="s">
        <v>20</v>
      </c>
      <c r="D445" s="5" t="s">
        <v>32</v>
      </c>
      <c r="E445" s="5" t="s">
        <v>13</v>
      </c>
      <c r="F445" s="5" t="s">
        <v>28</v>
      </c>
      <c r="G445" s="5" t="s">
        <v>24</v>
      </c>
      <c r="H445" s="5">
        <v>23041</v>
      </c>
      <c r="I445" s="5">
        <v>0</v>
      </c>
      <c r="J445" s="6">
        <f t="shared" si="6"/>
        <v>23041</v>
      </c>
    </row>
    <row r="446" spans="1:10">
      <c r="A446" s="5">
        <v>166089</v>
      </c>
      <c r="B446" s="5" t="s">
        <v>10</v>
      </c>
      <c r="C446" s="5" t="s">
        <v>27</v>
      </c>
      <c r="D446" s="5" t="s">
        <v>23</v>
      </c>
      <c r="E446" s="5" t="s">
        <v>19</v>
      </c>
      <c r="F446" s="5" t="s">
        <v>28</v>
      </c>
      <c r="G446" s="5" t="s">
        <v>15</v>
      </c>
      <c r="H446" s="5">
        <v>49826</v>
      </c>
      <c r="I446" s="5">
        <v>257</v>
      </c>
      <c r="J446" s="6">
        <f t="shared" si="6"/>
        <v>49569</v>
      </c>
    </row>
    <row r="447" spans="1:10">
      <c r="A447" s="5">
        <v>121980</v>
      </c>
      <c r="B447" s="5" t="s">
        <v>16</v>
      </c>
      <c r="C447" s="5" t="s">
        <v>22</v>
      </c>
      <c r="D447" s="5" t="s">
        <v>33</v>
      </c>
      <c r="E447" s="5" t="s">
        <v>19</v>
      </c>
      <c r="F447" s="5" t="s">
        <v>14</v>
      </c>
      <c r="G447" s="5" t="s">
        <v>15</v>
      </c>
      <c r="H447" s="5">
        <v>53978</v>
      </c>
      <c r="I447" s="5">
        <v>3983</v>
      </c>
      <c r="J447" s="6">
        <f t="shared" si="6"/>
        <v>49995</v>
      </c>
    </row>
    <row r="448" spans="1:10">
      <c r="A448" s="5">
        <v>71975</v>
      </c>
      <c r="B448" s="5" t="s">
        <v>16</v>
      </c>
      <c r="C448" s="5" t="s">
        <v>27</v>
      </c>
      <c r="D448" s="5" t="s">
        <v>30</v>
      </c>
      <c r="E448" s="5" t="s">
        <v>19</v>
      </c>
      <c r="F448" s="5" t="s">
        <v>28</v>
      </c>
      <c r="G448" s="5" t="s">
        <v>15</v>
      </c>
      <c r="H448" s="5">
        <v>45598</v>
      </c>
      <c r="I448" s="5">
        <v>4271</v>
      </c>
      <c r="J448" s="6">
        <f t="shared" si="6"/>
        <v>41327</v>
      </c>
    </row>
    <row r="449" spans="1:10">
      <c r="A449" s="5">
        <v>46864</v>
      </c>
      <c r="B449" s="5" t="s">
        <v>16</v>
      </c>
      <c r="C449" s="5" t="s">
        <v>34</v>
      </c>
      <c r="D449" s="5" t="s">
        <v>12</v>
      </c>
      <c r="E449" s="5" t="s">
        <v>19</v>
      </c>
      <c r="F449" s="5" t="s">
        <v>14</v>
      </c>
      <c r="G449" s="5" t="s">
        <v>15</v>
      </c>
      <c r="H449" s="5">
        <v>16347</v>
      </c>
      <c r="I449" s="5">
        <v>0</v>
      </c>
      <c r="J449" s="6">
        <f t="shared" si="6"/>
        <v>16347</v>
      </c>
    </row>
    <row r="450" spans="1:10">
      <c r="A450" s="5">
        <v>234024</v>
      </c>
      <c r="B450" s="5" t="s">
        <v>16</v>
      </c>
      <c r="C450" s="5" t="s">
        <v>17</v>
      </c>
      <c r="D450" s="5" t="s">
        <v>21</v>
      </c>
      <c r="E450" s="5" t="s">
        <v>13</v>
      </c>
      <c r="F450" s="5" t="s">
        <v>28</v>
      </c>
      <c r="G450" s="5" t="s">
        <v>24</v>
      </c>
      <c r="H450" s="5">
        <v>52820</v>
      </c>
      <c r="I450" s="5">
        <v>1692</v>
      </c>
      <c r="J450" s="6">
        <f t="shared" ref="J450:J513" si="7">H450-I450</f>
        <v>51128</v>
      </c>
    </row>
    <row r="451" spans="1:10">
      <c r="A451" s="5">
        <v>94855</v>
      </c>
      <c r="B451" s="5" t="s">
        <v>10</v>
      </c>
      <c r="C451" s="5" t="s">
        <v>37</v>
      </c>
      <c r="D451" s="5" t="s">
        <v>12</v>
      </c>
      <c r="E451" s="5" t="s">
        <v>13</v>
      </c>
      <c r="F451" s="5" t="s">
        <v>28</v>
      </c>
      <c r="G451" s="5" t="s">
        <v>15</v>
      </c>
      <c r="H451" s="5">
        <v>196896</v>
      </c>
      <c r="I451" s="5">
        <v>2282</v>
      </c>
      <c r="J451" s="6">
        <f t="shared" si="7"/>
        <v>194614</v>
      </c>
    </row>
    <row r="452" spans="1:10">
      <c r="A452" s="5">
        <v>72779</v>
      </c>
      <c r="B452" s="5" t="s">
        <v>10</v>
      </c>
      <c r="C452" s="5" t="s">
        <v>27</v>
      </c>
      <c r="D452" s="5" t="s">
        <v>23</v>
      </c>
      <c r="E452" s="5" t="s">
        <v>13</v>
      </c>
      <c r="F452" s="5" t="s">
        <v>14</v>
      </c>
      <c r="G452" s="5" t="s">
        <v>15</v>
      </c>
      <c r="H452" s="5">
        <v>68475</v>
      </c>
      <c r="I452" s="5">
        <v>1263</v>
      </c>
      <c r="J452" s="6">
        <f t="shared" si="7"/>
        <v>67212</v>
      </c>
    </row>
    <row r="453" spans="1:10">
      <c r="A453" s="5">
        <v>223660</v>
      </c>
      <c r="B453" s="5" t="s">
        <v>16</v>
      </c>
      <c r="C453" s="5" t="s">
        <v>25</v>
      </c>
      <c r="D453" s="5" t="s">
        <v>18</v>
      </c>
      <c r="E453" s="5" t="s">
        <v>19</v>
      </c>
      <c r="F453" s="5" t="s">
        <v>14</v>
      </c>
      <c r="G453" s="5" t="s">
        <v>24</v>
      </c>
      <c r="H453" s="5">
        <v>22999</v>
      </c>
      <c r="I453" s="5">
        <v>105</v>
      </c>
      <c r="J453" s="6">
        <f t="shared" si="7"/>
        <v>22894</v>
      </c>
    </row>
    <row r="454" spans="1:10">
      <c r="A454" s="5">
        <v>127595</v>
      </c>
      <c r="B454" s="5" t="s">
        <v>10</v>
      </c>
      <c r="C454" s="5" t="s">
        <v>34</v>
      </c>
      <c r="D454" s="5" t="s">
        <v>30</v>
      </c>
      <c r="E454" s="5" t="s">
        <v>13</v>
      </c>
      <c r="F454" s="5" t="s">
        <v>28</v>
      </c>
      <c r="G454" s="5" t="s">
        <v>15</v>
      </c>
      <c r="H454" s="5">
        <v>112532</v>
      </c>
      <c r="I454" s="5">
        <v>2038</v>
      </c>
      <c r="J454" s="6">
        <f t="shared" si="7"/>
        <v>110494</v>
      </c>
    </row>
    <row r="455" spans="1:10">
      <c r="A455" s="5">
        <v>183779</v>
      </c>
      <c r="B455" s="5" t="s">
        <v>10</v>
      </c>
      <c r="C455" s="5" t="s">
        <v>37</v>
      </c>
      <c r="D455" s="5" t="s">
        <v>36</v>
      </c>
      <c r="E455" s="5" t="s">
        <v>19</v>
      </c>
      <c r="F455" s="5" t="s">
        <v>14</v>
      </c>
      <c r="G455" s="5" t="s">
        <v>24</v>
      </c>
      <c r="H455" s="5">
        <v>70096</v>
      </c>
      <c r="I455" s="5">
        <v>1626</v>
      </c>
      <c r="J455" s="6">
        <f t="shared" si="7"/>
        <v>68470</v>
      </c>
    </row>
    <row r="456" spans="1:10">
      <c r="A456" s="5">
        <v>236263</v>
      </c>
      <c r="B456" s="5" t="s">
        <v>10</v>
      </c>
      <c r="C456" s="5" t="s">
        <v>17</v>
      </c>
      <c r="D456" s="5" t="s">
        <v>36</v>
      </c>
      <c r="E456" s="5" t="s">
        <v>19</v>
      </c>
      <c r="F456" s="5" t="s">
        <v>28</v>
      </c>
      <c r="G456" s="5" t="s">
        <v>24</v>
      </c>
      <c r="H456" s="5">
        <v>51388</v>
      </c>
      <c r="I456" s="5">
        <v>0</v>
      </c>
      <c r="J456" s="6">
        <f t="shared" si="7"/>
        <v>51388</v>
      </c>
    </row>
    <row r="457" spans="1:10">
      <c r="A457" s="5">
        <v>218730</v>
      </c>
      <c r="B457" s="5" t="s">
        <v>10</v>
      </c>
      <c r="C457" s="5" t="s">
        <v>34</v>
      </c>
      <c r="D457" s="5" t="s">
        <v>33</v>
      </c>
      <c r="E457" s="5" t="s">
        <v>13</v>
      </c>
      <c r="F457" s="5" t="s">
        <v>14</v>
      </c>
      <c r="G457" s="5" t="s">
        <v>24</v>
      </c>
      <c r="H457" s="5">
        <v>80691</v>
      </c>
      <c r="I457" s="5">
        <v>1091</v>
      </c>
      <c r="J457" s="6">
        <f t="shared" si="7"/>
        <v>79600</v>
      </c>
    </row>
    <row r="458" spans="1:10">
      <c r="A458" s="5">
        <v>244216</v>
      </c>
      <c r="B458" s="5" t="s">
        <v>16</v>
      </c>
      <c r="C458" s="5" t="s">
        <v>35</v>
      </c>
      <c r="D458" s="5" t="s">
        <v>32</v>
      </c>
      <c r="E458" s="5" t="s">
        <v>13</v>
      </c>
      <c r="F458" s="5" t="s">
        <v>14</v>
      </c>
      <c r="G458" s="5" t="s">
        <v>24</v>
      </c>
      <c r="H458" s="5">
        <v>12875</v>
      </c>
      <c r="I458" s="5">
        <v>0</v>
      </c>
      <c r="J458" s="6">
        <f t="shared" si="7"/>
        <v>12875</v>
      </c>
    </row>
    <row r="459" spans="1:10">
      <c r="A459" s="5">
        <v>175921</v>
      </c>
      <c r="B459" s="5" t="s">
        <v>16</v>
      </c>
      <c r="C459" s="5" t="s">
        <v>25</v>
      </c>
      <c r="D459" s="5" t="s">
        <v>30</v>
      </c>
      <c r="E459" s="5" t="s">
        <v>13</v>
      </c>
      <c r="F459" s="5" t="s">
        <v>28</v>
      </c>
      <c r="G459" s="5" t="s">
        <v>15</v>
      </c>
      <c r="H459" s="5">
        <v>66797</v>
      </c>
      <c r="I459" s="5">
        <v>1379</v>
      </c>
      <c r="J459" s="6">
        <f t="shared" si="7"/>
        <v>65418</v>
      </c>
    </row>
    <row r="460" spans="1:10">
      <c r="A460" s="5">
        <v>169547</v>
      </c>
      <c r="B460" s="5" t="s">
        <v>10</v>
      </c>
      <c r="C460" s="5" t="s">
        <v>35</v>
      </c>
      <c r="D460" s="5" t="s">
        <v>29</v>
      </c>
      <c r="E460" s="5" t="s">
        <v>13</v>
      </c>
      <c r="F460" s="5" t="s">
        <v>28</v>
      </c>
      <c r="G460" s="5" t="s">
        <v>15</v>
      </c>
      <c r="H460" s="5">
        <v>60159</v>
      </c>
      <c r="I460" s="5">
        <v>0</v>
      </c>
      <c r="J460" s="6">
        <f t="shared" si="7"/>
        <v>60159</v>
      </c>
    </row>
    <row r="461" spans="1:10">
      <c r="A461" s="5">
        <v>149381</v>
      </c>
      <c r="B461" s="5" t="s">
        <v>10</v>
      </c>
      <c r="C461" s="5" t="s">
        <v>25</v>
      </c>
      <c r="D461" s="5" t="s">
        <v>18</v>
      </c>
      <c r="E461" s="5" t="s">
        <v>19</v>
      </c>
      <c r="F461" s="5" t="s">
        <v>14</v>
      </c>
      <c r="G461" s="5" t="s">
        <v>24</v>
      </c>
      <c r="H461" s="5">
        <v>2731</v>
      </c>
      <c r="I461" s="5">
        <v>0</v>
      </c>
      <c r="J461" s="6">
        <f t="shared" si="7"/>
        <v>2731</v>
      </c>
    </row>
    <row r="462" spans="1:10">
      <c r="A462" s="5">
        <v>87906</v>
      </c>
      <c r="B462" s="5" t="s">
        <v>16</v>
      </c>
      <c r="C462" s="5" t="s">
        <v>39</v>
      </c>
      <c r="D462" s="5" t="s">
        <v>36</v>
      </c>
      <c r="E462" s="5" t="s">
        <v>19</v>
      </c>
      <c r="F462" s="5" t="s">
        <v>14</v>
      </c>
      <c r="G462" s="5" t="s">
        <v>15</v>
      </c>
      <c r="H462" s="5">
        <v>60031</v>
      </c>
      <c r="I462" s="5">
        <v>3018</v>
      </c>
      <c r="J462" s="6">
        <f t="shared" si="7"/>
        <v>57013</v>
      </c>
    </row>
    <row r="463" spans="1:10">
      <c r="A463" s="5">
        <v>78327</v>
      </c>
      <c r="B463" s="5" t="s">
        <v>16</v>
      </c>
      <c r="C463" s="5" t="s">
        <v>27</v>
      </c>
      <c r="D463" s="5" t="s">
        <v>36</v>
      </c>
      <c r="E463" s="5" t="s">
        <v>19</v>
      </c>
      <c r="F463" s="5" t="s">
        <v>14</v>
      </c>
      <c r="G463" s="5" t="s">
        <v>24</v>
      </c>
      <c r="H463" s="5">
        <v>39657</v>
      </c>
      <c r="I463" s="5">
        <v>864</v>
      </c>
      <c r="J463" s="6">
        <f t="shared" si="7"/>
        <v>38793</v>
      </c>
    </row>
    <row r="464" spans="1:10">
      <c r="A464" s="5">
        <v>31266</v>
      </c>
      <c r="B464" s="5" t="s">
        <v>10</v>
      </c>
      <c r="C464" s="5" t="s">
        <v>11</v>
      </c>
      <c r="D464" s="5" t="s">
        <v>30</v>
      </c>
      <c r="E464" s="5" t="s">
        <v>19</v>
      </c>
      <c r="F464" s="5" t="s">
        <v>28</v>
      </c>
      <c r="G464" s="5" t="s">
        <v>15</v>
      </c>
      <c r="H464" s="5">
        <v>45622</v>
      </c>
      <c r="I464" s="5">
        <v>19379</v>
      </c>
      <c r="J464" s="6">
        <f t="shared" si="7"/>
        <v>26243</v>
      </c>
    </row>
    <row r="465" spans="1:10">
      <c r="A465" s="5">
        <v>26718</v>
      </c>
      <c r="B465" s="5" t="s">
        <v>16</v>
      </c>
      <c r="C465" s="5" t="s">
        <v>34</v>
      </c>
      <c r="D465" s="5" t="s">
        <v>30</v>
      </c>
      <c r="E465" s="5" t="s">
        <v>13</v>
      </c>
      <c r="F465" s="5" t="s">
        <v>14</v>
      </c>
      <c r="G465" s="5" t="s">
        <v>24</v>
      </c>
      <c r="H465" s="5">
        <v>76989</v>
      </c>
      <c r="I465" s="5">
        <v>1290</v>
      </c>
      <c r="J465" s="6">
        <f t="shared" si="7"/>
        <v>75699</v>
      </c>
    </row>
    <row r="466" spans="1:10">
      <c r="A466" s="5">
        <v>185729</v>
      </c>
      <c r="B466" s="5" t="s">
        <v>16</v>
      </c>
      <c r="C466" s="5" t="s">
        <v>39</v>
      </c>
      <c r="D466" s="5" t="s">
        <v>32</v>
      </c>
      <c r="E466" s="5" t="s">
        <v>19</v>
      </c>
      <c r="F466" s="5" t="s">
        <v>28</v>
      </c>
      <c r="G466" s="5" t="s">
        <v>24</v>
      </c>
      <c r="H466" s="5">
        <v>3687</v>
      </c>
      <c r="I466" s="5">
        <v>0</v>
      </c>
      <c r="J466" s="6">
        <f t="shared" si="7"/>
        <v>3687</v>
      </c>
    </row>
    <row r="467" spans="1:10">
      <c r="A467" s="5">
        <v>77260</v>
      </c>
      <c r="B467" s="5" t="s">
        <v>16</v>
      </c>
      <c r="C467" s="5" t="s">
        <v>34</v>
      </c>
      <c r="D467" s="5" t="s">
        <v>36</v>
      </c>
      <c r="E467" s="5" t="s">
        <v>19</v>
      </c>
      <c r="F467" s="5" t="s">
        <v>28</v>
      </c>
      <c r="G467" s="5" t="s">
        <v>24</v>
      </c>
      <c r="H467" s="5">
        <v>43819</v>
      </c>
      <c r="I467" s="5">
        <v>472</v>
      </c>
      <c r="J467" s="6">
        <f t="shared" si="7"/>
        <v>43347</v>
      </c>
    </row>
    <row r="468" spans="1:10">
      <c r="A468" s="5">
        <v>73894</v>
      </c>
      <c r="B468" s="5" t="s">
        <v>10</v>
      </c>
      <c r="C468" s="5" t="s">
        <v>27</v>
      </c>
      <c r="D468" s="5" t="s">
        <v>36</v>
      </c>
      <c r="E468" s="5" t="s">
        <v>19</v>
      </c>
      <c r="F468" s="5" t="s">
        <v>14</v>
      </c>
      <c r="G468" s="5" t="s">
        <v>24</v>
      </c>
      <c r="H468" s="5">
        <v>77295</v>
      </c>
      <c r="I468" s="5">
        <v>2441</v>
      </c>
      <c r="J468" s="6">
        <f t="shared" si="7"/>
        <v>74854</v>
      </c>
    </row>
    <row r="469" spans="1:10">
      <c r="A469" s="5">
        <v>249048</v>
      </c>
      <c r="B469" s="5" t="s">
        <v>10</v>
      </c>
      <c r="C469" s="5" t="s">
        <v>17</v>
      </c>
      <c r="D469" s="5" t="s">
        <v>26</v>
      </c>
      <c r="E469" s="5" t="s">
        <v>19</v>
      </c>
      <c r="F469" s="5" t="s">
        <v>28</v>
      </c>
      <c r="G469" s="5" t="s">
        <v>15</v>
      </c>
      <c r="H469" s="5">
        <v>57962</v>
      </c>
      <c r="I469" s="5">
        <v>4307</v>
      </c>
      <c r="J469" s="6">
        <f t="shared" si="7"/>
        <v>53655</v>
      </c>
    </row>
    <row r="470" spans="1:10">
      <c r="A470" s="5">
        <v>37325</v>
      </c>
      <c r="B470" s="5" t="s">
        <v>10</v>
      </c>
      <c r="C470" s="5" t="s">
        <v>35</v>
      </c>
      <c r="D470" s="5" t="s">
        <v>23</v>
      </c>
      <c r="E470" s="5" t="s">
        <v>13</v>
      </c>
      <c r="F470" s="5" t="s">
        <v>14</v>
      </c>
      <c r="G470" s="5" t="s">
        <v>15</v>
      </c>
      <c r="H470" s="5">
        <v>81639</v>
      </c>
      <c r="I470" s="5">
        <v>3385</v>
      </c>
      <c r="J470" s="6">
        <f t="shared" si="7"/>
        <v>78254</v>
      </c>
    </row>
    <row r="471" spans="1:10">
      <c r="A471" s="5">
        <v>187821</v>
      </c>
      <c r="B471" s="5" t="s">
        <v>10</v>
      </c>
      <c r="C471" s="5" t="s">
        <v>20</v>
      </c>
      <c r="D471" s="5" t="s">
        <v>32</v>
      </c>
      <c r="E471" s="5" t="s">
        <v>13</v>
      </c>
      <c r="F471" s="5" t="s">
        <v>14</v>
      </c>
      <c r="G471" s="5" t="s">
        <v>15</v>
      </c>
      <c r="H471" s="5">
        <v>8764</v>
      </c>
      <c r="I471" s="5">
        <v>0</v>
      </c>
      <c r="J471" s="6">
        <f t="shared" si="7"/>
        <v>8764</v>
      </c>
    </row>
    <row r="472" spans="1:10">
      <c r="A472" s="5">
        <v>15987</v>
      </c>
      <c r="B472" s="5" t="s">
        <v>10</v>
      </c>
      <c r="C472" s="5" t="s">
        <v>11</v>
      </c>
      <c r="D472" s="5" t="s">
        <v>36</v>
      </c>
      <c r="E472" s="5" t="s">
        <v>13</v>
      </c>
      <c r="F472" s="5" t="s">
        <v>14</v>
      </c>
      <c r="G472" s="5" t="s">
        <v>15</v>
      </c>
      <c r="H472" s="5">
        <v>144106</v>
      </c>
      <c r="I472" s="5">
        <v>7641</v>
      </c>
      <c r="J472" s="6">
        <f t="shared" si="7"/>
        <v>136465</v>
      </c>
    </row>
    <row r="473" spans="1:10">
      <c r="A473" s="5">
        <v>6290</v>
      </c>
      <c r="B473" s="5" t="s">
        <v>10</v>
      </c>
      <c r="C473" s="5" t="s">
        <v>38</v>
      </c>
      <c r="D473" s="5" t="s">
        <v>32</v>
      </c>
      <c r="E473" s="5" t="s">
        <v>19</v>
      </c>
      <c r="F473" s="5" t="s">
        <v>14</v>
      </c>
      <c r="G473" s="5" t="s">
        <v>15</v>
      </c>
      <c r="H473" s="5">
        <v>21902</v>
      </c>
      <c r="I473" s="5">
        <v>0</v>
      </c>
      <c r="J473" s="6">
        <f t="shared" si="7"/>
        <v>21902</v>
      </c>
    </row>
    <row r="474" spans="1:10">
      <c r="A474" s="5">
        <v>75024</v>
      </c>
      <c r="B474" s="5" t="s">
        <v>16</v>
      </c>
      <c r="C474" s="5" t="s">
        <v>27</v>
      </c>
      <c r="D474" s="5" t="s">
        <v>36</v>
      </c>
      <c r="E474" s="5" t="s">
        <v>19</v>
      </c>
      <c r="F474" s="5" t="s">
        <v>14</v>
      </c>
      <c r="G474" s="5" t="s">
        <v>24</v>
      </c>
      <c r="H474" s="5">
        <v>38707</v>
      </c>
      <c r="I474" s="5">
        <v>1531</v>
      </c>
      <c r="J474" s="6">
        <f t="shared" si="7"/>
        <v>37176</v>
      </c>
    </row>
    <row r="475" spans="1:10">
      <c r="A475" s="5">
        <v>40281</v>
      </c>
      <c r="B475" s="5" t="s">
        <v>10</v>
      </c>
      <c r="C475" s="5" t="s">
        <v>35</v>
      </c>
      <c r="D475" s="5" t="s">
        <v>12</v>
      </c>
      <c r="E475" s="5" t="s">
        <v>13</v>
      </c>
      <c r="F475" s="5" t="s">
        <v>14</v>
      </c>
      <c r="G475" s="5" t="s">
        <v>24</v>
      </c>
      <c r="H475" s="5">
        <v>67891</v>
      </c>
      <c r="I475" s="5">
        <v>2932</v>
      </c>
      <c r="J475" s="6">
        <f t="shared" si="7"/>
        <v>64959</v>
      </c>
    </row>
    <row r="476" spans="1:10">
      <c r="A476" s="5">
        <v>220032</v>
      </c>
      <c r="B476" s="5" t="s">
        <v>16</v>
      </c>
      <c r="C476" s="5" t="s">
        <v>22</v>
      </c>
      <c r="D476" s="5" t="s">
        <v>30</v>
      </c>
      <c r="E476" s="5" t="s">
        <v>19</v>
      </c>
      <c r="F476" s="5" t="s">
        <v>28</v>
      </c>
      <c r="G476" s="5" t="s">
        <v>15</v>
      </c>
      <c r="H476" s="5">
        <v>144994</v>
      </c>
      <c r="I476" s="5">
        <v>5530</v>
      </c>
      <c r="J476" s="6">
        <f t="shared" si="7"/>
        <v>139464</v>
      </c>
    </row>
    <row r="477" spans="1:10">
      <c r="A477" s="5">
        <v>46724</v>
      </c>
      <c r="B477" s="5" t="s">
        <v>16</v>
      </c>
      <c r="C477" s="5" t="s">
        <v>35</v>
      </c>
      <c r="D477" s="5" t="s">
        <v>36</v>
      </c>
      <c r="E477" s="5" t="s">
        <v>13</v>
      </c>
      <c r="F477" s="5" t="s">
        <v>14</v>
      </c>
      <c r="G477" s="5" t="s">
        <v>24</v>
      </c>
      <c r="H477" s="5">
        <v>39871</v>
      </c>
      <c r="I477" s="5">
        <v>8274</v>
      </c>
      <c r="J477" s="6">
        <f t="shared" si="7"/>
        <v>31597</v>
      </c>
    </row>
    <row r="478" spans="1:10">
      <c r="A478" s="5">
        <v>139387</v>
      </c>
      <c r="B478" s="5" t="s">
        <v>10</v>
      </c>
      <c r="C478" s="5" t="s">
        <v>25</v>
      </c>
      <c r="D478" s="5" t="s">
        <v>23</v>
      </c>
      <c r="E478" s="5" t="s">
        <v>19</v>
      </c>
      <c r="F478" s="5" t="s">
        <v>28</v>
      </c>
      <c r="G478" s="5" t="s">
        <v>15</v>
      </c>
      <c r="H478" s="5">
        <v>97853</v>
      </c>
      <c r="I478" s="5">
        <v>576</v>
      </c>
      <c r="J478" s="6">
        <f t="shared" si="7"/>
        <v>97277</v>
      </c>
    </row>
    <row r="479" spans="1:10">
      <c r="A479" s="5">
        <v>99351</v>
      </c>
      <c r="B479" s="5" t="s">
        <v>10</v>
      </c>
      <c r="C479" s="5" t="s">
        <v>34</v>
      </c>
      <c r="D479" s="5" t="s">
        <v>29</v>
      </c>
      <c r="E479" s="5" t="s">
        <v>13</v>
      </c>
      <c r="F479" s="5" t="s">
        <v>14</v>
      </c>
      <c r="G479" s="5" t="s">
        <v>24</v>
      </c>
      <c r="H479" s="5">
        <v>60979</v>
      </c>
      <c r="I479" s="5">
        <v>1805</v>
      </c>
      <c r="J479" s="6">
        <f t="shared" si="7"/>
        <v>59174</v>
      </c>
    </row>
    <row r="480" spans="1:10">
      <c r="A480" s="5">
        <v>79595</v>
      </c>
      <c r="B480" s="5" t="s">
        <v>10</v>
      </c>
      <c r="C480" s="5" t="s">
        <v>39</v>
      </c>
      <c r="D480" s="5" t="s">
        <v>26</v>
      </c>
      <c r="E480" s="5" t="s">
        <v>13</v>
      </c>
      <c r="F480" s="5" t="s">
        <v>14</v>
      </c>
      <c r="G480" s="5" t="s">
        <v>15</v>
      </c>
      <c r="H480" s="5">
        <v>87680</v>
      </c>
      <c r="I480" s="5">
        <v>750</v>
      </c>
      <c r="J480" s="6">
        <f t="shared" si="7"/>
        <v>86930</v>
      </c>
    </row>
    <row r="481" spans="1:10">
      <c r="A481" s="5">
        <v>206957</v>
      </c>
      <c r="B481" s="5" t="s">
        <v>10</v>
      </c>
      <c r="C481" s="5" t="s">
        <v>38</v>
      </c>
      <c r="D481" s="5" t="s">
        <v>12</v>
      </c>
      <c r="E481" s="5" t="s">
        <v>13</v>
      </c>
      <c r="F481" s="5" t="s">
        <v>14</v>
      </c>
      <c r="G481" s="5" t="s">
        <v>15</v>
      </c>
      <c r="H481" s="5">
        <v>92333</v>
      </c>
      <c r="I481" s="5">
        <v>6486</v>
      </c>
      <c r="J481" s="6">
        <f t="shared" si="7"/>
        <v>85847</v>
      </c>
    </row>
    <row r="482" spans="1:10">
      <c r="A482" s="5">
        <v>29576</v>
      </c>
      <c r="B482" s="5" t="s">
        <v>10</v>
      </c>
      <c r="C482" s="5" t="s">
        <v>35</v>
      </c>
      <c r="D482" s="5" t="s">
        <v>23</v>
      </c>
      <c r="E482" s="5" t="s">
        <v>13</v>
      </c>
      <c r="F482" s="5" t="s">
        <v>28</v>
      </c>
      <c r="G482" s="5" t="s">
        <v>24</v>
      </c>
      <c r="H482" s="5">
        <v>72324</v>
      </c>
      <c r="I482" s="5">
        <v>5444</v>
      </c>
      <c r="J482" s="6">
        <f t="shared" si="7"/>
        <v>66880</v>
      </c>
    </row>
    <row r="483" spans="1:10">
      <c r="A483" s="5">
        <v>114135</v>
      </c>
      <c r="B483" s="5" t="s">
        <v>10</v>
      </c>
      <c r="C483" s="5" t="s">
        <v>22</v>
      </c>
      <c r="D483" s="5" t="s">
        <v>26</v>
      </c>
      <c r="E483" s="5" t="s">
        <v>19</v>
      </c>
      <c r="F483" s="5" t="s">
        <v>28</v>
      </c>
      <c r="G483" s="5" t="s">
        <v>24</v>
      </c>
      <c r="H483" s="5">
        <v>34884</v>
      </c>
      <c r="I483" s="5">
        <v>999</v>
      </c>
      <c r="J483" s="6">
        <f t="shared" si="7"/>
        <v>33885</v>
      </c>
    </row>
    <row r="484" spans="1:10">
      <c r="A484" s="5">
        <v>223583</v>
      </c>
      <c r="B484" s="5" t="s">
        <v>10</v>
      </c>
      <c r="C484" s="5" t="s">
        <v>25</v>
      </c>
      <c r="D484" s="5" t="s">
        <v>30</v>
      </c>
      <c r="E484" s="5" t="s">
        <v>19</v>
      </c>
      <c r="F484" s="5" t="s">
        <v>14</v>
      </c>
      <c r="G484" s="5" t="s">
        <v>15</v>
      </c>
      <c r="H484" s="5">
        <v>78906</v>
      </c>
      <c r="I484" s="5">
        <v>244</v>
      </c>
      <c r="J484" s="6">
        <f t="shared" si="7"/>
        <v>78662</v>
      </c>
    </row>
    <row r="485" spans="1:10">
      <c r="A485" s="5">
        <v>90156</v>
      </c>
      <c r="B485" s="5" t="s">
        <v>16</v>
      </c>
      <c r="C485" s="5" t="s">
        <v>38</v>
      </c>
      <c r="D485" s="5" t="s">
        <v>32</v>
      </c>
      <c r="E485" s="5" t="s">
        <v>13</v>
      </c>
      <c r="F485" s="5" t="s">
        <v>28</v>
      </c>
      <c r="G485" s="5" t="s">
        <v>24</v>
      </c>
      <c r="H485" s="5">
        <v>8035</v>
      </c>
      <c r="I485" s="5">
        <v>0</v>
      </c>
      <c r="J485" s="6">
        <f t="shared" si="7"/>
        <v>8035</v>
      </c>
    </row>
    <row r="486" spans="1:10">
      <c r="A486" s="5">
        <v>24234</v>
      </c>
      <c r="B486" s="5" t="s">
        <v>16</v>
      </c>
      <c r="C486" s="5" t="s">
        <v>11</v>
      </c>
      <c r="D486" s="5" t="s">
        <v>30</v>
      </c>
      <c r="E486" s="5" t="s">
        <v>13</v>
      </c>
      <c r="F486" s="5" t="s">
        <v>14</v>
      </c>
      <c r="G486" s="5" t="s">
        <v>15</v>
      </c>
      <c r="H486" s="5">
        <v>34772</v>
      </c>
      <c r="I486" s="5">
        <v>3448</v>
      </c>
      <c r="J486" s="6">
        <f t="shared" si="7"/>
        <v>31324</v>
      </c>
    </row>
    <row r="487" spans="1:10">
      <c r="A487" s="5">
        <v>5389</v>
      </c>
      <c r="B487" s="5" t="s">
        <v>16</v>
      </c>
      <c r="C487" s="5" t="s">
        <v>37</v>
      </c>
      <c r="D487" s="5" t="s">
        <v>26</v>
      </c>
      <c r="E487" s="5" t="s">
        <v>13</v>
      </c>
      <c r="F487" s="5" t="s">
        <v>14</v>
      </c>
      <c r="G487" s="5" t="s">
        <v>24</v>
      </c>
      <c r="H487" s="5">
        <v>51584</v>
      </c>
      <c r="I487" s="5">
        <v>1079</v>
      </c>
      <c r="J487" s="6">
        <f t="shared" si="7"/>
        <v>50505</v>
      </c>
    </row>
    <row r="488" spans="1:10">
      <c r="A488" s="5">
        <v>86248</v>
      </c>
      <c r="B488" s="5" t="s">
        <v>10</v>
      </c>
      <c r="C488" s="5" t="s">
        <v>39</v>
      </c>
      <c r="D488" s="5" t="s">
        <v>12</v>
      </c>
      <c r="E488" s="5" t="s">
        <v>13</v>
      </c>
      <c r="F488" s="5" t="s">
        <v>14</v>
      </c>
      <c r="G488" s="5" t="s">
        <v>24</v>
      </c>
      <c r="H488" s="5">
        <v>43261</v>
      </c>
      <c r="I488" s="5">
        <v>0</v>
      </c>
      <c r="J488" s="6">
        <f t="shared" si="7"/>
        <v>43261</v>
      </c>
    </row>
    <row r="489" spans="1:10">
      <c r="A489" s="5">
        <v>102378</v>
      </c>
      <c r="B489" s="5" t="s">
        <v>16</v>
      </c>
      <c r="C489" s="5" t="s">
        <v>34</v>
      </c>
      <c r="D489" s="5" t="s">
        <v>30</v>
      </c>
      <c r="E489" s="5" t="s">
        <v>13</v>
      </c>
      <c r="F489" s="5" t="s">
        <v>28</v>
      </c>
      <c r="G489" s="5" t="s">
        <v>15</v>
      </c>
      <c r="H489" s="5">
        <v>65772</v>
      </c>
      <c r="I489" s="5">
        <v>856</v>
      </c>
      <c r="J489" s="6">
        <f t="shared" si="7"/>
        <v>64916</v>
      </c>
    </row>
    <row r="490" spans="1:10">
      <c r="A490" s="5">
        <v>117780</v>
      </c>
      <c r="B490" s="5" t="s">
        <v>10</v>
      </c>
      <c r="C490" s="5" t="s">
        <v>27</v>
      </c>
      <c r="D490" s="5" t="s">
        <v>30</v>
      </c>
      <c r="E490" s="5" t="s">
        <v>13</v>
      </c>
      <c r="F490" s="5" t="s">
        <v>14</v>
      </c>
      <c r="G490" s="5" t="s">
        <v>15</v>
      </c>
      <c r="H490" s="5">
        <v>133661</v>
      </c>
      <c r="I490" s="5">
        <v>6493</v>
      </c>
      <c r="J490" s="6">
        <f t="shared" si="7"/>
        <v>127168</v>
      </c>
    </row>
    <row r="491" spans="1:10">
      <c r="A491" s="5">
        <v>26057</v>
      </c>
      <c r="B491" s="5" t="s">
        <v>16</v>
      </c>
      <c r="C491" s="5" t="s">
        <v>11</v>
      </c>
      <c r="D491" s="5" t="s">
        <v>30</v>
      </c>
      <c r="E491" s="5" t="s">
        <v>19</v>
      </c>
      <c r="F491" s="5" t="s">
        <v>14</v>
      </c>
      <c r="G491" s="5" t="s">
        <v>15</v>
      </c>
      <c r="H491" s="5">
        <v>77401</v>
      </c>
      <c r="I491" s="5">
        <v>1806</v>
      </c>
      <c r="J491" s="6">
        <f t="shared" si="7"/>
        <v>75595</v>
      </c>
    </row>
    <row r="492" spans="1:10">
      <c r="A492" s="5">
        <v>106196</v>
      </c>
      <c r="B492" s="5" t="s">
        <v>16</v>
      </c>
      <c r="C492" s="5" t="s">
        <v>17</v>
      </c>
      <c r="D492" s="5" t="s">
        <v>23</v>
      </c>
      <c r="E492" s="5" t="s">
        <v>19</v>
      </c>
      <c r="F492" s="5" t="s">
        <v>28</v>
      </c>
      <c r="G492" s="5" t="s">
        <v>15</v>
      </c>
      <c r="H492" s="5">
        <v>12723</v>
      </c>
      <c r="I492" s="5">
        <v>132</v>
      </c>
      <c r="J492" s="6">
        <f t="shared" si="7"/>
        <v>12591</v>
      </c>
    </row>
    <row r="493" spans="1:10">
      <c r="A493" s="5">
        <v>7825</v>
      </c>
      <c r="B493" s="5" t="s">
        <v>16</v>
      </c>
      <c r="C493" s="5" t="s">
        <v>37</v>
      </c>
      <c r="D493" s="5" t="s">
        <v>12</v>
      </c>
      <c r="E493" s="5" t="s">
        <v>13</v>
      </c>
      <c r="F493" s="5" t="s">
        <v>14</v>
      </c>
      <c r="G493" s="5" t="s">
        <v>24</v>
      </c>
      <c r="H493" s="5">
        <v>29394</v>
      </c>
      <c r="I493" s="5">
        <v>1053</v>
      </c>
      <c r="J493" s="6">
        <f t="shared" si="7"/>
        <v>28341</v>
      </c>
    </row>
    <row r="494" spans="1:10">
      <c r="A494" s="5">
        <v>155591</v>
      </c>
      <c r="B494" s="5" t="s">
        <v>16</v>
      </c>
      <c r="C494" s="5" t="s">
        <v>31</v>
      </c>
      <c r="D494" s="5" t="s">
        <v>36</v>
      </c>
      <c r="E494" s="5" t="s">
        <v>19</v>
      </c>
      <c r="F494" s="5" t="s">
        <v>28</v>
      </c>
      <c r="G494" s="5" t="s">
        <v>15</v>
      </c>
      <c r="H494" s="5">
        <v>39927</v>
      </c>
      <c r="I494" s="5">
        <v>0</v>
      </c>
      <c r="J494" s="6">
        <f t="shared" si="7"/>
        <v>39927</v>
      </c>
    </row>
    <row r="495" spans="1:10">
      <c r="A495" s="5">
        <v>39078</v>
      </c>
      <c r="B495" s="5" t="s">
        <v>10</v>
      </c>
      <c r="C495" s="5" t="s">
        <v>35</v>
      </c>
      <c r="D495" s="5" t="s">
        <v>23</v>
      </c>
      <c r="E495" s="5" t="s">
        <v>13</v>
      </c>
      <c r="F495" s="5" t="s">
        <v>28</v>
      </c>
      <c r="G495" s="5" t="s">
        <v>15</v>
      </c>
      <c r="H495" s="5">
        <v>130740</v>
      </c>
      <c r="I495" s="5">
        <v>893</v>
      </c>
      <c r="J495" s="6">
        <f t="shared" si="7"/>
        <v>129847</v>
      </c>
    </row>
    <row r="496" spans="1:10">
      <c r="A496" s="5">
        <v>205166</v>
      </c>
      <c r="B496" s="5" t="s">
        <v>16</v>
      </c>
      <c r="C496" s="5" t="s">
        <v>34</v>
      </c>
      <c r="D496" s="5" t="s">
        <v>21</v>
      </c>
      <c r="E496" s="5" t="s">
        <v>13</v>
      </c>
      <c r="F496" s="5" t="s">
        <v>28</v>
      </c>
      <c r="G496" s="5" t="s">
        <v>24</v>
      </c>
      <c r="H496" s="5">
        <v>46461</v>
      </c>
      <c r="I496" s="5">
        <v>274</v>
      </c>
      <c r="J496" s="6">
        <f t="shared" si="7"/>
        <v>46187</v>
      </c>
    </row>
    <row r="497" spans="1:10">
      <c r="A497" s="5">
        <v>212188</v>
      </c>
      <c r="B497" s="5" t="s">
        <v>16</v>
      </c>
      <c r="C497" s="5" t="s">
        <v>37</v>
      </c>
      <c r="D497" s="5" t="s">
        <v>33</v>
      </c>
      <c r="E497" s="5" t="s">
        <v>19</v>
      </c>
      <c r="F497" s="5" t="s">
        <v>14</v>
      </c>
      <c r="G497" s="5" t="s">
        <v>24</v>
      </c>
      <c r="H497" s="5">
        <v>67632</v>
      </c>
      <c r="I497" s="5">
        <v>281</v>
      </c>
      <c r="J497" s="6">
        <f t="shared" si="7"/>
        <v>67351</v>
      </c>
    </row>
    <row r="498" spans="1:10">
      <c r="A498" s="5">
        <v>22419</v>
      </c>
      <c r="B498" s="5" t="s">
        <v>10</v>
      </c>
      <c r="C498" s="5" t="s">
        <v>11</v>
      </c>
      <c r="D498" s="5" t="s">
        <v>32</v>
      </c>
      <c r="E498" s="5" t="s">
        <v>13</v>
      </c>
      <c r="F498" s="5" t="s">
        <v>14</v>
      </c>
      <c r="G498" s="5" t="s">
        <v>15</v>
      </c>
      <c r="H498" s="5">
        <v>110728</v>
      </c>
      <c r="I498" s="5">
        <v>0</v>
      </c>
      <c r="J498" s="6">
        <f t="shared" si="7"/>
        <v>110728</v>
      </c>
    </row>
    <row r="499" spans="1:10">
      <c r="A499" s="5">
        <v>82244</v>
      </c>
      <c r="B499" s="5" t="s">
        <v>10</v>
      </c>
      <c r="C499" s="5" t="s">
        <v>37</v>
      </c>
      <c r="D499" s="5" t="s">
        <v>32</v>
      </c>
      <c r="E499" s="5" t="s">
        <v>19</v>
      </c>
      <c r="F499" s="5" t="s">
        <v>14</v>
      </c>
      <c r="G499" s="5" t="s">
        <v>24</v>
      </c>
      <c r="H499" s="5">
        <v>2364</v>
      </c>
      <c r="I499" s="5">
        <v>201</v>
      </c>
      <c r="J499" s="6">
        <f t="shared" si="7"/>
        <v>2163</v>
      </c>
    </row>
    <row r="500" spans="1:10">
      <c r="A500" s="5">
        <v>75618</v>
      </c>
      <c r="B500" s="5" t="s">
        <v>16</v>
      </c>
      <c r="C500" s="5" t="s">
        <v>27</v>
      </c>
      <c r="D500" s="5" t="s">
        <v>12</v>
      </c>
      <c r="E500" s="5" t="s">
        <v>13</v>
      </c>
      <c r="F500" s="5" t="s">
        <v>14</v>
      </c>
      <c r="G500" s="5" t="s">
        <v>15</v>
      </c>
      <c r="H500" s="5">
        <v>75547</v>
      </c>
      <c r="I500" s="5">
        <v>630</v>
      </c>
      <c r="J500" s="6">
        <f t="shared" si="7"/>
        <v>74917</v>
      </c>
    </row>
    <row r="501" spans="1:10">
      <c r="A501" s="5">
        <v>217563</v>
      </c>
      <c r="B501" s="5" t="s">
        <v>10</v>
      </c>
      <c r="C501" s="5" t="s">
        <v>38</v>
      </c>
      <c r="D501" s="5" t="s">
        <v>33</v>
      </c>
      <c r="E501" s="5" t="s">
        <v>13</v>
      </c>
      <c r="F501" s="5" t="s">
        <v>14</v>
      </c>
      <c r="G501" s="5" t="s">
        <v>15</v>
      </c>
      <c r="H501" s="5">
        <v>45100</v>
      </c>
      <c r="I501" s="5">
        <v>273</v>
      </c>
      <c r="J501" s="6">
        <f t="shared" si="7"/>
        <v>44827</v>
      </c>
    </row>
    <row r="502" spans="1:10">
      <c r="A502" s="5">
        <v>227714</v>
      </c>
      <c r="B502" s="5" t="s">
        <v>16</v>
      </c>
      <c r="C502" s="5" t="s">
        <v>17</v>
      </c>
      <c r="D502" s="5" t="s">
        <v>12</v>
      </c>
      <c r="E502" s="5" t="s">
        <v>19</v>
      </c>
      <c r="F502" s="5" t="s">
        <v>14</v>
      </c>
      <c r="G502" s="5" t="s">
        <v>15</v>
      </c>
      <c r="H502" s="5">
        <v>51449</v>
      </c>
      <c r="I502" s="5">
        <v>5316</v>
      </c>
      <c r="J502" s="6">
        <f t="shared" si="7"/>
        <v>46133</v>
      </c>
    </row>
    <row r="503" spans="1:10">
      <c r="A503" s="5">
        <v>40627</v>
      </c>
      <c r="B503" s="5" t="s">
        <v>10</v>
      </c>
      <c r="C503" s="5" t="s">
        <v>35</v>
      </c>
      <c r="D503" s="5" t="s">
        <v>29</v>
      </c>
      <c r="E503" s="5" t="s">
        <v>13</v>
      </c>
      <c r="F503" s="5" t="s">
        <v>14</v>
      </c>
      <c r="G503" s="5" t="s">
        <v>15</v>
      </c>
      <c r="H503" s="5">
        <v>111011</v>
      </c>
      <c r="I503" s="5">
        <v>160</v>
      </c>
      <c r="J503" s="6">
        <f t="shared" si="7"/>
        <v>110851</v>
      </c>
    </row>
    <row r="504" spans="1:10">
      <c r="A504" s="5">
        <v>198644</v>
      </c>
      <c r="B504" s="5" t="s">
        <v>10</v>
      </c>
      <c r="C504" s="5" t="s">
        <v>38</v>
      </c>
      <c r="D504" s="5" t="s">
        <v>29</v>
      </c>
      <c r="E504" s="5" t="s">
        <v>19</v>
      </c>
      <c r="F504" s="5" t="s">
        <v>14</v>
      </c>
      <c r="G504" s="5" t="s">
        <v>24</v>
      </c>
      <c r="H504" s="5">
        <v>99465</v>
      </c>
      <c r="I504" s="5">
        <v>15802</v>
      </c>
      <c r="J504" s="6">
        <f t="shared" si="7"/>
        <v>83663</v>
      </c>
    </row>
    <row r="505" spans="1:10">
      <c r="A505" s="5">
        <v>194736</v>
      </c>
      <c r="B505" s="5" t="s">
        <v>16</v>
      </c>
      <c r="C505" s="5" t="s">
        <v>37</v>
      </c>
      <c r="D505" s="5" t="s">
        <v>12</v>
      </c>
      <c r="E505" s="5" t="s">
        <v>19</v>
      </c>
      <c r="F505" s="5" t="s">
        <v>14</v>
      </c>
      <c r="G505" s="5" t="s">
        <v>15</v>
      </c>
      <c r="H505" s="5">
        <v>43529</v>
      </c>
      <c r="I505" s="5">
        <v>1919</v>
      </c>
      <c r="J505" s="6">
        <f t="shared" si="7"/>
        <v>41610</v>
      </c>
    </row>
    <row r="506" spans="1:10">
      <c r="A506" s="5">
        <v>93695</v>
      </c>
      <c r="B506" s="5" t="s">
        <v>10</v>
      </c>
      <c r="C506" s="5" t="s">
        <v>20</v>
      </c>
      <c r="D506" s="5" t="s">
        <v>32</v>
      </c>
      <c r="E506" s="5" t="s">
        <v>13</v>
      </c>
      <c r="F506" s="5" t="s">
        <v>14</v>
      </c>
      <c r="G506" s="5" t="s">
        <v>15</v>
      </c>
      <c r="H506" s="5">
        <v>57321</v>
      </c>
      <c r="I506" s="5">
        <v>1352</v>
      </c>
      <c r="J506" s="6">
        <f t="shared" si="7"/>
        <v>55969</v>
      </c>
    </row>
    <row r="507" spans="1:10">
      <c r="A507" s="5">
        <v>177062</v>
      </c>
      <c r="B507" s="5" t="s">
        <v>16</v>
      </c>
      <c r="C507" s="5" t="s">
        <v>25</v>
      </c>
      <c r="D507" s="5" t="s">
        <v>30</v>
      </c>
      <c r="E507" s="5" t="s">
        <v>13</v>
      </c>
      <c r="F507" s="5" t="s">
        <v>28</v>
      </c>
      <c r="G507" s="5" t="s">
        <v>24</v>
      </c>
      <c r="H507" s="5">
        <v>96524</v>
      </c>
      <c r="I507" s="5">
        <v>235</v>
      </c>
      <c r="J507" s="6">
        <f t="shared" si="7"/>
        <v>96289</v>
      </c>
    </row>
    <row r="508" spans="1:10">
      <c r="A508" s="5">
        <v>28691</v>
      </c>
      <c r="B508" s="5" t="s">
        <v>16</v>
      </c>
      <c r="C508" s="5" t="s">
        <v>35</v>
      </c>
      <c r="D508" s="5" t="s">
        <v>33</v>
      </c>
      <c r="E508" s="5" t="s">
        <v>13</v>
      </c>
      <c r="F508" s="5" t="s">
        <v>14</v>
      </c>
      <c r="G508" s="5" t="s">
        <v>24</v>
      </c>
      <c r="H508" s="5">
        <v>74897</v>
      </c>
      <c r="I508" s="5">
        <v>11511</v>
      </c>
      <c r="J508" s="6">
        <f t="shared" si="7"/>
        <v>63386</v>
      </c>
    </row>
    <row r="509" spans="1:10">
      <c r="A509" s="5">
        <v>216619</v>
      </c>
      <c r="B509" s="5" t="s">
        <v>10</v>
      </c>
      <c r="C509" s="5" t="s">
        <v>34</v>
      </c>
      <c r="D509" s="5" t="s">
        <v>29</v>
      </c>
      <c r="E509" s="5" t="s">
        <v>13</v>
      </c>
      <c r="F509" s="5" t="s">
        <v>14</v>
      </c>
      <c r="G509" s="5" t="s">
        <v>24</v>
      </c>
      <c r="H509" s="5">
        <v>84918</v>
      </c>
      <c r="I509" s="5">
        <v>4984</v>
      </c>
      <c r="J509" s="6">
        <f t="shared" si="7"/>
        <v>79934</v>
      </c>
    </row>
    <row r="510" spans="1:10">
      <c r="A510" s="5">
        <v>187319</v>
      </c>
      <c r="B510" s="5" t="s">
        <v>16</v>
      </c>
      <c r="C510" s="5" t="s">
        <v>20</v>
      </c>
      <c r="D510" s="5" t="s">
        <v>32</v>
      </c>
      <c r="E510" s="5" t="s">
        <v>19</v>
      </c>
      <c r="F510" s="5" t="s">
        <v>14</v>
      </c>
      <c r="G510" s="5" t="s">
        <v>15</v>
      </c>
      <c r="H510" s="5">
        <v>32111</v>
      </c>
      <c r="I510" s="5">
        <v>190</v>
      </c>
      <c r="J510" s="6">
        <f t="shared" si="7"/>
        <v>31921</v>
      </c>
    </row>
    <row r="511" spans="1:10">
      <c r="A511" s="5">
        <v>238726</v>
      </c>
      <c r="B511" s="5" t="s">
        <v>16</v>
      </c>
      <c r="C511" s="5" t="s">
        <v>17</v>
      </c>
      <c r="D511" s="5" t="s">
        <v>33</v>
      </c>
      <c r="E511" s="5" t="s">
        <v>19</v>
      </c>
      <c r="F511" s="5" t="s">
        <v>14</v>
      </c>
      <c r="G511" s="5" t="s">
        <v>24</v>
      </c>
      <c r="H511" s="5">
        <v>103097</v>
      </c>
      <c r="I511" s="5">
        <v>318</v>
      </c>
      <c r="J511" s="6">
        <f t="shared" si="7"/>
        <v>102779</v>
      </c>
    </row>
    <row r="512" spans="1:10">
      <c r="A512" s="5">
        <v>245866</v>
      </c>
      <c r="B512" s="5" t="s">
        <v>10</v>
      </c>
      <c r="C512" s="5" t="s">
        <v>17</v>
      </c>
      <c r="D512" s="5" t="s">
        <v>29</v>
      </c>
      <c r="E512" s="5" t="s">
        <v>19</v>
      </c>
      <c r="F512" s="5" t="s">
        <v>28</v>
      </c>
      <c r="G512" s="5" t="s">
        <v>24</v>
      </c>
      <c r="H512" s="5">
        <v>41222</v>
      </c>
      <c r="I512" s="5">
        <v>323</v>
      </c>
      <c r="J512" s="6">
        <f t="shared" si="7"/>
        <v>40899</v>
      </c>
    </row>
    <row r="513" spans="1:10">
      <c r="A513" s="5">
        <v>112478</v>
      </c>
      <c r="B513" s="5" t="s">
        <v>16</v>
      </c>
      <c r="C513" s="5" t="s">
        <v>22</v>
      </c>
      <c r="D513" s="5" t="s">
        <v>33</v>
      </c>
      <c r="E513" s="5" t="s">
        <v>13</v>
      </c>
      <c r="F513" s="5" t="s">
        <v>14</v>
      </c>
      <c r="G513" s="5" t="s">
        <v>15</v>
      </c>
      <c r="H513" s="5">
        <v>15263</v>
      </c>
      <c r="I513" s="5">
        <v>384</v>
      </c>
      <c r="J513" s="6">
        <f t="shared" si="7"/>
        <v>14879</v>
      </c>
    </row>
    <row r="514" spans="1:10">
      <c r="A514" s="5">
        <v>18289</v>
      </c>
      <c r="B514" s="5" t="s">
        <v>16</v>
      </c>
      <c r="C514" s="5" t="s">
        <v>11</v>
      </c>
      <c r="D514" s="5" t="s">
        <v>36</v>
      </c>
      <c r="E514" s="5" t="s">
        <v>13</v>
      </c>
      <c r="F514" s="5" t="s">
        <v>14</v>
      </c>
      <c r="G514" s="5" t="s">
        <v>24</v>
      </c>
      <c r="H514" s="5">
        <v>34985</v>
      </c>
      <c r="I514" s="5">
        <v>3365</v>
      </c>
      <c r="J514" s="6">
        <f t="shared" ref="J514:J577" si="8">H514-I514</f>
        <v>31620</v>
      </c>
    </row>
    <row r="515" spans="1:10">
      <c r="A515" s="5">
        <v>250653</v>
      </c>
      <c r="B515" s="5" t="s">
        <v>16</v>
      </c>
      <c r="C515" s="5" t="s">
        <v>17</v>
      </c>
      <c r="D515" s="5" t="s">
        <v>33</v>
      </c>
      <c r="E515" s="5" t="s">
        <v>19</v>
      </c>
      <c r="F515" s="5" t="s">
        <v>28</v>
      </c>
      <c r="G515" s="5" t="s">
        <v>15</v>
      </c>
      <c r="H515" s="5">
        <v>55677</v>
      </c>
      <c r="I515" s="5">
        <v>22</v>
      </c>
      <c r="J515" s="6">
        <f t="shared" si="8"/>
        <v>55655</v>
      </c>
    </row>
    <row r="516" spans="1:10">
      <c r="A516" s="5">
        <v>206747</v>
      </c>
      <c r="B516" s="5" t="s">
        <v>10</v>
      </c>
      <c r="C516" s="5" t="s">
        <v>11</v>
      </c>
      <c r="D516" s="5" t="s">
        <v>29</v>
      </c>
      <c r="E516" s="5" t="s">
        <v>19</v>
      </c>
      <c r="F516" s="5" t="s">
        <v>14</v>
      </c>
      <c r="G516" s="5" t="s">
        <v>24</v>
      </c>
      <c r="H516" s="5">
        <v>32695</v>
      </c>
      <c r="I516" s="5">
        <v>322</v>
      </c>
      <c r="J516" s="6">
        <f t="shared" si="8"/>
        <v>32373</v>
      </c>
    </row>
    <row r="517" spans="1:10">
      <c r="A517" s="5">
        <v>161848</v>
      </c>
      <c r="B517" s="5" t="s">
        <v>16</v>
      </c>
      <c r="C517" s="5" t="s">
        <v>25</v>
      </c>
      <c r="D517" s="5" t="s">
        <v>32</v>
      </c>
      <c r="E517" s="5" t="s">
        <v>13</v>
      </c>
      <c r="F517" s="5" t="s">
        <v>14</v>
      </c>
      <c r="G517" s="5" t="s">
        <v>15</v>
      </c>
      <c r="H517" s="5">
        <v>214767</v>
      </c>
      <c r="I517" s="5">
        <v>0</v>
      </c>
      <c r="J517" s="6">
        <f t="shared" si="8"/>
        <v>214767</v>
      </c>
    </row>
    <row r="518" spans="1:10">
      <c r="A518" s="5">
        <v>51805</v>
      </c>
      <c r="B518" s="5" t="s">
        <v>10</v>
      </c>
      <c r="C518" s="5" t="s">
        <v>35</v>
      </c>
      <c r="D518" s="5" t="s">
        <v>12</v>
      </c>
      <c r="E518" s="5" t="s">
        <v>19</v>
      </c>
      <c r="F518" s="5" t="s">
        <v>14</v>
      </c>
      <c r="G518" s="5" t="s">
        <v>24</v>
      </c>
      <c r="H518" s="5">
        <v>35588</v>
      </c>
      <c r="I518" s="5">
        <v>1600</v>
      </c>
      <c r="J518" s="6">
        <f t="shared" si="8"/>
        <v>33988</v>
      </c>
    </row>
    <row r="519" spans="1:10">
      <c r="A519" s="5">
        <v>134073</v>
      </c>
      <c r="B519" s="5" t="s">
        <v>16</v>
      </c>
      <c r="C519" s="5" t="s">
        <v>31</v>
      </c>
      <c r="D519" s="5" t="s">
        <v>33</v>
      </c>
      <c r="E519" s="5" t="s">
        <v>19</v>
      </c>
      <c r="F519" s="5" t="s">
        <v>14</v>
      </c>
      <c r="G519" s="5" t="s">
        <v>24</v>
      </c>
      <c r="H519" s="5">
        <v>38729</v>
      </c>
      <c r="I519" s="5">
        <v>0</v>
      </c>
      <c r="J519" s="6">
        <f t="shared" si="8"/>
        <v>38729</v>
      </c>
    </row>
    <row r="520" spans="1:10">
      <c r="A520" s="5">
        <v>114901</v>
      </c>
      <c r="B520" s="5" t="s">
        <v>10</v>
      </c>
      <c r="C520" s="5" t="s">
        <v>22</v>
      </c>
      <c r="D520" s="5" t="s">
        <v>32</v>
      </c>
      <c r="E520" s="5" t="s">
        <v>19</v>
      </c>
      <c r="F520" s="5" t="s">
        <v>14</v>
      </c>
      <c r="G520" s="5" t="s">
        <v>24</v>
      </c>
      <c r="H520" s="5">
        <v>19963</v>
      </c>
      <c r="I520" s="5">
        <v>0</v>
      </c>
      <c r="J520" s="6">
        <f t="shared" si="8"/>
        <v>19963</v>
      </c>
    </row>
    <row r="521" spans="1:10">
      <c r="A521" s="5">
        <v>24578</v>
      </c>
      <c r="B521" s="5" t="s">
        <v>16</v>
      </c>
      <c r="C521" s="5" t="s">
        <v>11</v>
      </c>
      <c r="D521" s="5" t="s">
        <v>32</v>
      </c>
      <c r="E521" s="5" t="s">
        <v>13</v>
      </c>
      <c r="F521" s="5" t="s">
        <v>14</v>
      </c>
      <c r="G521" s="5" t="s">
        <v>15</v>
      </c>
      <c r="H521" s="5">
        <v>33963</v>
      </c>
      <c r="I521" s="5">
        <v>0</v>
      </c>
      <c r="J521" s="6">
        <f t="shared" si="8"/>
        <v>33963</v>
      </c>
    </row>
    <row r="522" spans="1:10">
      <c r="A522" s="5">
        <v>78551</v>
      </c>
      <c r="B522" s="5" t="s">
        <v>16</v>
      </c>
      <c r="C522" s="5" t="s">
        <v>20</v>
      </c>
      <c r="D522" s="5" t="s">
        <v>21</v>
      </c>
      <c r="E522" s="5" t="s">
        <v>13</v>
      </c>
      <c r="F522" s="5" t="s">
        <v>14</v>
      </c>
      <c r="G522" s="5" t="s">
        <v>15</v>
      </c>
      <c r="H522" s="5">
        <v>-192</v>
      </c>
      <c r="I522" s="5">
        <v>0</v>
      </c>
      <c r="J522" s="6">
        <f t="shared" si="8"/>
        <v>-192</v>
      </c>
    </row>
    <row r="523" spans="1:10">
      <c r="A523" s="5">
        <v>210996</v>
      </c>
      <c r="B523" s="5" t="s">
        <v>10</v>
      </c>
      <c r="C523" s="5" t="s">
        <v>38</v>
      </c>
      <c r="D523" s="5" t="s">
        <v>23</v>
      </c>
      <c r="E523" s="5" t="s">
        <v>13</v>
      </c>
      <c r="F523" s="5" t="s">
        <v>14</v>
      </c>
      <c r="G523" s="5" t="s">
        <v>15</v>
      </c>
      <c r="H523" s="5">
        <v>87649</v>
      </c>
      <c r="I523" s="5">
        <v>1265</v>
      </c>
      <c r="J523" s="6">
        <f t="shared" si="8"/>
        <v>86384</v>
      </c>
    </row>
    <row r="524" spans="1:10">
      <c r="A524" s="5">
        <v>173575</v>
      </c>
      <c r="B524" s="5" t="s">
        <v>10</v>
      </c>
      <c r="C524" s="5" t="s">
        <v>27</v>
      </c>
      <c r="D524" s="5" t="s">
        <v>32</v>
      </c>
      <c r="E524" s="5" t="s">
        <v>13</v>
      </c>
      <c r="F524" s="5" t="s">
        <v>14</v>
      </c>
      <c r="G524" s="5" t="s">
        <v>15</v>
      </c>
      <c r="H524" s="5">
        <v>74993</v>
      </c>
      <c r="I524" s="5">
        <v>69</v>
      </c>
      <c r="J524" s="6">
        <f t="shared" si="8"/>
        <v>74924</v>
      </c>
    </row>
    <row r="525" spans="1:10">
      <c r="A525" s="5">
        <v>35088</v>
      </c>
      <c r="B525" s="5" t="s">
        <v>16</v>
      </c>
      <c r="C525" s="5" t="s">
        <v>35</v>
      </c>
      <c r="D525" s="5" t="s">
        <v>32</v>
      </c>
      <c r="E525" s="5" t="s">
        <v>13</v>
      </c>
      <c r="F525" s="5" t="s">
        <v>14</v>
      </c>
      <c r="G525" s="5" t="s">
        <v>15</v>
      </c>
      <c r="H525" s="5">
        <v>33402</v>
      </c>
      <c r="I525" s="5">
        <v>0</v>
      </c>
      <c r="J525" s="6">
        <f t="shared" si="8"/>
        <v>33402</v>
      </c>
    </row>
    <row r="526" spans="1:10">
      <c r="A526" s="5">
        <v>185786</v>
      </c>
      <c r="B526" s="5" t="s">
        <v>10</v>
      </c>
      <c r="C526" s="5" t="s">
        <v>39</v>
      </c>
      <c r="D526" s="5" t="s">
        <v>33</v>
      </c>
      <c r="E526" s="5" t="s">
        <v>13</v>
      </c>
      <c r="F526" s="5" t="s">
        <v>14</v>
      </c>
      <c r="G526" s="5" t="s">
        <v>15</v>
      </c>
      <c r="H526" s="5">
        <v>39656</v>
      </c>
      <c r="I526" s="5">
        <v>344</v>
      </c>
      <c r="J526" s="6">
        <f t="shared" si="8"/>
        <v>39312</v>
      </c>
    </row>
    <row r="527" spans="1:10">
      <c r="A527" s="5">
        <v>164270</v>
      </c>
      <c r="B527" s="5" t="s">
        <v>16</v>
      </c>
      <c r="C527" s="5" t="s">
        <v>25</v>
      </c>
      <c r="D527" s="5" t="s">
        <v>30</v>
      </c>
      <c r="E527" s="5" t="s">
        <v>19</v>
      </c>
      <c r="F527" s="5" t="s">
        <v>14</v>
      </c>
      <c r="G527" s="5" t="s">
        <v>24</v>
      </c>
      <c r="H527" s="5">
        <v>67007</v>
      </c>
      <c r="I527" s="5">
        <v>693</v>
      </c>
      <c r="J527" s="6">
        <f t="shared" si="8"/>
        <v>66314</v>
      </c>
    </row>
    <row r="528" spans="1:10">
      <c r="A528" s="5">
        <v>224088</v>
      </c>
      <c r="B528" s="5" t="s">
        <v>10</v>
      </c>
      <c r="C528" s="5" t="s">
        <v>25</v>
      </c>
      <c r="D528" s="5" t="s">
        <v>23</v>
      </c>
      <c r="E528" s="5" t="s">
        <v>13</v>
      </c>
      <c r="F528" s="5" t="s">
        <v>14</v>
      </c>
      <c r="G528" s="5" t="s">
        <v>15</v>
      </c>
      <c r="H528" s="5">
        <v>75178</v>
      </c>
      <c r="I528" s="5">
        <v>902</v>
      </c>
      <c r="J528" s="6">
        <f t="shared" si="8"/>
        <v>74276</v>
      </c>
    </row>
    <row r="529" spans="1:10">
      <c r="A529" s="5">
        <v>187047</v>
      </c>
      <c r="B529" s="5" t="s">
        <v>16</v>
      </c>
      <c r="C529" s="5" t="s">
        <v>38</v>
      </c>
      <c r="D529" s="5" t="s">
        <v>33</v>
      </c>
      <c r="E529" s="5" t="s">
        <v>13</v>
      </c>
      <c r="F529" s="5" t="s">
        <v>14</v>
      </c>
      <c r="G529" s="5" t="s">
        <v>15</v>
      </c>
      <c r="H529" s="5">
        <v>13433</v>
      </c>
      <c r="I529" s="5">
        <v>0</v>
      </c>
      <c r="J529" s="6">
        <f t="shared" si="8"/>
        <v>13433</v>
      </c>
    </row>
    <row r="530" spans="1:10">
      <c r="A530" s="5">
        <v>93720</v>
      </c>
      <c r="B530" s="5" t="s">
        <v>10</v>
      </c>
      <c r="C530" s="5" t="s">
        <v>20</v>
      </c>
      <c r="D530" s="5" t="s">
        <v>32</v>
      </c>
      <c r="E530" s="5" t="s">
        <v>13</v>
      </c>
      <c r="F530" s="5" t="s">
        <v>14</v>
      </c>
      <c r="G530" s="5" t="s">
        <v>15</v>
      </c>
      <c r="H530" s="5">
        <v>17622</v>
      </c>
      <c r="I530" s="5">
        <v>603</v>
      </c>
      <c r="J530" s="6">
        <f t="shared" si="8"/>
        <v>17019</v>
      </c>
    </row>
    <row r="531" spans="1:10">
      <c r="A531" s="5">
        <v>244437</v>
      </c>
      <c r="B531" s="5" t="s">
        <v>10</v>
      </c>
      <c r="C531" s="5" t="s">
        <v>17</v>
      </c>
      <c r="D531" s="5" t="s">
        <v>23</v>
      </c>
      <c r="E531" s="5" t="s">
        <v>19</v>
      </c>
      <c r="F531" s="5" t="s">
        <v>14</v>
      </c>
      <c r="G531" s="5" t="s">
        <v>24</v>
      </c>
      <c r="H531" s="5">
        <v>17979</v>
      </c>
      <c r="I531" s="5">
        <v>759</v>
      </c>
      <c r="J531" s="6">
        <f t="shared" si="8"/>
        <v>17220</v>
      </c>
    </row>
    <row r="532" spans="1:10">
      <c r="A532" s="5">
        <v>18498</v>
      </c>
      <c r="B532" s="5" t="s">
        <v>10</v>
      </c>
      <c r="C532" s="5" t="s">
        <v>11</v>
      </c>
      <c r="D532" s="5" t="s">
        <v>32</v>
      </c>
      <c r="E532" s="5" t="s">
        <v>13</v>
      </c>
      <c r="F532" s="5" t="s">
        <v>14</v>
      </c>
      <c r="G532" s="5" t="s">
        <v>15</v>
      </c>
      <c r="H532" s="5">
        <v>23328</v>
      </c>
      <c r="I532" s="5">
        <v>413</v>
      </c>
      <c r="J532" s="6">
        <f t="shared" si="8"/>
        <v>22915</v>
      </c>
    </row>
    <row r="533" spans="1:10">
      <c r="A533" s="5">
        <v>243191</v>
      </c>
      <c r="B533" s="5" t="s">
        <v>16</v>
      </c>
      <c r="C533" s="5" t="s">
        <v>11</v>
      </c>
      <c r="D533" s="5" t="s">
        <v>12</v>
      </c>
      <c r="E533" s="5" t="s">
        <v>13</v>
      </c>
      <c r="F533" s="5" t="s">
        <v>14</v>
      </c>
      <c r="G533" s="5" t="s">
        <v>24</v>
      </c>
      <c r="H533" s="5">
        <v>69146</v>
      </c>
      <c r="I533" s="5">
        <v>344</v>
      </c>
      <c r="J533" s="6">
        <f t="shared" si="8"/>
        <v>68802</v>
      </c>
    </row>
    <row r="534" spans="1:10">
      <c r="A534" s="5">
        <v>209392</v>
      </c>
      <c r="B534" s="5" t="s">
        <v>10</v>
      </c>
      <c r="C534" s="5" t="s">
        <v>38</v>
      </c>
      <c r="D534" s="5" t="s">
        <v>30</v>
      </c>
      <c r="E534" s="5" t="s">
        <v>13</v>
      </c>
      <c r="F534" s="5" t="s">
        <v>28</v>
      </c>
      <c r="G534" s="5" t="s">
        <v>15</v>
      </c>
      <c r="H534" s="5">
        <v>57304</v>
      </c>
      <c r="I534" s="5">
        <v>453</v>
      </c>
      <c r="J534" s="6">
        <f t="shared" si="8"/>
        <v>56851</v>
      </c>
    </row>
    <row r="535" spans="1:10">
      <c r="A535" s="5">
        <v>88731</v>
      </c>
      <c r="B535" s="5" t="s">
        <v>10</v>
      </c>
      <c r="C535" s="5" t="s">
        <v>20</v>
      </c>
      <c r="D535" s="5" t="s">
        <v>32</v>
      </c>
      <c r="E535" s="5" t="s">
        <v>13</v>
      </c>
      <c r="F535" s="5" t="s">
        <v>14</v>
      </c>
      <c r="G535" s="5" t="s">
        <v>15</v>
      </c>
      <c r="H535" s="5">
        <v>5908</v>
      </c>
      <c r="I535" s="5">
        <v>0</v>
      </c>
      <c r="J535" s="6">
        <f t="shared" si="8"/>
        <v>5908</v>
      </c>
    </row>
    <row r="536" spans="1:10">
      <c r="A536" s="5">
        <v>237983</v>
      </c>
      <c r="B536" s="5" t="s">
        <v>16</v>
      </c>
      <c r="C536" s="5" t="s">
        <v>25</v>
      </c>
      <c r="D536" s="5" t="s">
        <v>12</v>
      </c>
      <c r="E536" s="5" t="s">
        <v>19</v>
      </c>
      <c r="F536" s="5" t="s">
        <v>28</v>
      </c>
      <c r="G536" s="5" t="s">
        <v>15</v>
      </c>
      <c r="H536" s="5">
        <v>44531</v>
      </c>
      <c r="I536" s="5">
        <v>434</v>
      </c>
      <c r="J536" s="6">
        <f t="shared" si="8"/>
        <v>44097</v>
      </c>
    </row>
    <row r="537" spans="1:10">
      <c r="A537" s="5">
        <v>190555</v>
      </c>
      <c r="B537" s="5" t="s">
        <v>16</v>
      </c>
      <c r="C537" s="5" t="s">
        <v>34</v>
      </c>
      <c r="D537" s="5" t="s">
        <v>12</v>
      </c>
      <c r="E537" s="5" t="s">
        <v>13</v>
      </c>
      <c r="F537" s="5" t="s">
        <v>14</v>
      </c>
      <c r="G537" s="5" t="s">
        <v>15</v>
      </c>
      <c r="H537" s="5">
        <v>19884</v>
      </c>
      <c r="I537" s="5">
        <v>0</v>
      </c>
      <c r="J537" s="6">
        <f t="shared" si="8"/>
        <v>19884</v>
      </c>
    </row>
    <row r="538" spans="1:10">
      <c r="A538" s="5">
        <v>108809</v>
      </c>
      <c r="B538" s="5" t="s">
        <v>10</v>
      </c>
      <c r="C538" s="5" t="s">
        <v>17</v>
      </c>
      <c r="D538" s="5" t="s">
        <v>21</v>
      </c>
      <c r="E538" s="5" t="s">
        <v>19</v>
      </c>
      <c r="F538" s="5" t="s">
        <v>14</v>
      </c>
      <c r="G538" s="5" t="s">
        <v>24</v>
      </c>
      <c r="H538" s="5">
        <v>38875</v>
      </c>
      <c r="I538" s="5">
        <v>0</v>
      </c>
      <c r="J538" s="6">
        <f t="shared" si="8"/>
        <v>38875</v>
      </c>
    </row>
    <row r="539" spans="1:10">
      <c r="A539" s="5">
        <v>186195</v>
      </c>
      <c r="B539" s="5" t="s">
        <v>10</v>
      </c>
      <c r="C539" s="5" t="s">
        <v>20</v>
      </c>
      <c r="D539" s="5" t="s">
        <v>32</v>
      </c>
      <c r="E539" s="5" t="s">
        <v>13</v>
      </c>
      <c r="F539" s="5" t="s">
        <v>14</v>
      </c>
      <c r="G539" s="5" t="s">
        <v>15</v>
      </c>
      <c r="H539" s="5">
        <v>32784</v>
      </c>
      <c r="I539" s="5">
        <v>4378</v>
      </c>
      <c r="J539" s="6">
        <f t="shared" si="8"/>
        <v>28406</v>
      </c>
    </row>
    <row r="540" spans="1:10">
      <c r="A540" s="5">
        <v>130105</v>
      </c>
      <c r="B540" s="5" t="s">
        <v>16</v>
      </c>
      <c r="C540" s="5" t="s">
        <v>22</v>
      </c>
      <c r="D540" s="5" t="s">
        <v>36</v>
      </c>
      <c r="E540" s="5" t="s">
        <v>13</v>
      </c>
      <c r="F540" s="5" t="s">
        <v>14</v>
      </c>
      <c r="G540" s="5" t="s">
        <v>24</v>
      </c>
      <c r="H540" s="5">
        <v>1866</v>
      </c>
      <c r="I540" s="5">
        <v>0</v>
      </c>
      <c r="J540" s="6">
        <f t="shared" si="8"/>
        <v>1866</v>
      </c>
    </row>
    <row r="541" spans="1:10">
      <c r="A541" s="5">
        <v>30113</v>
      </c>
      <c r="B541" s="5" t="s">
        <v>16</v>
      </c>
      <c r="C541" s="5" t="s">
        <v>35</v>
      </c>
      <c r="D541" s="5" t="s">
        <v>12</v>
      </c>
      <c r="E541" s="5" t="s">
        <v>19</v>
      </c>
      <c r="F541" s="5" t="s">
        <v>14</v>
      </c>
      <c r="G541" s="5" t="s">
        <v>15</v>
      </c>
      <c r="H541" s="5">
        <v>81416</v>
      </c>
      <c r="I541" s="5">
        <v>7752</v>
      </c>
      <c r="J541" s="6">
        <f t="shared" si="8"/>
        <v>73664</v>
      </c>
    </row>
    <row r="542" spans="1:10">
      <c r="A542" s="5">
        <v>180305</v>
      </c>
      <c r="B542" s="5" t="s">
        <v>10</v>
      </c>
      <c r="C542" s="5" t="s">
        <v>31</v>
      </c>
      <c r="D542" s="5" t="s">
        <v>33</v>
      </c>
      <c r="E542" s="5" t="s">
        <v>19</v>
      </c>
      <c r="F542" s="5" t="s">
        <v>14</v>
      </c>
      <c r="G542" s="5" t="s">
        <v>24</v>
      </c>
      <c r="H542" s="5">
        <v>18203</v>
      </c>
      <c r="I542" s="5">
        <v>0</v>
      </c>
      <c r="J542" s="6">
        <f t="shared" si="8"/>
        <v>18203</v>
      </c>
    </row>
    <row r="543" spans="1:10">
      <c r="A543" s="5">
        <v>21972</v>
      </c>
      <c r="B543" s="5" t="s">
        <v>16</v>
      </c>
      <c r="C543" s="5" t="s">
        <v>11</v>
      </c>
      <c r="D543" s="5" t="s">
        <v>12</v>
      </c>
      <c r="E543" s="5" t="s">
        <v>13</v>
      </c>
      <c r="F543" s="5" t="s">
        <v>14</v>
      </c>
      <c r="G543" s="5" t="s">
        <v>15</v>
      </c>
      <c r="H543" s="5">
        <v>74260</v>
      </c>
      <c r="I543" s="5">
        <v>773</v>
      </c>
      <c r="J543" s="6">
        <f t="shared" si="8"/>
        <v>73487</v>
      </c>
    </row>
    <row r="544" spans="1:10">
      <c r="A544" s="5">
        <v>53320</v>
      </c>
      <c r="B544" s="5" t="s">
        <v>16</v>
      </c>
      <c r="C544" s="5" t="s">
        <v>35</v>
      </c>
      <c r="D544" s="5" t="s">
        <v>30</v>
      </c>
      <c r="E544" s="5" t="s">
        <v>13</v>
      </c>
      <c r="F544" s="5" t="s">
        <v>14</v>
      </c>
      <c r="G544" s="5" t="s">
        <v>15</v>
      </c>
      <c r="H544" s="5">
        <v>81360</v>
      </c>
      <c r="I544" s="5">
        <v>5743</v>
      </c>
      <c r="J544" s="6">
        <f t="shared" si="8"/>
        <v>75617</v>
      </c>
    </row>
    <row r="545" spans="1:10">
      <c r="A545" s="5">
        <v>252182</v>
      </c>
      <c r="B545" s="5" t="s">
        <v>10</v>
      </c>
      <c r="C545" s="5" t="s">
        <v>17</v>
      </c>
      <c r="D545" s="5" t="s">
        <v>21</v>
      </c>
      <c r="E545" s="5" t="s">
        <v>19</v>
      </c>
      <c r="F545" s="5" t="s">
        <v>14</v>
      </c>
      <c r="G545" s="5" t="s">
        <v>24</v>
      </c>
      <c r="H545" s="5">
        <v>73807</v>
      </c>
      <c r="I545" s="5">
        <v>4124</v>
      </c>
      <c r="J545" s="6">
        <f t="shared" si="8"/>
        <v>69683</v>
      </c>
    </row>
    <row r="546" spans="1:10">
      <c r="A546" s="5">
        <v>54439</v>
      </c>
      <c r="B546" s="5" t="s">
        <v>10</v>
      </c>
      <c r="C546" s="5" t="s">
        <v>35</v>
      </c>
      <c r="D546" s="5" t="s">
        <v>36</v>
      </c>
      <c r="E546" s="5" t="s">
        <v>13</v>
      </c>
      <c r="F546" s="5" t="s">
        <v>28</v>
      </c>
      <c r="G546" s="5" t="s">
        <v>24</v>
      </c>
      <c r="H546" s="5">
        <v>80476</v>
      </c>
      <c r="I546" s="5">
        <v>5412</v>
      </c>
      <c r="J546" s="6">
        <f t="shared" si="8"/>
        <v>75064</v>
      </c>
    </row>
    <row r="547" spans="1:10">
      <c r="A547" s="5">
        <v>76780</v>
      </c>
      <c r="B547" s="5" t="s">
        <v>16</v>
      </c>
      <c r="C547" s="5" t="s">
        <v>37</v>
      </c>
      <c r="D547" s="5" t="s">
        <v>12</v>
      </c>
      <c r="E547" s="5" t="s">
        <v>13</v>
      </c>
      <c r="F547" s="5" t="s">
        <v>14</v>
      </c>
      <c r="G547" s="5" t="s">
        <v>15</v>
      </c>
      <c r="H547" s="5">
        <v>69025</v>
      </c>
      <c r="I547" s="5">
        <v>576</v>
      </c>
      <c r="J547" s="6">
        <f t="shared" si="8"/>
        <v>68449</v>
      </c>
    </row>
    <row r="548" spans="1:10">
      <c r="A548" s="5">
        <v>143797</v>
      </c>
      <c r="B548" s="5" t="s">
        <v>10</v>
      </c>
      <c r="C548" s="5" t="s">
        <v>27</v>
      </c>
      <c r="D548" s="5" t="s">
        <v>30</v>
      </c>
      <c r="E548" s="5" t="s">
        <v>13</v>
      </c>
      <c r="F548" s="5" t="s">
        <v>14</v>
      </c>
      <c r="G548" s="5" t="s">
        <v>15</v>
      </c>
      <c r="H548" s="5">
        <v>185032</v>
      </c>
      <c r="I548" s="5">
        <v>14037</v>
      </c>
      <c r="J548" s="6">
        <f t="shared" si="8"/>
        <v>170995</v>
      </c>
    </row>
    <row r="549" spans="1:10">
      <c r="A549" s="5">
        <v>311</v>
      </c>
      <c r="B549" s="5" t="s">
        <v>10</v>
      </c>
      <c r="C549" s="5" t="s">
        <v>38</v>
      </c>
      <c r="D549" s="5" t="s">
        <v>26</v>
      </c>
      <c r="E549" s="5" t="s">
        <v>13</v>
      </c>
      <c r="F549" s="5" t="s">
        <v>14</v>
      </c>
      <c r="G549" s="5" t="s">
        <v>24</v>
      </c>
      <c r="H549" s="5">
        <v>17583</v>
      </c>
      <c r="I549" s="5">
        <v>0</v>
      </c>
      <c r="J549" s="6">
        <f t="shared" si="8"/>
        <v>17583</v>
      </c>
    </row>
    <row r="550" spans="1:10">
      <c r="A550" s="5">
        <v>132251</v>
      </c>
      <c r="B550" s="5" t="s">
        <v>10</v>
      </c>
      <c r="C550" s="5" t="s">
        <v>17</v>
      </c>
      <c r="D550" s="5" t="s">
        <v>21</v>
      </c>
      <c r="E550" s="5" t="s">
        <v>19</v>
      </c>
      <c r="F550" s="5" t="s">
        <v>14</v>
      </c>
      <c r="G550" s="5" t="s">
        <v>24</v>
      </c>
      <c r="H550" s="5">
        <v>29235</v>
      </c>
      <c r="I550" s="5">
        <v>8680</v>
      </c>
      <c r="J550" s="6">
        <f t="shared" si="8"/>
        <v>20555</v>
      </c>
    </row>
    <row r="551" spans="1:10">
      <c r="A551" s="5">
        <v>243415</v>
      </c>
      <c r="B551" s="5" t="s">
        <v>16</v>
      </c>
      <c r="C551" s="5" t="s">
        <v>25</v>
      </c>
      <c r="D551" s="5" t="s">
        <v>21</v>
      </c>
      <c r="E551" s="5" t="s">
        <v>19</v>
      </c>
      <c r="F551" s="5" t="s">
        <v>28</v>
      </c>
      <c r="G551" s="5" t="s">
        <v>24</v>
      </c>
      <c r="H551" s="5">
        <v>33514</v>
      </c>
      <c r="I551" s="5">
        <v>218</v>
      </c>
      <c r="J551" s="6">
        <f t="shared" si="8"/>
        <v>33296</v>
      </c>
    </row>
    <row r="552" spans="1:10">
      <c r="A552" s="5">
        <v>68976</v>
      </c>
      <c r="B552" s="5" t="s">
        <v>10</v>
      </c>
      <c r="C552" s="5" t="s">
        <v>27</v>
      </c>
      <c r="D552" s="5" t="s">
        <v>29</v>
      </c>
      <c r="E552" s="5" t="s">
        <v>13</v>
      </c>
      <c r="F552" s="5" t="s">
        <v>14</v>
      </c>
      <c r="G552" s="5" t="s">
        <v>24</v>
      </c>
      <c r="H552" s="5">
        <v>54436</v>
      </c>
      <c r="I552" s="5">
        <v>541</v>
      </c>
      <c r="J552" s="6">
        <f t="shared" si="8"/>
        <v>53895</v>
      </c>
    </row>
    <row r="553" spans="1:10">
      <c r="A553" s="5">
        <v>53435</v>
      </c>
      <c r="B553" s="5" t="s">
        <v>10</v>
      </c>
      <c r="C553" s="5" t="s">
        <v>35</v>
      </c>
      <c r="D553" s="5" t="s">
        <v>12</v>
      </c>
      <c r="E553" s="5" t="s">
        <v>19</v>
      </c>
      <c r="F553" s="5" t="s">
        <v>14</v>
      </c>
      <c r="G553" s="5" t="s">
        <v>24</v>
      </c>
      <c r="H553" s="5">
        <v>72866</v>
      </c>
      <c r="I553" s="5">
        <v>732</v>
      </c>
      <c r="J553" s="6">
        <f t="shared" si="8"/>
        <v>72134</v>
      </c>
    </row>
    <row r="554" spans="1:10">
      <c r="A554" s="5">
        <v>233092</v>
      </c>
      <c r="B554" s="5" t="s">
        <v>10</v>
      </c>
      <c r="C554" s="5" t="s">
        <v>22</v>
      </c>
      <c r="D554" s="5" t="s">
        <v>32</v>
      </c>
      <c r="E554" s="5" t="s">
        <v>13</v>
      </c>
      <c r="F554" s="5" t="s">
        <v>14</v>
      </c>
      <c r="G554" s="5" t="s">
        <v>15</v>
      </c>
      <c r="H554" s="5">
        <v>56080</v>
      </c>
      <c r="I554" s="5">
        <v>19</v>
      </c>
      <c r="J554" s="6">
        <f t="shared" si="8"/>
        <v>56061</v>
      </c>
    </row>
    <row r="555" spans="1:10">
      <c r="A555" s="5">
        <v>89886</v>
      </c>
      <c r="B555" s="5" t="s">
        <v>10</v>
      </c>
      <c r="C555" s="5" t="s">
        <v>39</v>
      </c>
      <c r="D555" s="5" t="s">
        <v>23</v>
      </c>
      <c r="E555" s="5" t="s">
        <v>13</v>
      </c>
      <c r="F555" s="5" t="s">
        <v>14</v>
      </c>
      <c r="G555" s="5" t="s">
        <v>24</v>
      </c>
      <c r="H555" s="5">
        <v>92216</v>
      </c>
      <c r="I555" s="5">
        <v>445</v>
      </c>
      <c r="J555" s="6">
        <f t="shared" si="8"/>
        <v>91771</v>
      </c>
    </row>
    <row r="556" spans="1:10">
      <c r="A556" s="5">
        <v>199563</v>
      </c>
      <c r="B556" s="5" t="s">
        <v>10</v>
      </c>
      <c r="C556" s="5" t="s">
        <v>38</v>
      </c>
      <c r="D556" s="5" t="s">
        <v>33</v>
      </c>
      <c r="E556" s="5" t="s">
        <v>13</v>
      </c>
      <c r="F556" s="5" t="s">
        <v>14</v>
      </c>
      <c r="G556" s="5" t="s">
        <v>15</v>
      </c>
      <c r="H556" s="5">
        <v>101435</v>
      </c>
      <c r="I556" s="5">
        <v>582</v>
      </c>
      <c r="J556" s="6">
        <f t="shared" si="8"/>
        <v>100853</v>
      </c>
    </row>
    <row r="557" spans="1:10">
      <c r="A557" s="5">
        <v>66419</v>
      </c>
      <c r="B557" s="5" t="s">
        <v>16</v>
      </c>
      <c r="C557" s="5" t="s">
        <v>27</v>
      </c>
      <c r="D557" s="5" t="s">
        <v>12</v>
      </c>
      <c r="E557" s="5" t="s">
        <v>19</v>
      </c>
      <c r="F557" s="5" t="s">
        <v>14</v>
      </c>
      <c r="G557" s="5" t="s">
        <v>24</v>
      </c>
      <c r="H557" s="5">
        <v>47949</v>
      </c>
      <c r="I557" s="5">
        <v>1474</v>
      </c>
      <c r="J557" s="6">
        <f t="shared" si="8"/>
        <v>46475</v>
      </c>
    </row>
    <row r="558" spans="1:10">
      <c r="A558" s="5">
        <v>112035</v>
      </c>
      <c r="B558" s="5" t="s">
        <v>10</v>
      </c>
      <c r="C558" s="5" t="s">
        <v>17</v>
      </c>
      <c r="D558" s="5" t="s">
        <v>32</v>
      </c>
      <c r="E558" s="5" t="s">
        <v>19</v>
      </c>
      <c r="F558" s="5" t="s">
        <v>14</v>
      </c>
      <c r="G558" s="5" t="s">
        <v>24</v>
      </c>
      <c r="H558" s="5">
        <v>41048</v>
      </c>
      <c r="I558" s="5">
        <v>0</v>
      </c>
      <c r="J558" s="6">
        <f t="shared" si="8"/>
        <v>41048</v>
      </c>
    </row>
    <row r="559" spans="1:10">
      <c r="A559" s="5">
        <v>11311</v>
      </c>
      <c r="B559" s="5" t="s">
        <v>10</v>
      </c>
      <c r="C559" s="5" t="s">
        <v>20</v>
      </c>
      <c r="D559" s="5" t="s">
        <v>32</v>
      </c>
      <c r="E559" s="5" t="s">
        <v>13</v>
      </c>
      <c r="F559" s="5" t="s">
        <v>14</v>
      </c>
      <c r="G559" s="5" t="s">
        <v>15</v>
      </c>
      <c r="H559" s="5">
        <v>22108</v>
      </c>
      <c r="I559" s="5">
        <v>585</v>
      </c>
      <c r="J559" s="6">
        <f t="shared" si="8"/>
        <v>21523</v>
      </c>
    </row>
    <row r="560" spans="1:10">
      <c r="A560" s="5">
        <v>197314</v>
      </c>
      <c r="B560" s="5" t="s">
        <v>16</v>
      </c>
      <c r="C560" s="5" t="s">
        <v>22</v>
      </c>
      <c r="D560" s="5" t="s">
        <v>18</v>
      </c>
      <c r="E560" s="5" t="s">
        <v>13</v>
      </c>
      <c r="F560" s="5" t="s">
        <v>14</v>
      </c>
      <c r="G560" s="5" t="s">
        <v>15</v>
      </c>
      <c r="H560" s="5">
        <v>106867</v>
      </c>
      <c r="I560" s="5">
        <v>378</v>
      </c>
      <c r="J560" s="6">
        <f t="shared" si="8"/>
        <v>106489</v>
      </c>
    </row>
    <row r="561" spans="1:10">
      <c r="A561" s="5">
        <v>131871</v>
      </c>
      <c r="B561" s="5" t="s">
        <v>10</v>
      </c>
      <c r="C561" s="5" t="s">
        <v>35</v>
      </c>
      <c r="D561" s="5" t="s">
        <v>26</v>
      </c>
      <c r="E561" s="5" t="s">
        <v>13</v>
      </c>
      <c r="F561" s="5" t="s">
        <v>14</v>
      </c>
      <c r="G561" s="5" t="s">
        <v>24</v>
      </c>
      <c r="H561" s="5">
        <v>13695</v>
      </c>
      <c r="I561" s="5">
        <v>0</v>
      </c>
      <c r="J561" s="6">
        <f t="shared" si="8"/>
        <v>13695</v>
      </c>
    </row>
    <row r="562" spans="1:10">
      <c r="A562" s="5">
        <v>187322</v>
      </c>
      <c r="B562" s="5" t="s">
        <v>10</v>
      </c>
      <c r="C562" s="5" t="s">
        <v>39</v>
      </c>
      <c r="D562" s="5" t="s">
        <v>32</v>
      </c>
      <c r="E562" s="5" t="s">
        <v>13</v>
      </c>
      <c r="F562" s="5" t="s">
        <v>14</v>
      </c>
      <c r="G562" s="5" t="s">
        <v>24</v>
      </c>
      <c r="H562" s="5">
        <v>29608</v>
      </c>
      <c r="I562" s="5">
        <v>1642</v>
      </c>
      <c r="J562" s="6">
        <f t="shared" si="8"/>
        <v>27966</v>
      </c>
    </row>
    <row r="563" spans="1:10">
      <c r="A563" s="5">
        <v>85203</v>
      </c>
      <c r="B563" s="5" t="s">
        <v>10</v>
      </c>
      <c r="C563" s="5" t="s">
        <v>34</v>
      </c>
      <c r="D563" s="5" t="s">
        <v>12</v>
      </c>
      <c r="E563" s="5" t="s">
        <v>13</v>
      </c>
      <c r="F563" s="5" t="s">
        <v>14</v>
      </c>
      <c r="G563" s="5" t="s">
        <v>15</v>
      </c>
      <c r="H563" s="5">
        <v>135187</v>
      </c>
      <c r="I563" s="5">
        <v>1483</v>
      </c>
      <c r="J563" s="6">
        <f t="shared" si="8"/>
        <v>133704</v>
      </c>
    </row>
    <row r="564" spans="1:10">
      <c r="A564" s="5">
        <v>224455</v>
      </c>
      <c r="B564" s="5" t="s">
        <v>16</v>
      </c>
      <c r="C564" s="5" t="s">
        <v>11</v>
      </c>
      <c r="D564" s="5" t="s">
        <v>36</v>
      </c>
      <c r="E564" s="5" t="s">
        <v>13</v>
      </c>
      <c r="F564" s="5" t="s">
        <v>14</v>
      </c>
      <c r="G564" s="5" t="s">
        <v>15</v>
      </c>
      <c r="H564" s="5">
        <v>5448</v>
      </c>
      <c r="I564" s="5">
        <v>0</v>
      </c>
      <c r="J564" s="6">
        <f t="shared" si="8"/>
        <v>5448</v>
      </c>
    </row>
    <row r="565" spans="1:10">
      <c r="A565" s="5">
        <v>21467</v>
      </c>
      <c r="B565" s="5" t="s">
        <v>16</v>
      </c>
      <c r="C565" s="5" t="s">
        <v>11</v>
      </c>
      <c r="D565" s="5" t="s">
        <v>12</v>
      </c>
      <c r="E565" s="5" t="s">
        <v>13</v>
      </c>
      <c r="F565" s="5" t="s">
        <v>14</v>
      </c>
      <c r="G565" s="5" t="s">
        <v>15</v>
      </c>
      <c r="H565" s="5">
        <v>57626</v>
      </c>
      <c r="I565" s="5">
        <v>1361</v>
      </c>
      <c r="J565" s="6">
        <f t="shared" si="8"/>
        <v>56265</v>
      </c>
    </row>
    <row r="566" spans="1:10">
      <c r="A566" s="5">
        <v>243829</v>
      </c>
      <c r="B566" s="5" t="s">
        <v>10</v>
      </c>
      <c r="C566" s="5" t="s">
        <v>25</v>
      </c>
      <c r="D566" s="5" t="s">
        <v>23</v>
      </c>
      <c r="E566" s="5" t="s">
        <v>19</v>
      </c>
      <c r="F566" s="5" t="s">
        <v>14</v>
      </c>
      <c r="G566" s="5" t="s">
        <v>24</v>
      </c>
      <c r="H566" s="5">
        <v>21353</v>
      </c>
      <c r="I566" s="5">
        <v>318</v>
      </c>
      <c r="J566" s="6">
        <f t="shared" si="8"/>
        <v>21035</v>
      </c>
    </row>
    <row r="567" spans="1:10">
      <c r="A567" s="5">
        <v>144949</v>
      </c>
      <c r="B567" s="5" t="s">
        <v>16</v>
      </c>
      <c r="C567" s="5" t="s">
        <v>22</v>
      </c>
      <c r="D567" s="5" t="s">
        <v>33</v>
      </c>
      <c r="E567" s="5" t="s">
        <v>19</v>
      </c>
      <c r="F567" s="5" t="s">
        <v>14</v>
      </c>
      <c r="G567" s="5" t="s">
        <v>24</v>
      </c>
      <c r="H567" s="5">
        <v>40308</v>
      </c>
      <c r="I567" s="5">
        <v>4473</v>
      </c>
      <c r="J567" s="6">
        <f t="shared" si="8"/>
        <v>35835</v>
      </c>
    </row>
    <row r="568" spans="1:10">
      <c r="A568" s="5">
        <v>235712</v>
      </c>
      <c r="B568" s="5" t="s">
        <v>16</v>
      </c>
      <c r="C568" s="5" t="s">
        <v>17</v>
      </c>
      <c r="D568" s="5" t="s">
        <v>33</v>
      </c>
      <c r="E568" s="5" t="s">
        <v>19</v>
      </c>
      <c r="F568" s="5" t="s">
        <v>14</v>
      </c>
      <c r="G568" s="5" t="s">
        <v>15</v>
      </c>
      <c r="H568" s="5">
        <v>59108</v>
      </c>
      <c r="I568" s="5">
        <v>2907</v>
      </c>
      <c r="J568" s="6">
        <f t="shared" si="8"/>
        <v>56201</v>
      </c>
    </row>
    <row r="569" spans="1:10">
      <c r="A569" s="5">
        <v>147336</v>
      </c>
      <c r="B569" s="5" t="s">
        <v>16</v>
      </c>
      <c r="C569" s="5" t="s">
        <v>25</v>
      </c>
      <c r="D569" s="5" t="s">
        <v>18</v>
      </c>
      <c r="E569" s="5" t="s">
        <v>13</v>
      </c>
      <c r="F569" s="5" t="s">
        <v>14</v>
      </c>
      <c r="G569" s="5" t="s">
        <v>24</v>
      </c>
      <c r="H569" s="5">
        <v>30611</v>
      </c>
      <c r="I569" s="5">
        <v>330</v>
      </c>
      <c r="J569" s="6">
        <f t="shared" si="8"/>
        <v>30281</v>
      </c>
    </row>
    <row r="570" spans="1:10">
      <c r="A570" s="5">
        <v>121735</v>
      </c>
      <c r="B570" s="5" t="s">
        <v>16</v>
      </c>
      <c r="C570" s="5" t="s">
        <v>11</v>
      </c>
      <c r="D570" s="5" t="s">
        <v>33</v>
      </c>
      <c r="E570" s="5" t="s">
        <v>13</v>
      </c>
      <c r="F570" s="5" t="s">
        <v>14</v>
      </c>
      <c r="G570" s="5" t="s">
        <v>15</v>
      </c>
      <c r="H570" s="5">
        <v>63198</v>
      </c>
      <c r="I570" s="5">
        <v>1036</v>
      </c>
      <c r="J570" s="6">
        <f t="shared" si="8"/>
        <v>62162</v>
      </c>
    </row>
    <row r="571" spans="1:10">
      <c r="A571" s="5">
        <v>212466</v>
      </c>
      <c r="B571" s="5" t="s">
        <v>16</v>
      </c>
      <c r="C571" s="5" t="s">
        <v>34</v>
      </c>
      <c r="D571" s="5" t="s">
        <v>26</v>
      </c>
      <c r="E571" s="5" t="s">
        <v>13</v>
      </c>
      <c r="F571" s="5" t="s">
        <v>28</v>
      </c>
      <c r="G571" s="5" t="s">
        <v>15</v>
      </c>
      <c r="H571" s="5">
        <v>19465</v>
      </c>
      <c r="I571" s="5">
        <v>340</v>
      </c>
      <c r="J571" s="6">
        <f t="shared" si="8"/>
        <v>19125</v>
      </c>
    </row>
    <row r="572" spans="1:10">
      <c r="A572" s="5">
        <v>254634</v>
      </c>
      <c r="B572" s="5" t="s">
        <v>10</v>
      </c>
      <c r="C572" s="5" t="s">
        <v>25</v>
      </c>
      <c r="D572" s="5" t="s">
        <v>30</v>
      </c>
      <c r="E572" s="5" t="s">
        <v>19</v>
      </c>
      <c r="F572" s="5" t="s">
        <v>14</v>
      </c>
      <c r="G572" s="5" t="s">
        <v>24</v>
      </c>
      <c r="H572" s="5">
        <v>42883</v>
      </c>
      <c r="I572" s="5">
        <v>3280</v>
      </c>
      <c r="J572" s="6">
        <f t="shared" si="8"/>
        <v>39603</v>
      </c>
    </row>
    <row r="573" spans="1:10">
      <c r="A573" s="5">
        <v>122603</v>
      </c>
      <c r="B573" s="5" t="s">
        <v>10</v>
      </c>
      <c r="C573" s="5" t="s">
        <v>25</v>
      </c>
      <c r="D573" s="5" t="s">
        <v>23</v>
      </c>
      <c r="E573" s="5" t="s">
        <v>19</v>
      </c>
      <c r="F573" s="5" t="s">
        <v>14</v>
      </c>
      <c r="G573" s="5" t="s">
        <v>15</v>
      </c>
      <c r="H573" s="5">
        <v>119172</v>
      </c>
      <c r="I573" s="5">
        <v>1221</v>
      </c>
      <c r="J573" s="6">
        <f t="shared" si="8"/>
        <v>117951</v>
      </c>
    </row>
    <row r="574" spans="1:10">
      <c r="A574" s="5">
        <v>243100</v>
      </c>
      <c r="B574" s="5" t="s">
        <v>16</v>
      </c>
      <c r="C574" s="5" t="s">
        <v>35</v>
      </c>
      <c r="D574" s="5" t="s">
        <v>12</v>
      </c>
      <c r="E574" s="5" t="s">
        <v>13</v>
      </c>
      <c r="F574" s="5" t="s">
        <v>14</v>
      </c>
      <c r="G574" s="5" t="s">
        <v>15</v>
      </c>
      <c r="H574" s="5">
        <v>66396</v>
      </c>
      <c r="I574" s="5">
        <v>2218</v>
      </c>
      <c r="J574" s="6">
        <f t="shared" si="8"/>
        <v>64178</v>
      </c>
    </row>
    <row r="575" spans="1:10">
      <c r="A575" s="5">
        <v>61103</v>
      </c>
      <c r="B575" s="5" t="s">
        <v>10</v>
      </c>
      <c r="C575" s="5" t="s">
        <v>27</v>
      </c>
      <c r="D575" s="5" t="s">
        <v>12</v>
      </c>
      <c r="E575" s="5" t="s">
        <v>13</v>
      </c>
      <c r="F575" s="5" t="s">
        <v>14</v>
      </c>
      <c r="G575" s="5" t="s">
        <v>15</v>
      </c>
      <c r="H575" s="5">
        <v>137693</v>
      </c>
      <c r="I575" s="5">
        <v>13658</v>
      </c>
      <c r="J575" s="6">
        <f t="shared" si="8"/>
        <v>124035</v>
      </c>
    </row>
    <row r="576" spans="1:10">
      <c r="A576" s="5">
        <v>205433</v>
      </c>
      <c r="B576" s="5" t="s">
        <v>10</v>
      </c>
      <c r="C576" s="5" t="s">
        <v>34</v>
      </c>
      <c r="D576" s="5" t="s">
        <v>18</v>
      </c>
      <c r="E576" s="5" t="s">
        <v>13</v>
      </c>
      <c r="F576" s="5" t="s">
        <v>14</v>
      </c>
      <c r="G576" s="5" t="s">
        <v>15</v>
      </c>
      <c r="H576" s="5">
        <v>87853</v>
      </c>
      <c r="I576" s="5">
        <v>9952</v>
      </c>
      <c r="J576" s="6">
        <f t="shared" si="8"/>
        <v>77901</v>
      </c>
    </row>
    <row r="577" spans="1:10">
      <c r="A577" s="5">
        <v>201186</v>
      </c>
      <c r="B577" s="5" t="s">
        <v>10</v>
      </c>
      <c r="C577" s="5" t="s">
        <v>38</v>
      </c>
      <c r="D577" s="5" t="s">
        <v>18</v>
      </c>
      <c r="E577" s="5" t="s">
        <v>19</v>
      </c>
      <c r="F577" s="5" t="s">
        <v>14</v>
      </c>
      <c r="G577" s="5" t="s">
        <v>15</v>
      </c>
      <c r="H577" s="5">
        <v>9631</v>
      </c>
      <c r="I577" s="5">
        <v>1085</v>
      </c>
      <c r="J577" s="6">
        <f t="shared" si="8"/>
        <v>8546</v>
      </c>
    </row>
    <row r="578" spans="1:10">
      <c r="A578" s="5">
        <v>193407</v>
      </c>
      <c r="B578" s="5" t="s">
        <v>10</v>
      </c>
      <c r="C578" s="5" t="s">
        <v>34</v>
      </c>
      <c r="D578" s="5" t="s">
        <v>29</v>
      </c>
      <c r="E578" s="5" t="s">
        <v>13</v>
      </c>
      <c r="F578" s="5" t="s">
        <v>14</v>
      </c>
      <c r="G578" s="5" t="s">
        <v>24</v>
      </c>
      <c r="H578" s="5">
        <v>80250</v>
      </c>
      <c r="I578" s="5">
        <v>20903</v>
      </c>
      <c r="J578" s="6">
        <f t="shared" ref="J578:J641" si="9">H578-I578</f>
        <v>59347</v>
      </c>
    </row>
    <row r="579" spans="1:10">
      <c r="A579" s="5">
        <v>1849</v>
      </c>
      <c r="B579" s="5" t="s">
        <v>10</v>
      </c>
      <c r="C579" s="5" t="s">
        <v>39</v>
      </c>
      <c r="D579" s="5" t="s">
        <v>23</v>
      </c>
      <c r="E579" s="5" t="s">
        <v>13</v>
      </c>
      <c r="F579" s="5" t="s">
        <v>14</v>
      </c>
      <c r="G579" s="5" t="s">
        <v>15</v>
      </c>
      <c r="H579" s="5">
        <v>34933</v>
      </c>
      <c r="I579" s="5">
        <v>1920</v>
      </c>
      <c r="J579" s="6">
        <f t="shared" si="9"/>
        <v>33013</v>
      </c>
    </row>
    <row r="580" spans="1:10">
      <c r="A580" s="5">
        <v>29995</v>
      </c>
      <c r="B580" s="5" t="s">
        <v>16</v>
      </c>
      <c r="C580" s="5" t="s">
        <v>35</v>
      </c>
      <c r="D580" s="5" t="s">
        <v>33</v>
      </c>
      <c r="E580" s="5" t="s">
        <v>13</v>
      </c>
      <c r="F580" s="5" t="s">
        <v>14</v>
      </c>
      <c r="G580" s="5" t="s">
        <v>15</v>
      </c>
      <c r="H580" s="5">
        <v>237801</v>
      </c>
      <c r="I580" s="5">
        <v>832</v>
      </c>
      <c r="J580" s="6">
        <f t="shared" si="9"/>
        <v>236969</v>
      </c>
    </row>
    <row r="581" spans="1:10">
      <c r="A581" s="5">
        <v>167309</v>
      </c>
      <c r="B581" s="5" t="s">
        <v>16</v>
      </c>
      <c r="C581" s="5" t="s">
        <v>22</v>
      </c>
      <c r="D581" s="5" t="s">
        <v>33</v>
      </c>
      <c r="E581" s="5" t="s">
        <v>13</v>
      </c>
      <c r="F581" s="5" t="s">
        <v>14</v>
      </c>
      <c r="G581" s="5" t="s">
        <v>15</v>
      </c>
      <c r="H581" s="5">
        <v>81663</v>
      </c>
      <c r="I581" s="5">
        <v>1090</v>
      </c>
      <c r="J581" s="6">
        <f t="shared" si="9"/>
        <v>80573</v>
      </c>
    </row>
    <row r="582" spans="1:10">
      <c r="A582" s="5">
        <v>184813</v>
      </c>
      <c r="B582" s="5" t="s">
        <v>10</v>
      </c>
      <c r="C582" s="5" t="s">
        <v>34</v>
      </c>
      <c r="D582" s="5" t="s">
        <v>32</v>
      </c>
      <c r="E582" s="5" t="s">
        <v>19</v>
      </c>
      <c r="F582" s="5" t="s">
        <v>14</v>
      </c>
      <c r="G582" s="5" t="s">
        <v>15</v>
      </c>
      <c r="H582" s="5">
        <v>91021</v>
      </c>
      <c r="I582" s="5">
        <v>865</v>
      </c>
      <c r="J582" s="6">
        <f t="shared" si="9"/>
        <v>90156</v>
      </c>
    </row>
    <row r="583" spans="1:10">
      <c r="A583" s="5">
        <v>169601</v>
      </c>
      <c r="B583" s="5" t="s">
        <v>16</v>
      </c>
      <c r="C583" s="5" t="s">
        <v>34</v>
      </c>
      <c r="D583" s="5" t="s">
        <v>32</v>
      </c>
      <c r="E583" s="5" t="s">
        <v>19</v>
      </c>
      <c r="F583" s="5" t="s">
        <v>14</v>
      </c>
      <c r="G583" s="5" t="s">
        <v>15</v>
      </c>
      <c r="H583" s="5">
        <v>4044</v>
      </c>
      <c r="I583" s="5">
        <v>378</v>
      </c>
      <c r="J583" s="6">
        <f t="shared" si="9"/>
        <v>3666</v>
      </c>
    </row>
    <row r="584" spans="1:10">
      <c r="A584" s="5">
        <v>54095</v>
      </c>
      <c r="B584" s="5" t="s">
        <v>16</v>
      </c>
      <c r="C584" s="5" t="s">
        <v>35</v>
      </c>
      <c r="D584" s="5" t="s">
        <v>33</v>
      </c>
      <c r="E584" s="5" t="s">
        <v>13</v>
      </c>
      <c r="F584" s="5" t="s">
        <v>14</v>
      </c>
      <c r="G584" s="5" t="s">
        <v>15</v>
      </c>
      <c r="H584" s="5">
        <v>5990</v>
      </c>
      <c r="I584" s="5">
        <v>271</v>
      </c>
      <c r="J584" s="6">
        <f t="shared" si="9"/>
        <v>5719</v>
      </c>
    </row>
    <row r="585" spans="1:10">
      <c r="A585" s="5">
        <v>169039</v>
      </c>
      <c r="B585" s="5" t="s">
        <v>10</v>
      </c>
      <c r="C585" s="5" t="s">
        <v>38</v>
      </c>
      <c r="D585" s="5" t="s">
        <v>21</v>
      </c>
      <c r="E585" s="5" t="s">
        <v>19</v>
      </c>
      <c r="F585" s="5" t="s">
        <v>14</v>
      </c>
      <c r="G585" s="5" t="s">
        <v>24</v>
      </c>
      <c r="H585" s="5">
        <v>62292</v>
      </c>
      <c r="I585" s="5">
        <v>896</v>
      </c>
      <c r="J585" s="6">
        <f t="shared" si="9"/>
        <v>61396</v>
      </c>
    </row>
    <row r="586" spans="1:10">
      <c r="A586" s="5">
        <v>204571</v>
      </c>
      <c r="B586" s="5" t="s">
        <v>16</v>
      </c>
      <c r="C586" s="5" t="s">
        <v>34</v>
      </c>
      <c r="D586" s="5" t="s">
        <v>30</v>
      </c>
      <c r="E586" s="5" t="s">
        <v>19</v>
      </c>
      <c r="F586" s="5" t="s">
        <v>14</v>
      </c>
      <c r="G586" s="5" t="s">
        <v>24</v>
      </c>
      <c r="H586" s="5">
        <v>105916</v>
      </c>
      <c r="I586" s="5">
        <v>2762</v>
      </c>
      <c r="J586" s="6">
        <f t="shared" si="9"/>
        <v>103154</v>
      </c>
    </row>
    <row r="587" spans="1:10">
      <c r="A587" s="5">
        <v>60814</v>
      </c>
      <c r="B587" s="5" t="s">
        <v>16</v>
      </c>
      <c r="C587" s="5" t="s">
        <v>11</v>
      </c>
      <c r="D587" s="5" t="s">
        <v>33</v>
      </c>
      <c r="E587" s="5" t="s">
        <v>13</v>
      </c>
      <c r="F587" s="5" t="s">
        <v>14</v>
      </c>
      <c r="G587" s="5" t="s">
        <v>15</v>
      </c>
      <c r="H587" s="5">
        <v>47672</v>
      </c>
      <c r="I587" s="5">
        <v>140</v>
      </c>
      <c r="J587" s="6">
        <f t="shared" si="9"/>
        <v>47532</v>
      </c>
    </row>
    <row r="588" spans="1:10">
      <c r="A588" s="5">
        <v>16942</v>
      </c>
      <c r="B588" s="5" t="s">
        <v>16</v>
      </c>
      <c r="C588" s="5" t="s">
        <v>20</v>
      </c>
      <c r="D588" s="5" t="s">
        <v>32</v>
      </c>
      <c r="E588" s="5" t="s">
        <v>13</v>
      </c>
      <c r="F588" s="5" t="s">
        <v>14</v>
      </c>
      <c r="G588" s="5" t="s">
        <v>15</v>
      </c>
      <c r="H588" s="5">
        <v>24936</v>
      </c>
      <c r="I588" s="5">
        <v>0</v>
      </c>
      <c r="J588" s="6">
        <f t="shared" si="9"/>
        <v>24936</v>
      </c>
    </row>
    <row r="589" spans="1:10">
      <c r="A589" s="5">
        <v>7186</v>
      </c>
      <c r="B589" s="5" t="s">
        <v>16</v>
      </c>
      <c r="C589" s="5" t="s">
        <v>38</v>
      </c>
      <c r="D589" s="5" t="s">
        <v>32</v>
      </c>
      <c r="E589" s="5" t="s">
        <v>13</v>
      </c>
      <c r="F589" s="5" t="s">
        <v>14</v>
      </c>
      <c r="G589" s="5" t="s">
        <v>15</v>
      </c>
      <c r="H589" s="5">
        <v>39321</v>
      </c>
      <c r="I589" s="5">
        <v>5554</v>
      </c>
      <c r="J589" s="6">
        <f t="shared" si="9"/>
        <v>33767</v>
      </c>
    </row>
    <row r="590" spans="1:10">
      <c r="A590" s="5">
        <v>70782</v>
      </c>
      <c r="B590" s="5" t="s">
        <v>16</v>
      </c>
      <c r="C590" s="5" t="s">
        <v>35</v>
      </c>
      <c r="D590" s="5" t="s">
        <v>32</v>
      </c>
      <c r="E590" s="5" t="s">
        <v>13</v>
      </c>
      <c r="F590" s="5" t="s">
        <v>14</v>
      </c>
      <c r="G590" s="5" t="s">
        <v>15</v>
      </c>
      <c r="H590" s="5">
        <v>31208</v>
      </c>
      <c r="I590" s="5">
        <v>0</v>
      </c>
      <c r="J590" s="6">
        <f t="shared" si="9"/>
        <v>31208</v>
      </c>
    </row>
    <row r="591" spans="1:10">
      <c r="A591" s="5">
        <v>215322</v>
      </c>
      <c r="B591" s="5" t="s">
        <v>10</v>
      </c>
      <c r="C591" s="5" t="s">
        <v>20</v>
      </c>
      <c r="D591" s="5" t="s">
        <v>32</v>
      </c>
      <c r="E591" s="5" t="s">
        <v>19</v>
      </c>
      <c r="F591" s="5" t="s">
        <v>28</v>
      </c>
      <c r="G591" s="5" t="s">
        <v>24</v>
      </c>
      <c r="H591" s="5">
        <v>821</v>
      </c>
      <c r="I591" s="5">
        <v>0</v>
      </c>
      <c r="J591" s="6">
        <f t="shared" si="9"/>
        <v>821</v>
      </c>
    </row>
    <row r="592" spans="1:10">
      <c r="A592" s="5">
        <v>234306</v>
      </c>
      <c r="B592" s="5" t="s">
        <v>16</v>
      </c>
      <c r="C592" s="5" t="s">
        <v>25</v>
      </c>
      <c r="D592" s="5" t="s">
        <v>30</v>
      </c>
      <c r="E592" s="5" t="s">
        <v>19</v>
      </c>
      <c r="F592" s="5" t="s">
        <v>28</v>
      </c>
      <c r="G592" s="5" t="s">
        <v>15</v>
      </c>
      <c r="H592" s="5">
        <v>54942</v>
      </c>
      <c r="I592" s="5">
        <v>4936</v>
      </c>
      <c r="J592" s="6">
        <f t="shared" si="9"/>
        <v>50006</v>
      </c>
    </row>
    <row r="593" spans="1:10">
      <c r="A593" s="5">
        <v>96703</v>
      </c>
      <c r="B593" s="5" t="s">
        <v>16</v>
      </c>
      <c r="C593" s="5" t="s">
        <v>37</v>
      </c>
      <c r="D593" s="5" t="s">
        <v>36</v>
      </c>
      <c r="E593" s="5" t="s">
        <v>13</v>
      </c>
      <c r="F593" s="5" t="s">
        <v>14</v>
      </c>
      <c r="G593" s="5" t="s">
        <v>15</v>
      </c>
      <c r="H593" s="5">
        <v>83915</v>
      </c>
      <c r="I593" s="5">
        <v>867</v>
      </c>
      <c r="J593" s="6">
        <f t="shared" si="9"/>
        <v>83048</v>
      </c>
    </row>
    <row r="594" spans="1:10">
      <c r="A594" s="5">
        <v>208085</v>
      </c>
      <c r="B594" s="5" t="s">
        <v>10</v>
      </c>
      <c r="C594" s="5" t="s">
        <v>38</v>
      </c>
      <c r="D594" s="5" t="s">
        <v>32</v>
      </c>
      <c r="E594" s="5" t="s">
        <v>19</v>
      </c>
      <c r="F594" s="5" t="s">
        <v>28</v>
      </c>
      <c r="G594" s="5" t="s">
        <v>24</v>
      </c>
      <c r="H594" s="5">
        <v>1681</v>
      </c>
      <c r="I594" s="5">
        <v>0</v>
      </c>
      <c r="J594" s="6">
        <f t="shared" si="9"/>
        <v>1681</v>
      </c>
    </row>
    <row r="595" spans="1:10">
      <c r="A595" s="5">
        <v>16984</v>
      </c>
      <c r="B595" s="5" t="s">
        <v>10</v>
      </c>
      <c r="C595" s="5" t="s">
        <v>11</v>
      </c>
      <c r="D595" s="5" t="s">
        <v>33</v>
      </c>
      <c r="E595" s="5" t="s">
        <v>13</v>
      </c>
      <c r="F595" s="5" t="s">
        <v>14</v>
      </c>
      <c r="G595" s="5" t="s">
        <v>15</v>
      </c>
      <c r="H595" s="5">
        <v>145000</v>
      </c>
      <c r="I595" s="5">
        <v>5396</v>
      </c>
      <c r="J595" s="6">
        <f t="shared" si="9"/>
        <v>139604</v>
      </c>
    </row>
    <row r="596" spans="1:10">
      <c r="A596" s="5">
        <v>237682</v>
      </c>
      <c r="B596" s="5" t="s">
        <v>10</v>
      </c>
      <c r="C596" s="5" t="s">
        <v>25</v>
      </c>
      <c r="D596" s="5" t="s">
        <v>23</v>
      </c>
      <c r="E596" s="5" t="s">
        <v>19</v>
      </c>
      <c r="F596" s="5" t="s">
        <v>14</v>
      </c>
      <c r="G596" s="5" t="s">
        <v>24</v>
      </c>
      <c r="H596" s="5">
        <v>48411</v>
      </c>
      <c r="I596" s="5">
        <v>5010</v>
      </c>
      <c r="J596" s="6">
        <f t="shared" si="9"/>
        <v>43401</v>
      </c>
    </row>
    <row r="597" spans="1:10">
      <c r="A597" s="5">
        <v>216659</v>
      </c>
      <c r="B597" s="5" t="s">
        <v>16</v>
      </c>
      <c r="C597" s="5" t="s">
        <v>34</v>
      </c>
      <c r="D597" s="5" t="s">
        <v>18</v>
      </c>
      <c r="E597" s="5" t="s">
        <v>13</v>
      </c>
      <c r="F597" s="5" t="s">
        <v>14</v>
      </c>
      <c r="G597" s="5" t="s">
        <v>15</v>
      </c>
      <c r="H597" s="5">
        <v>40311</v>
      </c>
      <c r="I597" s="5">
        <v>232</v>
      </c>
      <c r="J597" s="6">
        <f t="shared" si="9"/>
        <v>40079</v>
      </c>
    </row>
    <row r="598" spans="1:10">
      <c r="A598" s="5">
        <v>19279</v>
      </c>
      <c r="B598" s="5" t="s">
        <v>10</v>
      </c>
      <c r="C598" s="5" t="s">
        <v>11</v>
      </c>
      <c r="D598" s="5" t="s">
        <v>23</v>
      </c>
      <c r="E598" s="5" t="s">
        <v>13</v>
      </c>
      <c r="F598" s="5" t="s">
        <v>14</v>
      </c>
      <c r="G598" s="5" t="s">
        <v>24</v>
      </c>
      <c r="H598" s="5">
        <v>105741</v>
      </c>
      <c r="I598" s="5">
        <v>8422</v>
      </c>
      <c r="J598" s="6">
        <f t="shared" si="9"/>
        <v>97319</v>
      </c>
    </row>
    <row r="599" spans="1:10">
      <c r="A599" s="5">
        <v>133859</v>
      </c>
      <c r="B599" s="5" t="s">
        <v>10</v>
      </c>
      <c r="C599" s="5" t="s">
        <v>27</v>
      </c>
      <c r="D599" s="5" t="s">
        <v>26</v>
      </c>
      <c r="E599" s="5" t="s">
        <v>19</v>
      </c>
      <c r="F599" s="5" t="s">
        <v>14</v>
      </c>
      <c r="G599" s="5" t="s">
        <v>24</v>
      </c>
      <c r="H599" s="5">
        <v>33833</v>
      </c>
      <c r="I599" s="5">
        <v>5360</v>
      </c>
      <c r="J599" s="6">
        <f t="shared" si="9"/>
        <v>28473</v>
      </c>
    </row>
    <row r="600" spans="1:10">
      <c r="A600" s="5">
        <v>52974</v>
      </c>
      <c r="B600" s="5" t="s">
        <v>10</v>
      </c>
      <c r="C600" s="5" t="s">
        <v>22</v>
      </c>
      <c r="D600" s="5" t="s">
        <v>12</v>
      </c>
      <c r="E600" s="5" t="s">
        <v>19</v>
      </c>
      <c r="F600" s="5" t="s">
        <v>14</v>
      </c>
      <c r="G600" s="5" t="s">
        <v>15</v>
      </c>
      <c r="H600" s="5">
        <v>39456</v>
      </c>
      <c r="I600" s="5">
        <v>268</v>
      </c>
      <c r="J600" s="6">
        <f t="shared" si="9"/>
        <v>39188</v>
      </c>
    </row>
    <row r="601" spans="1:10">
      <c r="A601" s="5">
        <v>44024</v>
      </c>
      <c r="B601" s="5" t="s">
        <v>10</v>
      </c>
      <c r="C601" s="5" t="s">
        <v>35</v>
      </c>
      <c r="D601" s="5" t="s">
        <v>30</v>
      </c>
      <c r="E601" s="5" t="s">
        <v>13</v>
      </c>
      <c r="F601" s="5" t="s">
        <v>14</v>
      </c>
      <c r="G601" s="5" t="s">
        <v>15</v>
      </c>
      <c r="H601" s="5">
        <v>133990</v>
      </c>
      <c r="I601" s="5">
        <v>4877</v>
      </c>
      <c r="J601" s="6">
        <f t="shared" si="9"/>
        <v>129113</v>
      </c>
    </row>
    <row r="602" spans="1:10">
      <c r="A602" s="5">
        <v>18299</v>
      </c>
      <c r="B602" s="5" t="s">
        <v>16</v>
      </c>
      <c r="C602" s="5" t="s">
        <v>11</v>
      </c>
      <c r="D602" s="5" t="s">
        <v>18</v>
      </c>
      <c r="E602" s="5" t="s">
        <v>13</v>
      </c>
      <c r="F602" s="5" t="s">
        <v>28</v>
      </c>
      <c r="G602" s="5" t="s">
        <v>15</v>
      </c>
      <c r="H602" s="5">
        <v>22587</v>
      </c>
      <c r="I602" s="5">
        <v>704</v>
      </c>
      <c r="J602" s="6">
        <f t="shared" si="9"/>
        <v>21883</v>
      </c>
    </row>
    <row r="603" spans="1:10">
      <c r="A603" s="5">
        <v>195062</v>
      </c>
      <c r="B603" s="5" t="s">
        <v>16</v>
      </c>
      <c r="C603" s="5" t="s">
        <v>38</v>
      </c>
      <c r="D603" s="5" t="s">
        <v>32</v>
      </c>
      <c r="E603" s="5" t="s">
        <v>13</v>
      </c>
      <c r="F603" s="5" t="s">
        <v>14</v>
      </c>
      <c r="G603" s="5" t="s">
        <v>15</v>
      </c>
      <c r="H603" s="5">
        <v>4439</v>
      </c>
      <c r="I603" s="5">
        <v>406</v>
      </c>
      <c r="J603" s="6">
        <f t="shared" si="9"/>
        <v>4033</v>
      </c>
    </row>
    <row r="604" spans="1:10">
      <c r="A604" s="5">
        <v>55242</v>
      </c>
      <c r="B604" s="5" t="s">
        <v>10</v>
      </c>
      <c r="C604" s="5" t="s">
        <v>35</v>
      </c>
      <c r="D604" s="5" t="s">
        <v>30</v>
      </c>
      <c r="E604" s="5" t="s">
        <v>13</v>
      </c>
      <c r="F604" s="5" t="s">
        <v>14</v>
      </c>
      <c r="G604" s="5" t="s">
        <v>15</v>
      </c>
      <c r="H604" s="5">
        <v>88399</v>
      </c>
      <c r="I604" s="5">
        <v>4158</v>
      </c>
      <c r="J604" s="6">
        <f t="shared" si="9"/>
        <v>84241</v>
      </c>
    </row>
    <row r="605" spans="1:10">
      <c r="A605" s="5">
        <v>129342</v>
      </c>
      <c r="B605" s="5" t="s">
        <v>16</v>
      </c>
      <c r="C605" s="5" t="s">
        <v>22</v>
      </c>
      <c r="D605" s="5" t="s">
        <v>33</v>
      </c>
      <c r="E605" s="5" t="s">
        <v>19</v>
      </c>
      <c r="F605" s="5" t="s">
        <v>28</v>
      </c>
      <c r="G605" s="5" t="s">
        <v>15</v>
      </c>
      <c r="H605" s="5">
        <v>59934</v>
      </c>
      <c r="I605" s="5">
        <v>184</v>
      </c>
      <c r="J605" s="6">
        <f t="shared" si="9"/>
        <v>59750</v>
      </c>
    </row>
    <row r="606" spans="1:10">
      <c r="A606" s="5">
        <v>137262</v>
      </c>
      <c r="B606" s="5" t="s">
        <v>10</v>
      </c>
      <c r="C606" s="5" t="s">
        <v>22</v>
      </c>
      <c r="D606" s="5" t="s">
        <v>30</v>
      </c>
      <c r="E606" s="5" t="s">
        <v>19</v>
      </c>
      <c r="F606" s="5" t="s">
        <v>14</v>
      </c>
      <c r="G606" s="5" t="s">
        <v>15</v>
      </c>
      <c r="H606" s="5">
        <v>142548</v>
      </c>
      <c r="I606" s="5">
        <v>7507</v>
      </c>
      <c r="J606" s="6">
        <f t="shared" si="9"/>
        <v>135041</v>
      </c>
    </row>
    <row r="607" spans="1:10">
      <c r="A607" s="5">
        <v>127619</v>
      </c>
      <c r="B607" s="5" t="s">
        <v>10</v>
      </c>
      <c r="C607" s="5" t="s">
        <v>22</v>
      </c>
      <c r="D607" s="5" t="s">
        <v>30</v>
      </c>
      <c r="E607" s="5" t="s">
        <v>13</v>
      </c>
      <c r="F607" s="5" t="s">
        <v>14</v>
      </c>
      <c r="G607" s="5" t="s">
        <v>15</v>
      </c>
      <c r="H607" s="5">
        <v>82428</v>
      </c>
      <c r="I607" s="5">
        <v>3086</v>
      </c>
      <c r="J607" s="6">
        <f t="shared" si="9"/>
        <v>79342</v>
      </c>
    </row>
    <row r="608" spans="1:10">
      <c r="A608" s="5">
        <v>172619</v>
      </c>
      <c r="B608" s="5" t="s">
        <v>10</v>
      </c>
      <c r="C608" s="5" t="s">
        <v>31</v>
      </c>
      <c r="D608" s="5" t="s">
        <v>36</v>
      </c>
      <c r="E608" s="5" t="s">
        <v>19</v>
      </c>
      <c r="F608" s="5" t="s">
        <v>14</v>
      </c>
      <c r="G608" s="5" t="s">
        <v>24</v>
      </c>
      <c r="H608" s="5">
        <v>13129</v>
      </c>
      <c r="I608" s="5">
        <v>0</v>
      </c>
      <c r="J608" s="6">
        <f t="shared" si="9"/>
        <v>13129</v>
      </c>
    </row>
    <row r="609" spans="1:10">
      <c r="A609" s="5">
        <v>121225</v>
      </c>
      <c r="B609" s="5" t="s">
        <v>16</v>
      </c>
      <c r="C609" s="5" t="s">
        <v>35</v>
      </c>
      <c r="D609" s="5" t="s">
        <v>32</v>
      </c>
      <c r="E609" s="5" t="s">
        <v>13</v>
      </c>
      <c r="F609" s="5" t="s">
        <v>14</v>
      </c>
      <c r="G609" s="5" t="s">
        <v>24</v>
      </c>
      <c r="H609" s="5">
        <v>15146</v>
      </c>
      <c r="I609" s="5">
        <v>507</v>
      </c>
      <c r="J609" s="6">
        <f t="shared" si="9"/>
        <v>14639</v>
      </c>
    </row>
    <row r="610" spans="1:10">
      <c r="A610" s="5">
        <v>28463</v>
      </c>
      <c r="B610" s="5" t="s">
        <v>10</v>
      </c>
      <c r="C610" s="5" t="s">
        <v>11</v>
      </c>
      <c r="D610" s="5" t="s">
        <v>12</v>
      </c>
      <c r="E610" s="5" t="s">
        <v>13</v>
      </c>
      <c r="F610" s="5" t="s">
        <v>14</v>
      </c>
      <c r="G610" s="5" t="s">
        <v>15</v>
      </c>
      <c r="H610" s="5">
        <v>60783</v>
      </c>
      <c r="I610" s="5">
        <v>1813</v>
      </c>
      <c r="J610" s="6">
        <f t="shared" si="9"/>
        <v>58970</v>
      </c>
    </row>
    <row r="611" spans="1:10">
      <c r="A611" s="5">
        <v>63865</v>
      </c>
      <c r="B611" s="5" t="s">
        <v>16</v>
      </c>
      <c r="C611" s="5" t="s">
        <v>27</v>
      </c>
      <c r="D611" s="5" t="s">
        <v>32</v>
      </c>
      <c r="E611" s="5" t="s">
        <v>13</v>
      </c>
      <c r="F611" s="5" t="s">
        <v>14</v>
      </c>
      <c r="G611" s="5" t="s">
        <v>15</v>
      </c>
      <c r="H611" s="5">
        <v>177</v>
      </c>
      <c r="I611" s="5">
        <v>0</v>
      </c>
      <c r="J611" s="6">
        <f t="shared" si="9"/>
        <v>177</v>
      </c>
    </row>
    <row r="612" spans="1:10">
      <c r="A612" s="5">
        <v>187357</v>
      </c>
      <c r="B612" s="5" t="s">
        <v>10</v>
      </c>
      <c r="C612" s="5" t="s">
        <v>20</v>
      </c>
      <c r="D612" s="5" t="s">
        <v>32</v>
      </c>
      <c r="E612" s="5" t="s">
        <v>19</v>
      </c>
      <c r="F612" s="5" t="s">
        <v>28</v>
      </c>
      <c r="G612" s="5" t="s">
        <v>24</v>
      </c>
      <c r="H612" s="5">
        <v>21706</v>
      </c>
      <c r="I612" s="5">
        <v>408</v>
      </c>
      <c r="J612" s="6">
        <f t="shared" si="9"/>
        <v>21298</v>
      </c>
    </row>
    <row r="613" spans="1:10">
      <c r="A613" s="5">
        <v>55997</v>
      </c>
      <c r="B613" s="5" t="s">
        <v>10</v>
      </c>
      <c r="C613" s="5" t="s">
        <v>35</v>
      </c>
      <c r="D613" s="5" t="s">
        <v>12</v>
      </c>
      <c r="E613" s="5" t="s">
        <v>13</v>
      </c>
      <c r="F613" s="5" t="s">
        <v>14</v>
      </c>
      <c r="G613" s="5" t="s">
        <v>15</v>
      </c>
      <c r="H613" s="5">
        <v>215415</v>
      </c>
      <c r="I613" s="5">
        <v>15780</v>
      </c>
      <c r="J613" s="6">
        <f t="shared" si="9"/>
        <v>199635</v>
      </c>
    </row>
    <row r="614" spans="1:10">
      <c r="A614" s="5">
        <v>112043</v>
      </c>
      <c r="B614" s="5" t="s">
        <v>10</v>
      </c>
      <c r="C614" s="5" t="s">
        <v>22</v>
      </c>
      <c r="D614" s="5" t="s">
        <v>32</v>
      </c>
      <c r="E614" s="5" t="s">
        <v>19</v>
      </c>
      <c r="F614" s="5" t="s">
        <v>14</v>
      </c>
      <c r="G614" s="5" t="s">
        <v>24</v>
      </c>
      <c r="H614" s="5">
        <v>3</v>
      </c>
      <c r="I614" s="5">
        <v>0</v>
      </c>
      <c r="J614" s="6">
        <f t="shared" si="9"/>
        <v>3</v>
      </c>
    </row>
    <row r="615" spans="1:10">
      <c r="A615" s="5">
        <v>176713</v>
      </c>
      <c r="B615" s="5" t="s">
        <v>16</v>
      </c>
      <c r="C615" s="5" t="s">
        <v>25</v>
      </c>
      <c r="D615" s="5" t="s">
        <v>32</v>
      </c>
      <c r="E615" s="5" t="s">
        <v>13</v>
      </c>
      <c r="F615" s="5" t="s">
        <v>14</v>
      </c>
      <c r="G615" s="5" t="s">
        <v>15</v>
      </c>
      <c r="H615" s="5">
        <v>12694</v>
      </c>
      <c r="I615" s="5">
        <v>0</v>
      </c>
      <c r="J615" s="6">
        <f t="shared" si="9"/>
        <v>12694</v>
      </c>
    </row>
    <row r="616" spans="1:10">
      <c r="A616" s="5">
        <v>55269</v>
      </c>
      <c r="B616" s="5" t="s">
        <v>10</v>
      </c>
      <c r="C616" s="5" t="s">
        <v>35</v>
      </c>
      <c r="D616" s="5" t="s">
        <v>29</v>
      </c>
      <c r="E616" s="5" t="s">
        <v>19</v>
      </c>
      <c r="F616" s="5" t="s">
        <v>14</v>
      </c>
      <c r="G616" s="5" t="s">
        <v>15</v>
      </c>
      <c r="H616" s="5">
        <v>76009</v>
      </c>
      <c r="I616" s="5">
        <v>1474</v>
      </c>
      <c r="J616" s="6">
        <f t="shared" si="9"/>
        <v>74535</v>
      </c>
    </row>
    <row r="617" spans="1:10">
      <c r="A617" s="5">
        <v>115766</v>
      </c>
      <c r="B617" s="5" t="s">
        <v>10</v>
      </c>
      <c r="C617" s="5" t="s">
        <v>22</v>
      </c>
      <c r="D617" s="5" t="s">
        <v>32</v>
      </c>
      <c r="E617" s="5" t="s">
        <v>13</v>
      </c>
      <c r="F617" s="5" t="s">
        <v>14</v>
      </c>
      <c r="G617" s="5" t="s">
        <v>24</v>
      </c>
      <c r="H617" s="5">
        <v>43753</v>
      </c>
      <c r="I617" s="5">
        <v>874</v>
      </c>
      <c r="J617" s="6">
        <f t="shared" si="9"/>
        <v>42879</v>
      </c>
    </row>
    <row r="618" spans="1:10">
      <c r="A618" s="5">
        <v>129079</v>
      </c>
      <c r="B618" s="5" t="s">
        <v>10</v>
      </c>
      <c r="C618" s="5" t="s">
        <v>22</v>
      </c>
      <c r="D618" s="5" t="s">
        <v>26</v>
      </c>
      <c r="E618" s="5" t="s">
        <v>13</v>
      </c>
      <c r="F618" s="5" t="s">
        <v>28</v>
      </c>
      <c r="G618" s="5" t="s">
        <v>24</v>
      </c>
      <c r="H618" s="5">
        <v>49545</v>
      </c>
      <c r="I618" s="5">
        <v>332</v>
      </c>
      <c r="J618" s="6">
        <f t="shared" si="9"/>
        <v>49213</v>
      </c>
    </row>
    <row r="619" spans="1:10">
      <c r="A619" s="5">
        <v>35054</v>
      </c>
      <c r="B619" s="5" t="s">
        <v>10</v>
      </c>
      <c r="C619" s="5" t="s">
        <v>35</v>
      </c>
      <c r="D619" s="5" t="s">
        <v>12</v>
      </c>
      <c r="E619" s="5" t="s">
        <v>13</v>
      </c>
      <c r="F619" s="5" t="s">
        <v>14</v>
      </c>
      <c r="G619" s="5" t="s">
        <v>15</v>
      </c>
      <c r="H619" s="5">
        <v>158820</v>
      </c>
      <c r="I619" s="5">
        <v>326</v>
      </c>
      <c r="J619" s="6">
        <f t="shared" si="9"/>
        <v>158494</v>
      </c>
    </row>
    <row r="620" spans="1:10">
      <c r="A620" s="5">
        <v>211834</v>
      </c>
      <c r="B620" s="5" t="s">
        <v>16</v>
      </c>
      <c r="C620" s="5" t="s">
        <v>34</v>
      </c>
      <c r="D620" s="5" t="s">
        <v>18</v>
      </c>
      <c r="E620" s="5" t="s">
        <v>13</v>
      </c>
      <c r="F620" s="5" t="s">
        <v>14</v>
      </c>
      <c r="G620" s="5" t="s">
        <v>15</v>
      </c>
      <c r="H620" s="5">
        <v>54082</v>
      </c>
      <c r="I620" s="5">
        <v>212</v>
      </c>
      <c r="J620" s="6">
        <f t="shared" si="9"/>
        <v>53870</v>
      </c>
    </row>
    <row r="621" spans="1:10">
      <c r="A621" s="5">
        <v>121434</v>
      </c>
      <c r="B621" s="5" t="s">
        <v>16</v>
      </c>
      <c r="C621" s="5" t="s">
        <v>22</v>
      </c>
      <c r="D621" s="5" t="s">
        <v>30</v>
      </c>
      <c r="E621" s="5" t="s">
        <v>13</v>
      </c>
      <c r="F621" s="5" t="s">
        <v>14</v>
      </c>
      <c r="G621" s="5" t="s">
        <v>24</v>
      </c>
      <c r="H621" s="5">
        <v>39567</v>
      </c>
      <c r="I621" s="5">
        <v>220</v>
      </c>
      <c r="J621" s="6">
        <f t="shared" si="9"/>
        <v>39347</v>
      </c>
    </row>
    <row r="622" spans="1:10">
      <c r="A622" s="5">
        <v>198184</v>
      </c>
      <c r="B622" s="5" t="s">
        <v>16</v>
      </c>
      <c r="C622" s="5" t="s">
        <v>20</v>
      </c>
      <c r="D622" s="5" t="s">
        <v>32</v>
      </c>
      <c r="E622" s="5" t="s">
        <v>19</v>
      </c>
      <c r="F622" s="5" t="s">
        <v>28</v>
      </c>
      <c r="G622" s="5" t="s">
        <v>24</v>
      </c>
      <c r="H622" s="5">
        <v>901</v>
      </c>
      <c r="I622" s="5">
        <v>0</v>
      </c>
      <c r="J622" s="6">
        <f t="shared" si="9"/>
        <v>901</v>
      </c>
    </row>
    <row r="623" spans="1:10">
      <c r="A623" s="5">
        <v>33356</v>
      </c>
      <c r="B623" s="5" t="s">
        <v>16</v>
      </c>
      <c r="C623" s="5" t="s">
        <v>35</v>
      </c>
      <c r="D623" s="5" t="s">
        <v>30</v>
      </c>
      <c r="E623" s="5" t="s">
        <v>13</v>
      </c>
      <c r="F623" s="5" t="s">
        <v>14</v>
      </c>
      <c r="G623" s="5" t="s">
        <v>15</v>
      </c>
      <c r="H623" s="5">
        <v>11117</v>
      </c>
      <c r="I623" s="5">
        <v>23</v>
      </c>
      <c r="J623" s="6">
        <f t="shared" si="9"/>
        <v>11094</v>
      </c>
    </row>
    <row r="624" spans="1:10">
      <c r="A624" s="5">
        <v>146947</v>
      </c>
      <c r="B624" s="5" t="s">
        <v>10</v>
      </c>
      <c r="C624" s="5" t="s">
        <v>25</v>
      </c>
      <c r="D624" s="5" t="s">
        <v>23</v>
      </c>
      <c r="E624" s="5" t="s">
        <v>19</v>
      </c>
      <c r="F624" s="5" t="s">
        <v>14</v>
      </c>
      <c r="G624" s="5" t="s">
        <v>24</v>
      </c>
      <c r="H624" s="5">
        <v>92653</v>
      </c>
      <c r="I624" s="5">
        <v>11799</v>
      </c>
      <c r="J624" s="6">
        <f t="shared" si="9"/>
        <v>80854</v>
      </c>
    </row>
    <row r="625" spans="1:10">
      <c r="A625" s="5">
        <v>252868</v>
      </c>
      <c r="B625" s="5" t="s">
        <v>10</v>
      </c>
      <c r="C625" s="5" t="s">
        <v>27</v>
      </c>
      <c r="D625" s="5" t="s">
        <v>30</v>
      </c>
      <c r="E625" s="5" t="s">
        <v>13</v>
      </c>
      <c r="F625" s="5" t="s">
        <v>14</v>
      </c>
      <c r="G625" s="5" t="s">
        <v>15</v>
      </c>
      <c r="H625" s="5">
        <v>127193</v>
      </c>
      <c r="I625" s="5">
        <v>999</v>
      </c>
      <c r="J625" s="6">
        <f t="shared" si="9"/>
        <v>126194</v>
      </c>
    </row>
    <row r="626" spans="1:10">
      <c r="A626" s="5">
        <v>64907</v>
      </c>
      <c r="B626" s="5" t="s">
        <v>16</v>
      </c>
      <c r="C626" s="5" t="s">
        <v>35</v>
      </c>
      <c r="D626" s="5" t="s">
        <v>32</v>
      </c>
      <c r="E626" s="5" t="s">
        <v>13</v>
      </c>
      <c r="F626" s="5" t="s">
        <v>14</v>
      </c>
      <c r="G626" s="5" t="s">
        <v>24</v>
      </c>
      <c r="H626" s="5">
        <v>11963</v>
      </c>
      <c r="I626" s="5">
        <v>0</v>
      </c>
      <c r="J626" s="6">
        <f t="shared" si="9"/>
        <v>11963</v>
      </c>
    </row>
    <row r="627" spans="1:10">
      <c r="A627" s="5">
        <v>122922</v>
      </c>
      <c r="B627" s="5" t="s">
        <v>10</v>
      </c>
      <c r="C627" s="5" t="s">
        <v>22</v>
      </c>
      <c r="D627" s="5" t="s">
        <v>12</v>
      </c>
      <c r="E627" s="5" t="s">
        <v>19</v>
      </c>
      <c r="F627" s="5" t="s">
        <v>14</v>
      </c>
      <c r="G627" s="5" t="s">
        <v>15</v>
      </c>
      <c r="H627" s="5">
        <v>129812</v>
      </c>
      <c r="I627" s="5">
        <v>920</v>
      </c>
      <c r="J627" s="6">
        <f t="shared" si="9"/>
        <v>128892</v>
      </c>
    </row>
    <row r="628" spans="1:10">
      <c r="A628" s="5">
        <v>253796</v>
      </c>
      <c r="B628" s="5" t="s">
        <v>10</v>
      </c>
      <c r="C628" s="5" t="s">
        <v>31</v>
      </c>
      <c r="D628" s="5" t="s">
        <v>30</v>
      </c>
      <c r="E628" s="5" t="s">
        <v>19</v>
      </c>
      <c r="F628" s="5" t="s">
        <v>14</v>
      </c>
      <c r="G628" s="5" t="s">
        <v>15</v>
      </c>
      <c r="H628" s="5">
        <v>6611</v>
      </c>
      <c r="I628" s="5">
        <v>0</v>
      </c>
      <c r="J628" s="6">
        <f t="shared" si="9"/>
        <v>6611</v>
      </c>
    </row>
    <row r="629" spans="1:10">
      <c r="A629" s="5">
        <v>75102</v>
      </c>
      <c r="B629" s="5" t="s">
        <v>16</v>
      </c>
      <c r="C629" s="5" t="s">
        <v>27</v>
      </c>
      <c r="D629" s="5" t="s">
        <v>33</v>
      </c>
      <c r="E629" s="5" t="s">
        <v>13</v>
      </c>
      <c r="F629" s="5" t="s">
        <v>14</v>
      </c>
      <c r="G629" s="5" t="s">
        <v>15</v>
      </c>
      <c r="H629" s="5">
        <v>36406</v>
      </c>
      <c r="I629" s="5">
        <v>251</v>
      </c>
      <c r="J629" s="6">
        <f t="shared" si="9"/>
        <v>36155</v>
      </c>
    </row>
    <row r="630" spans="1:10">
      <c r="A630" s="5">
        <v>36699</v>
      </c>
      <c r="B630" s="5" t="s">
        <v>10</v>
      </c>
      <c r="C630" s="5" t="s">
        <v>11</v>
      </c>
      <c r="D630" s="5" t="s">
        <v>36</v>
      </c>
      <c r="E630" s="5" t="s">
        <v>13</v>
      </c>
      <c r="F630" s="5" t="s">
        <v>14</v>
      </c>
      <c r="G630" s="5" t="s">
        <v>15</v>
      </c>
      <c r="H630" s="5">
        <v>83674</v>
      </c>
      <c r="I630" s="5">
        <v>2605</v>
      </c>
      <c r="J630" s="6">
        <f t="shared" si="9"/>
        <v>81069</v>
      </c>
    </row>
    <row r="631" spans="1:10">
      <c r="A631" s="5">
        <v>52470</v>
      </c>
      <c r="B631" s="5" t="s">
        <v>16</v>
      </c>
      <c r="C631" s="5" t="s">
        <v>35</v>
      </c>
      <c r="D631" s="5" t="s">
        <v>33</v>
      </c>
      <c r="E631" s="5" t="s">
        <v>13</v>
      </c>
      <c r="F631" s="5" t="s">
        <v>14</v>
      </c>
      <c r="G631" s="5" t="s">
        <v>15</v>
      </c>
      <c r="H631" s="5">
        <v>37169</v>
      </c>
      <c r="I631" s="5">
        <v>2445</v>
      </c>
      <c r="J631" s="6">
        <f t="shared" si="9"/>
        <v>34724</v>
      </c>
    </row>
    <row r="632" spans="1:10">
      <c r="A632" s="5">
        <v>232596</v>
      </c>
      <c r="B632" s="5" t="s">
        <v>16</v>
      </c>
      <c r="C632" s="5" t="s">
        <v>35</v>
      </c>
      <c r="D632" s="5" t="s">
        <v>33</v>
      </c>
      <c r="E632" s="5" t="s">
        <v>13</v>
      </c>
      <c r="F632" s="5" t="s">
        <v>14</v>
      </c>
      <c r="G632" s="5" t="s">
        <v>15</v>
      </c>
      <c r="H632" s="5">
        <v>99167</v>
      </c>
      <c r="I632" s="5">
        <v>274</v>
      </c>
      <c r="J632" s="6">
        <f t="shared" si="9"/>
        <v>98893</v>
      </c>
    </row>
    <row r="633" spans="1:10">
      <c r="A633" s="5">
        <v>41510</v>
      </c>
      <c r="B633" s="5" t="s">
        <v>16</v>
      </c>
      <c r="C633" s="5" t="s">
        <v>37</v>
      </c>
      <c r="D633" s="5" t="s">
        <v>30</v>
      </c>
      <c r="E633" s="5" t="s">
        <v>19</v>
      </c>
      <c r="F633" s="5" t="s">
        <v>14</v>
      </c>
      <c r="G633" s="5" t="s">
        <v>24</v>
      </c>
      <c r="H633" s="5">
        <v>49651</v>
      </c>
      <c r="I633" s="5">
        <v>1663</v>
      </c>
      <c r="J633" s="6">
        <f t="shared" si="9"/>
        <v>47988</v>
      </c>
    </row>
    <row r="634" spans="1:10">
      <c r="A634" s="5">
        <v>191551</v>
      </c>
      <c r="B634" s="5" t="s">
        <v>16</v>
      </c>
      <c r="C634" s="5" t="s">
        <v>38</v>
      </c>
      <c r="D634" s="5" t="s">
        <v>32</v>
      </c>
      <c r="E634" s="5" t="s">
        <v>13</v>
      </c>
      <c r="F634" s="5" t="s">
        <v>14</v>
      </c>
      <c r="G634" s="5" t="s">
        <v>15</v>
      </c>
      <c r="H634" s="5">
        <v>48603</v>
      </c>
      <c r="I634" s="5">
        <v>29728</v>
      </c>
      <c r="J634" s="6">
        <f t="shared" si="9"/>
        <v>18875</v>
      </c>
    </row>
    <row r="635" spans="1:10">
      <c r="A635" s="5">
        <v>186536</v>
      </c>
      <c r="B635" s="5" t="s">
        <v>10</v>
      </c>
      <c r="C635" s="5" t="s">
        <v>37</v>
      </c>
      <c r="D635" s="5" t="s">
        <v>32</v>
      </c>
      <c r="E635" s="5" t="s">
        <v>13</v>
      </c>
      <c r="F635" s="5" t="s">
        <v>14</v>
      </c>
      <c r="G635" s="5" t="s">
        <v>15</v>
      </c>
      <c r="H635" s="5">
        <v>1187</v>
      </c>
      <c r="I635" s="5">
        <v>1035</v>
      </c>
      <c r="J635" s="6">
        <f t="shared" si="9"/>
        <v>152</v>
      </c>
    </row>
    <row r="636" spans="1:10">
      <c r="A636" s="5">
        <v>111889</v>
      </c>
      <c r="B636" s="5" t="s">
        <v>16</v>
      </c>
      <c r="C636" s="5" t="s">
        <v>22</v>
      </c>
      <c r="D636" s="5" t="s">
        <v>18</v>
      </c>
      <c r="E636" s="5" t="s">
        <v>13</v>
      </c>
      <c r="F636" s="5" t="s">
        <v>14</v>
      </c>
      <c r="G636" s="5" t="s">
        <v>24</v>
      </c>
      <c r="H636" s="5">
        <v>26551</v>
      </c>
      <c r="I636" s="5">
        <v>1252</v>
      </c>
      <c r="J636" s="6">
        <f t="shared" si="9"/>
        <v>25299</v>
      </c>
    </row>
    <row r="637" spans="1:10">
      <c r="A637" s="5">
        <v>32273</v>
      </c>
      <c r="B637" s="5" t="s">
        <v>16</v>
      </c>
      <c r="C637" s="5" t="s">
        <v>35</v>
      </c>
      <c r="D637" s="5" t="s">
        <v>12</v>
      </c>
      <c r="E637" s="5" t="s">
        <v>19</v>
      </c>
      <c r="F637" s="5" t="s">
        <v>14</v>
      </c>
      <c r="G637" s="5" t="s">
        <v>24</v>
      </c>
      <c r="H637" s="5">
        <v>49649</v>
      </c>
      <c r="I637" s="5">
        <v>5532</v>
      </c>
      <c r="J637" s="6">
        <f t="shared" si="9"/>
        <v>44117</v>
      </c>
    </row>
    <row r="638" spans="1:10">
      <c r="A638" s="5">
        <v>37949</v>
      </c>
      <c r="B638" s="5" t="s">
        <v>16</v>
      </c>
      <c r="C638" s="5" t="s">
        <v>35</v>
      </c>
      <c r="D638" s="5" t="s">
        <v>30</v>
      </c>
      <c r="E638" s="5" t="s">
        <v>13</v>
      </c>
      <c r="F638" s="5" t="s">
        <v>14</v>
      </c>
      <c r="G638" s="5" t="s">
        <v>15</v>
      </c>
      <c r="H638" s="5">
        <v>20337</v>
      </c>
      <c r="I638" s="5">
        <v>1623</v>
      </c>
      <c r="J638" s="6">
        <f t="shared" si="9"/>
        <v>18714</v>
      </c>
    </row>
    <row r="639" spans="1:10">
      <c r="A639" s="5">
        <v>197972</v>
      </c>
      <c r="B639" s="5" t="s">
        <v>16</v>
      </c>
      <c r="C639" s="5" t="s">
        <v>38</v>
      </c>
      <c r="D639" s="5" t="s">
        <v>30</v>
      </c>
      <c r="E639" s="5" t="s">
        <v>13</v>
      </c>
      <c r="F639" s="5" t="s">
        <v>14</v>
      </c>
      <c r="G639" s="5" t="s">
        <v>15</v>
      </c>
      <c r="H639" s="5">
        <v>40411</v>
      </c>
      <c r="I639" s="5">
        <v>1526</v>
      </c>
      <c r="J639" s="6">
        <f t="shared" si="9"/>
        <v>38885</v>
      </c>
    </row>
    <row r="640" spans="1:10">
      <c r="A640" s="5">
        <v>90415</v>
      </c>
      <c r="B640" s="5" t="s">
        <v>10</v>
      </c>
      <c r="C640" s="5" t="s">
        <v>20</v>
      </c>
      <c r="D640" s="5" t="s">
        <v>32</v>
      </c>
      <c r="E640" s="5" t="s">
        <v>19</v>
      </c>
      <c r="F640" s="5" t="s">
        <v>28</v>
      </c>
      <c r="G640" s="5" t="s">
        <v>24</v>
      </c>
      <c r="H640" s="5">
        <v>736</v>
      </c>
      <c r="I640" s="5">
        <v>0</v>
      </c>
      <c r="J640" s="6">
        <f t="shared" si="9"/>
        <v>736</v>
      </c>
    </row>
    <row r="641" spans="1:10">
      <c r="A641" s="5">
        <v>189845</v>
      </c>
      <c r="B641" s="5" t="s">
        <v>10</v>
      </c>
      <c r="C641" s="5" t="s">
        <v>37</v>
      </c>
      <c r="D641" s="5" t="s">
        <v>32</v>
      </c>
      <c r="E641" s="5" t="s">
        <v>13</v>
      </c>
      <c r="F641" s="5" t="s">
        <v>14</v>
      </c>
      <c r="G641" s="5" t="s">
        <v>15</v>
      </c>
      <c r="H641" s="5">
        <v>253296</v>
      </c>
      <c r="I641" s="5">
        <v>23237</v>
      </c>
      <c r="J641" s="6">
        <f t="shared" si="9"/>
        <v>230059</v>
      </c>
    </row>
    <row r="642" spans="1:10">
      <c r="A642" s="5">
        <v>173099</v>
      </c>
      <c r="B642" s="5" t="s">
        <v>16</v>
      </c>
      <c r="C642" s="5" t="s">
        <v>27</v>
      </c>
      <c r="D642" s="5" t="s">
        <v>30</v>
      </c>
      <c r="E642" s="5" t="s">
        <v>19</v>
      </c>
      <c r="F642" s="5" t="s">
        <v>14</v>
      </c>
      <c r="G642" s="5" t="s">
        <v>24</v>
      </c>
      <c r="H642" s="5">
        <v>39295</v>
      </c>
      <c r="I642" s="5">
        <v>6133</v>
      </c>
      <c r="J642" s="6">
        <f t="shared" ref="J642:J705" si="10">H642-I642</f>
        <v>33162</v>
      </c>
    </row>
    <row r="643" spans="1:10">
      <c r="A643" s="5">
        <v>246530</v>
      </c>
      <c r="B643" s="5" t="s">
        <v>10</v>
      </c>
      <c r="C643" s="5" t="s">
        <v>25</v>
      </c>
      <c r="D643" s="5" t="s">
        <v>12</v>
      </c>
      <c r="E643" s="5" t="s">
        <v>19</v>
      </c>
      <c r="F643" s="5" t="s">
        <v>28</v>
      </c>
      <c r="G643" s="5" t="s">
        <v>24</v>
      </c>
      <c r="H643" s="5">
        <v>33824</v>
      </c>
      <c r="I643" s="5">
        <v>281</v>
      </c>
      <c r="J643" s="6">
        <f t="shared" si="10"/>
        <v>33543</v>
      </c>
    </row>
    <row r="644" spans="1:10">
      <c r="A644" s="5">
        <v>95275</v>
      </c>
      <c r="B644" s="5" t="s">
        <v>16</v>
      </c>
      <c r="C644" s="5" t="s">
        <v>20</v>
      </c>
      <c r="D644" s="5" t="s">
        <v>21</v>
      </c>
      <c r="E644" s="5" t="s">
        <v>13</v>
      </c>
      <c r="F644" s="5" t="s">
        <v>14</v>
      </c>
      <c r="G644" s="5" t="s">
        <v>24</v>
      </c>
      <c r="H644" s="5">
        <v>5175</v>
      </c>
      <c r="I644" s="5">
        <v>369</v>
      </c>
      <c r="J644" s="6">
        <f t="shared" si="10"/>
        <v>4806</v>
      </c>
    </row>
    <row r="645" spans="1:10">
      <c r="A645" s="5">
        <v>235464</v>
      </c>
      <c r="B645" s="5" t="s">
        <v>16</v>
      </c>
      <c r="C645" s="5" t="s">
        <v>17</v>
      </c>
      <c r="D645" s="5" t="s">
        <v>21</v>
      </c>
      <c r="E645" s="5" t="s">
        <v>19</v>
      </c>
      <c r="F645" s="5" t="s">
        <v>14</v>
      </c>
      <c r="G645" s="5" t="s">
        <v>24</v>
      </c>
      <c r="H645" s="5">
        <v>17679</v>
      </c>
      <c r="I645" s="5">
        <v>189</v>
      </c>
      <c r="J645" s="6">
        <f t="shared" si="10"/>
        <v>17490</v>
      </c>
    </row>
    <row r="646" spans="1:10">
      <c r="A646" s="5">
        <v>172726</v>
      </c>
      <c r="B646" s="5" t="s">
        <v>10</v>
      </c>
      <c r="C646" s="5" t="s">
        <v>17</v>
      </c>
      <c r="D646" s="5" t="s">
        <v>36</v>
      </c>
      <c r="E646" s="5" t="s">
        <v>19</v>
      </c>
      <c r="F646" s="5" t="s">
        <v>14</v>
      </c>
      <c r="G646" s="5" t="s">
        <v>24</v>
      </c>
      <c r="H646" s="5">
        <v>10504</v>
      </c>
      <c r="I646" s="5">
        <v>0</v>
      </c>
      <c r="J646" s="6">
        <f t="shared" si="10"/>
        <v>10504</v>
      </c>
    </row>
    <row r="647" spans="1:10">
      <c r="A647" s="5">
        <v>107317</v>
      </c>
      <c r="B647" s="5" t="s">
        <v>16</v>
      </c>
      <c r="C647" s="5" t="s">
        <v>22</v>
      </c>
      <c r="D647" s="5" t="s">
        <v>33</v>
      </c>
      <c r="E647" s="5" t="s">
        <v>13</v>
      </c>
      <c r="F647" s="5" t="s">
        <v>14</v>
      </c>
      <c r="G647" s="5" t="s">
        <v>15</v>
      </c>
      <c r="H647" s="5">
        <v>45279</v>
      </c>
      <c r="I647" s="5">
        <v>494</v>
      </c>
      <c r="J647" s="6">
        <f t="shared" si="10"/>
        <v>44785</v>
      </c>
    </row>
    <row r="648" spans="1:10">
      <c r="A648" s="5">
        <v>209852</v>
      </c>
      <c r="B648" s="5" t="s">
        <v>16</v>
      </c>
      <c r="C648" s="5" t="s">
        <v>37</v>
      </c>
      <c r="D648" s="5" t="s">
        <v>30</v>
      </c>
      <c r="E648" s="5" t="s">
        <v>19</v>
      </c>
      <c r="F648" s="5" t="s">
        <v>14</v>
      </c>
      <c r="G648" s="5" t="s">
        <v>15</v>
      </c>
      <c r="H648" s="5">
        <v>175816</v>
      </c>
      <c r="I648" s="5">
        <v>3756</v>
      </c>
      <c r="J648" s="6">
        <f t="shared" si="10"/>
        <v>172060</v>
      </c>
    </row>
    <row r="649" spans="1:10">
      <c r="A649" s="5">
        <v>250962</v>
      </c>
      <c r="B649" s="5" t="s">
        <v>10</v>
      </c>
      <c r="C649" s="5" t="s">
        <v>27</v>
      </c>
      <c r="D649" s="5" t="s">
        <v>32</v>
      </c>
      <c r="E649" s="5" t="s">
        <v>13</v>
      </c>
      <c r="F649" s="5" t="s">
        <v>14</v>
      </c>
      <c r="G649" s="5" t="s">
        <v>15</v>
      </c>
      <c r="H649" s="5">
        <v>54064</v>
      </c>
      <c r="I649" s="5">
        <v>0</v>
      </c>
      <c r="J649" s="6">
        <f t="shared" si="10"/>
        <v>54064</v>
      </c>
    </row>
    <row r="650" spans="1:10">
      <c r="A650" s="5">
        <v>157053</v>
      </c>
      <c r="B650" s="5" t="s">
        <v>16</v>
      </c>
      <c r="C650" s="5" t="s">
        <v>25</v>
      </c>
      <c r="D650" s="5" t="s">
        <v>30</v>
      </c>
      <c r="E650" s="5" t="s">
        <v>13</v>
      </c>
      <c r="F650" s="5" t="s">
        <v>28</v>
      </c>
      <c r="G650" s="5" t="s">
        <v>15</v>
      </c>
      <c r="H650" s="5">
        <v>85665</v>
      </c>
      <c r="I650" s="5">
        <v>2286</v>
      </c>
      <c r="J650" s="6">
        <f t="shared" si="10"/>
        <v>83379</v>
      </c>
    </row>
    <row r="651" spans="1:10">
      <c r="A651" s="5">
        <v>170523</v>
      </c>
      <c r="B651" s="5" t="s">
        <v>16</v>
      </c>
      <c r="C651" s="5" t="s">
        <v>17</v>
      </c>
      <c r="D651" s="5" t="s">
        <v>36</v>
      </c>
      <c r="E651" s="5" t="s">
        <v>19</v>
      </c>
      <c r="F651" s="5" t="s">
        <v>14</v>
      </c>
      <c r="G651" s="5" t="s">
        <v>15</v>
      </c>
      <c r="H651" s="5">
        <v>33202</v>
      </c>
      <c r="I651" s="5">
        <v>866</v>
      </c>
      <c r="J651" s="6">
        <f t="shared" si="10"/>
        <v>32336</v>
      </c>
    </row>
    <row r="652" spans="1:10">
      <c r="A652" s="5">
        <v>226101</v>
      </c>
      <c r="B652" s="5" t="s">
        <v>16</v>
      </c>
      <c r="C652" s="5" t="s">
        <v>25</v>
      </c>
      <c r="D652" s="5" t="s">
        <v>18</v>
      </c>
      <c r="E652" s="5" t="s">
        <v>13</v>
      </c>
      <c r="F652" s="5" t="s">
        <v>14</v>
      </c>
      <c r="G652" s="5" t="s">
        <v>15</v>
      </c>
      <c r="H652" s="5">
        <v>22870</v>
      </c>
      <c r="I652" s="5">
        <v>3572</v>
      </c>
      <c r="J652" s="6">
        <f t="shared" si="10"/>
        <v>19298</v>
      </c>
    </row>
    <row r="653" spans="1:10">
      <c r="A653" s="5">
        <v>62139</v>
      </c>
      <c r="B653" s="5" t="s">
        <v>16</v>
      </c>
      <c r="C653" s="5" t="s">
        <v>27</v>
      </c>
      <c r="D653" s="5" t="s">
        <v>33</v>
      </c>
      <c r="E653" s="5" t="s">
        <v>19</v>
      </c>
      <c r="F653" s="5" t="s">
        <v>14</v>
      </c>
      <c r="G653" s="5" t="s">
        <v>24</v>
      </c>
      <c r="H653" s="5">
        <v>61229</v>
      </c>
      <c r="I653" s="5">
        <v>346</v>
      </c>
      <c r="J653" s="6">
        <f t="shared" si="10"/>
        <v>60883</v>
      </c>
    </row>
    <row r="654" spans="1:10">
      <c r="A654" s="5">
        <v>223791</v>
      </c>
      <c r="B654" s="5" t="s">
        <v>10</v>
      </c>
      <c r="C654" s="5" t="s">
        <v>35</v>
      </c>
      <c r="D654" s="5" t="s">
        <v>29</v>
      </c>
      <c r="E654" s="5" t="s">
        <v>13</v>
      </c>
      <c r="F654" s="5" t="s">
        <v>28</v>
      </c>
      <c r="G654" s="5" t="s">
        <v>15</v>
      </c>
      <c r="H654" s="5">
        <v>6260</v>
      </c>
      <c r="I654" s="5">
        <v>0</v>
      </c>
      <c r="J654" s="6">
        <f t="shared" si="10"/>
        <v>6260</v>
      </c>
    </row>
    <row r="655" spans="1:10">
      <c r="A655" s="5">
        <v>253327</v>
      </c>
      <c r="B655" s="5" t="s">
        <v>16</v>
      </c>
      <c r="C655" s="5" t="s">
        <v>25</v>
      </c>
      <c r="D655" s="5" t="s">
        <v>30</v>
      </c>
      <c r="E655" s="5" t="s">
        <v>13</v>
      </c>
      <c r="F655" s="5" t="s">
        <v>28</v>
      </c>
      <c r="G655" s="5" t="s">
        <v>24</v>
      </c>
      <c r="H655" s="5">
        <v>45573</v>
      </c>
      <c r="I655" s="5">
        <v>27</v>
      </c>
      <c r="J655" s="6">
        <f t="shared" si="10"/>
        <v>45546</v>
      </c>
    </row>
    <row r="656" spans="1:10">
      <c r="A656" s="5">
        <v>78798</v>
      </c>
      <c r="B656" s="5" t="s">
        <v>10</v>
      </c>
      <c r="C656" s="5" t="s">
        <v>20</v>
      </c>
      <c r="D656" s="5" t="s">
        <v>29</v>
      </c>
      <c r="E656" s="5" t="s">
        <v>13</v>
      </c>
      <c r="F656" s="5" t="s">
        <v>14</v>
      </c>
      <c r="G656" s="5" t="s">
        <v>15</v>
      </c>
      <c r="H656" s="5">
        <v>32718</v>
      </c>
      <c r="I656" s="5">
        <v>936</v>
      </c>
      <c r="J656" s="6">
        <f t="shared" si="10"/>
        <v>31782</v>
      </c>
    </row>
    <row r="657" spans="1:10">
      <c r="A657" s="5">
        <v>91400</v>
      </c>
      <c r="B657" s="5" t="s">
        <v>16</v>
      </c>
      <c r="C657" s="5" t="s">
        <v>39</v>
      </c>
      <c r="D657" s="5" t="s">
        <v>33</v>
      </c>
      <c r="E657" s="5" t="s">
        <v>13</v>
      </c>
      <c r="F657" s="5" t="s">
        <v>14</v>
      </c>
      <c r="G657" s="5" t="s">
        <v>15</v>
      </c>
      <c r="H657" s="5">
        <v>17334</v>
      </c>
      <c r="I657" s="5">
        <v>323</v>
      </c>
      <c r="J657" s="6">
        <f t="shared" si="10"/>
        <v>17011</v>
      </c>
    </row>
    <row r="658" spans="1:10">
      <c r="A658" s="5">
        <v>22571</v>
      </c>
      <c r="B658" s="5" t="s">
        <v>16</v>
      </c>
      <c r="C658" s="5" t="s">
        <v>35</v>
      </c>
      <c r="D658" s="5" t="s">
        <v>12</v>
      </c>
      <c r="E658" s="5" t="s">
        <v>19</v>
      </c>
      <c r="F658" s="5" t="s">
        <v>28</v>
      </c>
      <c r="G658" s="5" t="s">
        <v>15</v>
      </c>
      <c r="H658" s="5">
        <v>64514</v>
      </c>
      <c r="I658" s="5">
        <v>2548</v>
      </c>
      <c r="J658" s="6">
        <f t="shared" si="10"/>
        <v>61966</v>
      </c>
    </row>
    <row r="659" spans="1:10">
      <c r="A659" s="5">
        <v>110246</v>
      </c>
      <c r="B659" s="5" t="s">
        <v>16</v>
      </c>
      <c r="C659" s="5" t="s">
        <v>34</v>
      </c>
      <c r="D659" s="5" t="s">
        <v>36</v>
      </c>
      <c r="E659" s="5" t="s">
        <v>13</v>
      </c>
      <c r="F659" s="5" t="s">
        <v>14</v>
      </c>
      <c r="G659" s="5" t="s">
        <v>24</v>
      </c>
      <c r="H659" s="5">
        <v>33678</v>
      </c>
      <c r="I659" s="5">
        <v>821</v>
      </c>
      <c r="J659" s="6">
        <f t="shared" si="10"/>
        <v>32857</v>
      </c>
    </row>
    <row r="660" spans="1:10">
      <c r="A660" s="5">
        <v>243356</v>
      </c>
      <c r="B660" s="5" t="s">
        <v>16</v>
      </c>
      <c r="C660" s="5" t="s">
        <v>37</v>
      </c>
      <c r="D660" s="5" t="s">
        <v>32</v>
      </c>
      <c r="E660" s="5" t="s">
        <v>19</v>
      </c>
      <c r="F660" s="5" t="s">
        <v>14</v>
      </c>
      <c r="G660" s="5" t="s">
        <v>24</v>
      </c>
      <c r="H660" s="5">
        <v>30975</v>
      </c>
      <c r="I660" s="5">
        <v>110</v>
      </c>
      <c r="J660" s="6">
        <f t="shared" si="10"/>
        <v>30865</v>
      </c>
    </row>
    <row r="661" spans="1:10">
      <c r="A661" s="5">
        <v>131623</v>
      </c>
      <c r="B661" s="5" t="s">
        <v>16</v>
      </c>
      <c r="C661" s="5" t="s">
        <v>25</v>
      </c>
      <c r="D661" s="5" t="s">
        <v>23</v>
      </c>
      <c r="E661" s="5" t="s">
        <v>13</v>
      </c>
      <c r="F661" s="5" t="s">
        <v>28</v>
      </c>
      <c r="G661" s="5" t="s">
        <v>24</v>
      </c>
      <c r="H661" s="5">
        <v>40486</v>
      </c>
      <c r="I661" s="5">
        <v>161</v>
      </c>
      <c r="J661" s="6">
        <f t="shared" si="10"/>
        <v>40325</v>
      </c>
    </row>
    <row r="662" spans="1:10">
      <c r="A662" s="5">
        <v>140627</v>
      </c>
      <c r="B662" s="5" t="s">
        <v>10</v>
      </c>
      <c r="C662" s="5" t="s">
        <v>17</v>
      </c>
      <c r="D662" s="5" t="s">
        <v>29</v>
      </c>
      <c r="E662" s="5" t="s">
        <v>19</v>
      </c>
      <c r="F662" s="5" t="s">
        <v>14</v>
      </c>
      <c r="G662" s="5" t="s">
        <v>24</v>
      </c>
      <c r="H662" s="5">
        <v>31818</v>
      </c>
      <c r="I662" s="5">
        <v>2273</v>
      </c>
      <c r="J662" s="6">
        <f t="shared" si="10"/>
        <v>29545</v>
      </c>
    </row>
    <row r="663" spans="1:10">
      <c r="A663" s="5">
        <v>254142</v>
      </c>
      <c r="B663" s="5" t="s">
        <v>10</v>
      </c>
      <c r="C663" s="5" t="s">
        <v>25</v>
      </c>
      <c r="D663" s="5" t="s">
        <v>21</v>
      </c>
      <c r="E663" s="5" t="s">
        <v>13</v>
      </c>
      <c r="F663" s="5" t="s">
        <v>28</v>
      </c>
      <c r="G663" s="5" t="s">
        <v>24</v>
      </c>
      <c r="H663" s="5">
        <v>45130</v>
      </c>
      <c r="I663" s="5">
        <v>2348</v>
      </c>
      <c r="J663" s="6">
        <f t="shared" si="10"/>
        <v>42782</v>
      </c>
    </row>
    <row r="664" spans="1:10">
      <c r="A664" s="5">
        <v>104734</v>
      </c>
      <c r="B664" s="5" t="s">
        <v>16</v>
      </c>
      <c r="C664" s="5" t="s">
        <v>27</v>
      </c>
      <c r="D664" s="5" t="s">
        <v>32</v>
      </c>
      <c r="E664" s="5" t="s">
        <v>13</v>
      </c>
      <c r="F664" s="5" t="s">
        <v>14</v>
      </c>
      <c r="G664" s="5" t="s">
        <v>24</v>
      </c>
      <c r="H664" s="5">
        <v>5200</v>
      </c>
      <c r="I664" s="5">
        <v>0</v>
      </c>
      <c r="J664" s="6">
        <f t="shared" si="10"/>
        <v>5200</v>
      </c>
    </row>
    <row r="665" spans="1:10">
      <c r="A665" s="5">
        <v>184775</v>
      </c>
      <c r="B665" s="5" t="s">
        <v>16</v>
      </c>
      <c r="C665" s="5" t="s">
        <v>34</v>
      </c>
      <c r="D665" s="5" t="s">
        <v>33</v>
      </c>
      <c r="E665" s="5" t="s">
        <v>13</v>
      </c>
      <c r="F665" s="5" t="s">
        <v>14</v>
      </c>
      <c r="G665" s="5" t="s">
        <v>15</v>
      </c>
      <c r="H665" s="5">
        <v>62812</v>
      </c>
      <c r="I665" s="5">
        <v>321</v>
      </c>
      <c r="J665" s="6">
        <f t="shared" si="10"/>
        <v>62491</v>
      </c>
    </row>
    <row r="666" spans="1:10">
      <c r="A666" s="5">
        <v>181468</v>
      </c>
      <c r="B666" s="5" t="s">
        <v>10</v>
      </c>
      <c r="C666" s="5" t="s">
        <v>20</v>
      </c>
      <c r="D666" s="5" t="s">
        <v>21</v>
      </c>
      <c r="E666" s="5" t="s">
        <v>19</v>
      </c>
      <c r="F666" s="5" t="s">
        <v>14</v>
      </c>
      <c r="G666" s="5" t="s">
        <v>15</v>
      </c>
      <c r="H666" s="5">
        <v>33930</v>
      </c>
      <c r="I666" s="5">
        <v>348</v>
      </c>
      <c r="J666" s="6">
        <f t="shared" si="10"/>
        <v>33582</v>
      </c>
    </row>
    <row r="667" spans="1:10">
      <c r="A667" s="5">
        <v>88841</v>
      </c>
      <c r="B667" s="5" t="s">
        <v>10</v>
      </c>
      <c r="C667" s="5" t="s">
        <v>38</v>
      </c>
      <c r="D667" s="5" t="s">
        <v>32</v>
      </c>
      <c r="E667" s="5" t="s">
        <v>13</v>
      </c>
      <c r="F667" s="5" t="s">
        <v>14</v>
      </c>
      <c r="G667" s="5" t="s">
        <v>15</v>
      </c>
      <c r="H667" s="5">
        <v>3</v>
      </c>
      <c r="I667" s="5">
        <v>0</v>
      </c>
      <c r="J667" s="6">
        <f t="shared" si="10"/>
        <v>3</v>
      </c>
    </row>
    <row r="668" spans="1:10">
      <c r="A668" s="5">
        <v>227145</v>
      </c>
      <c r="B668" s="5" t="s">
        <v>10</v>
      </c>
      <c r="C668" s="5" t="s">
        <v>17</v>
      </c>
      <c r="D668" s="5" t="s">
        <v>26</v>
      </c>
      <c r="E668" s="5" t="s">
        <v>19</v>
      </c>
      <c r="F668" s="5" t="s">
        <v>28</v>
      </c>
      <c r="G668" s="5" t="s">
        <v>24</v>
      </c>
      <c r="H668" s="5">
        <v>52340</v>
      </c>
      <c r="I668" s="5">
        <v>4056</v>
      </c>
      <c r="J668" s="6">
        <f t="shared" si="10"/>
        <v>48284</v>
      </c>
    </row>
    <row r="669" spans="1:10">
      <c r="A669" s="5">
        <v>199532</v>
      </c>
      <c r="B669" s="5" t="s">
        <v>10</v>
      </c>
      <c r="C669" s="5" t="s">
        <v>39</v>
      </c>
      <c r="D669" s="5" t="s">
        <v>23</v>
      </c>
      <c r="E669" s="5" t="s">
        <v>13</v>
      </c>
      <c r="F669" s="5" t="s">
        <v>14</v>
      </c>
      <c r="G669" s="5" t="s">
        <v>15</v>
      </c>
      <c r="H669" s="5">
        <v>17570</v>
      </c>
      <c r="I669" s="5">
        <v>967</v>
      </c>
      <c r="J669" s="6">
        <f t="shared" si="10"/>
        <v>16603</v>
      </c>
    </row>
    <row r="670" spans="1:10">
      <c r="A670" s="5">
        <v>23643</v>
      </c>
      <c r="B670" s="5" t="s">
        <v>10</v>
      </c>
      <c r="C670" s="5" t="s">
        <v>11</v>
      </c>
      <c r="D670" s="5" t="s">
        <v>32</v>
      </c>
      <c r="E670" s="5" t="s">
        <v>13</v>
      </c>
      <c r="F670" s="5" t="s">
        <v>14</v>
      </c>
      <c r="G670" s="5" t="s">
        <v>15</v>
      </c>
      <c r="H670" s="5">
        <v>41594</v>
      </c>
      <c r="I670" s="5">
        <v>5775</v>
      </c>
      <c r="J670" s="6">
        <f t="shared" si="10"/>
        <v>35819</v>
      </c>
    </row>
    <row r="671" spans="1:10">
      <c r="A671" s="5">
        <v>31299</v>
      </c>
      <c r="B671" s="5" t="s">
        <v>16</v>
      </c>
      <c r="C671" s="5" t="s">
        <v>20</v>
      </c>
      <c r="D671" s="5" t="s">
        <v>32</v>
      </c>
      <c r="E671" s="5" t="s">
        <v>19</v>
      </c>
      <c r="F671" s="5" t="s">
        <v>28</v>
      </c>
      <c r="G671" s="5" t="s">
        <v>24</v>
      </c>
      <c r="H671" s="5">
        <v>499</v>
      </c>
      <c r="I671" s="5">
        <v>0</v>
      </c>
      <c r="J671" s="6">
        <f t="shared" si="10"/>
        <v>499</v>
      </c>
    </row>
    <row r="672" spans="1:10">
      <c r="A672" s="5">
        <v>234031</v>
      </c>
      <c r="B672" s="5" t="s">
        <v>16</v>
      </c>
      <c r="C672" s="5" t="s">
        <v>17</v>
      </c>
      <c r="D672" s="5" t="s">
        <v>36</v>
      </c>
      <c r="E672" s="5" t="s">
        <v>13</v>
      </c>
      <c r="F672" s="5" t="s">
        <v>14</v>
      </c>
      <c r="G672" s="5" t="s">
        <v>24</v>
      </c>
      <c r="H672" s="5">
        <v>32571</v>
      </c>
      <c r="I672" s="5">
        <v>780</v>
      </c>
      <c r="J672" s="6">
        <f t="shared" si="10"/>
        <v>31791</v>
      </c>
    </row>
    <row r="673" spans="1:10">
      <c r="A673" s="5">
        <v>163500</v>
      </c>
      <c r="B673" s="5" t="s">
        <v>16</v>
      </c>
      <c r="C673" s="5" t="s">
        <v>27</v>
      </c>
      <c r="D673" s="5" t="s">
        <v>21</v>
      </c>
      <c r="E673" s="5" t="s">
        <v>19</v>
      </c>
      <c r="F673" s="5" t="s">
        <v>14</v>
      </c>
      <c r="G673" s="5" t="s">
        <v>24</v>
      </c>
      <c r="H673" s="5">
        <v>39858</v>
      </c>
      <c r="I673" s="5">
        <v>316</v>
      </c>
      <c r="J673" s="6">
        <f t="shared" si="10"/>
        <v>39542</v>
      </c>
    </row>
    <row r="674" spans="1:10">
      <c r="A674" s="5">
        <v>179672</v>
      </c>
      <c r="B674" s="5" t="s">
        <v>16</v>
      </c>
      <c r="C674" s="5" t="s">
        <v>31</v>
      </c>
      <c r="D674" s="5" t="s">
        <v>18</v>
      </c>
      <c r="E674" s="5" t="s">
        <v>19</v>
      </c>
      <c r="F674" s="5" t="s">
        <v>14</v>
      </c>
      <c r="G674" s="5" t="s">
        <v>24</v>
      </c>
      <c r="H674" s="5">
        <v>17427</v>
      </c>
      <c r="I674" s="5">
        <v>164</v>
      </c>
      <c r="J674" s="6">
        <f t="shared" si="10"/>
        <v>17263</v>
      </c>
    </row>
    <row r="675" spans="1:10">
      <c r="A675" s="5">
        <v>200015</v>
      </c>
      <c r="B675" s="5" t="s">
        <v>10</v>
      </c>
      <c r="C675" s="5" t="s">
        <v>37</v>
      </c>
      <c r="D675" s="5" t="s">
        <v>12</v>
      </c>
      <c r="E675" s="5" t="s">
        <v>13</v>
      </c>
      <c r="F675" s="5" t="s">
        <v>28</v>
      </c>
      <c r="G675" s="5" t="s">
        <v>15</v>
      </c>
      <c r="H675" s="5">
        <v>169967</v>
      </c>
      <c r="I675" s="5">
        <v>5465</v>
      </c>
      <c r="J675" s="6">
        <f t="shared" si="10"/>
        <v>164502</v>
      </c>
    </row>
    <row r="676" spans="1:10">
      <c r="A676" s="5">
        <v>29681</v>
      </c>
      <c r="B676" s="5" t="s">
        <v>16</v>
      </c>
      <c r="C676" s="5" t="s">
        <v>11</v>
      </c>
      <c r="D676" s="5" t="s">
        <v>32</v>
      </c>
      <c r="E676" s="5" t="s">
        <v>13</v>
      </c>
      <c r="F676" s="5" t="s">
        <v>14</v>
      </c>
      <c r="G676" s="5" t="s">
        <v>15</v>
      </c>
      <c r="H676" s="5">
        <v>27854</v>
      </c>
      <c r="I676" s="5">
        <v>3</v>
      </c>
      <c r="J676" s="6">
        <f t="shared" si="10"/>
        <v>27851</v>
      </c>
    </row>
    <row r="677" spans="1:10">
      <c r="A677" s="5">
        <v>100138</v>
      </c>
      <c r="B677" s="5" t="s">
        <v>16</v>
      </c>
      <c r="C677" s="5" t="s">
        <v>11</v>
      </c>
      <c r="D677" s="5" t="s">
        <v>30</v>
      </c>
      <c r="E677" s="5" t="s">
        <v>13</v>
      </c>
      <c r="F677" s="5" t="s">
        <v>14</v>
      </c>
      <c r="G677" s="5" t="s">
        <v>15</v>
      </c>
      <c r="H677" s="5">
        <v>23903</v>
      </c>
      <c r="I677" s="5">
        <v>490</v>
      </c>
      <c r="J677" s="6">
        <f t="shared" si="10"/>
        <v>23413</v>
      </c>
    </row>
    <row r="678" spans="1:10">
      <c r="A678" s="5">
        <v>183256</v>
      </c>
      <c r="B678" s="5" t="s">
        <v>10</v>
      </c>
      <c r="C678" s="5" t="s">
        <v>20</v>
      </c>
      <c r="D678" s="5" t="s">
        <v>32</v>
      </c>
      <c r="E678" s="5" t="s">
        <v>13</v>
      </c>
      <c r="F678" s="5" t="s">
        <v>14</v>
      </c>
      <c r="G678" s="5" t="s">
        <v>15</v>
      </c>
      <c r="H678" s="5">
        <v>12859</v>
      </c>
      <c r="I678" s="5">
        <v>0</v>
      </c>
      <c r="J678" s="6">
        <f t="shared" si="10"/>
        <v>12859</v>
      </c>
    </row>
    <row r="679" spans="1:10">
      <c r="A679" s="5">
        <v>215528</v>
      </c>
      <c r="B679" s="5" t="s">
        <v>10</v>
      </c>
      <c r="C679" s="5" t="s">
        <v>39</v>
      </c>
      <c r="D679" s="5" t="s">
        <v>30</v>
      </c>
      <c r="E679" s="5" t="s">
        <v>13</v>
      </c>
      <c r="F679" s="5" t="s">
        <v>14</v>
      </c>
      <c r="G679" s="5" t="s">
        <v>15</v>
      </c>
      <c r="H679" s="5">
        <v>23531</v>
      </c>
      <c r="I679" s="5">
        <v>164</v>
      </c>
      <c r="J679" s="6">
        <f t="shared" si="10"/>
        <v>23367</v>
      </c>
    </row>
    <row r="680" spans="1:10">
      <c r="A680" s="5">
        <v>255425</v>
      </c>
      <c r="B680" s="5" t="s">
        <v>10</v>
      </c>
      <c r="C680" s="5" t="s">
        <v>17</v>
      </c>
      <c r="D680" s="5" t="s">
        <v>21</v>
      </c>
      <c r="E680" s="5" t="s">
        <v>19</v>
      </c>
      <c r="F680" s="5" t="s">
        <v>14</v>
      </c>
      <c r="G680" s="5" t="s">
        <v>24</v>
      </c>
      <c r="H680" s="5">
        <v>28105</v>
      </c>
      <c r="I680" s="5">
        <v>4479</v>
      </c>
      <c r="J680" s="6">
        <f t="shared" si="10"/>
        <v>23626</v>
      </c>
    </row>
    <row r="681" spans="1:10">
      <c r="A681" s="5">
        <v>90196</v>
      </c>
      <c r="B681" s="5" t="s">
        <v>10</v>
      </c>
      <c r="C681" s="5" t="s">
        <v>37</v>
      </c>
      <c r="D681" s="5" t="s">
        <v>30</v>
      </c>
      <c r="E681" s="5" t="s">
        <v>13</v>
      </c>
      <c r="F681" s="5" t="s">
        <v>14</v>
      </c>
      <c r="G681" s="5" t="s">
        <v>15</v>
      </c>
      <c r="H681" s="5">
        <v>184333</v>
      </c>
      <c r="I681" s="5">
        <v>3533</v>
      </c>
      <c r="J681" s="6">
        <f t="shared" si="10"/>
        <v>180800</v>
      </c>
    </row>
    <row r="682" spans="1:10">
      <c r="A682" s="5">
        <v>50413</v>
      </c>
      <c r="B682" s="5" t="s">
        <v>16</v>
      </c>
      <c r="C682" s="5" t="s">
        <v>35</v>
      </c>
      <c r="D682" s="5" t="s">
        <v>30</v>
      </c>
      <c r="E682" s="5" t="s">
        <v>13</v>
      </c>
      <c r="F682" s="5" t="s">
        <v>14</v>
      </c>
      <c r="G682" s="5" t="s">
        <v>15</v>
      </c>
      <c r="H682" s="5">
        <v>53904</v>
      </c>
      <c r="I682" s="5">
        <v>1732</v>
      </c>
      <c r="J682" s="6">
        <f t="shared" si="10"/>
        <v>52172</v>
      </c>
    </row>
    <row r="683" spans="1:10">
      <c r="A683" s="5">
        <v>210414</v>
      </c>
      <c r="B683" s="5" t="s">
        <v>10</v>
      </c>
      <c r="C683" s="5" t="s">
        <v>37</v>
      </c>
      <c r="D683" s="5" t="s">
        <v>29</v>
      </c>
      <c r="E683" s="5" t="s">
        <v>19</v>
      </c>
      <c r="F683" s="5" t="s">
        <v>14</v>
      </c>
      <c r="G683" s="5" t="s">
        <v>15</v>
      </c>
      <c r="H683" s="5">
        <v>175129</v>
      </c>
      <c r="I683" s="5">
        <v>326</v>
      </c>
      <c r="J683" s="6">
        <f t="shared" si="10"/>
        <v>174803</v>
      </c>
    </row>
    <row r="684" spans="1:10">
      <c r="A684" s="5">
        <v>93194</v>
      </c>
      <c r="B684" s="5" t="s">
        <v>10</v>
      </c>
      <c r="C684" s="5" t="s">
        <v>20</v>
      </c>
      <c r="D684" s="5" t="s">
        <v>21</v>
      </c>
      <c r="E684" s="5" t="s">
        <v>13</v>
      </c>
      <c r="F684" s="5" t="s">
        <v>14</v>
      </c>
      <c r="G684" s="5" t="s">
        <v>15</v>
      </c>
      <c r="H684" s="5">
        <v>25284</v>
      </c>
      <c r="I684" s="5">
        <v>10570</v>
      </c>
      <c r="J684" s="6">
        <f t="shared" si="10"/>
        <v>14714</v>
      </c>
    </row>
    <row r="685" spans="1:10">
      <c r="A685" s="5">
        <v>200380</v>
      </c>
      <c r="B685" s="5" t="s">
        <v>10</v>
      </c>
      <c r="C685" s="5" t="s">
        <v>37</v>
      </c>
      <c r="D685" s="5" t="s">
        <v>30</v>
      </c>
      <c r="E685" s="5" t="s">
        <v>13</v>
      </c>
      <c r="F685" s="5" t="s">
        <v>14</v>
      </c>
      <c r="G685" s="5" t="s">
        <v>15</v>
      </c>
      <c r="H685" s="5">
        <v>329651</v>
      </c>
      <c r="I685" s="5">
        <v>46867</v>
      </c>
      <c r="J685" s="6">
        <f t="shared" si="10"/>
        <v>282784</v>
      </c>
    </row>
    <row r="686" spans="1:10">
      <c r="A686" s="5">
        <v>9396</v>
      </c>
      <c r="B686" s="5" t="s">
        <v>10</v>
      </c>
      <c r="C686" s="5" t="s">
        <v>20</v>
      </c>
      <c r="D686" s="5" t="s">
        <v>32</v>
      </c>
      <c r="E686" s="5" t="s">
        <v>13</v>
      </c>
      <c r="F686" s="5" t="s">
        <v>14</v>
      </c>
      <c r="G686" s="5" t="s">
        <v>15</v>
      </c>
      <c r="H686" s="5">
        <v>23983</v>
      </c>
      <c r="I686" s="5">
        <v>832</v>
      </c>
      <c r="J686" s="6">
        <f t="shared" si="10"/>
        <v>23151</v>
      </c>
    </row>
    <row r="687" spans="1:10">
      <c r="A687" s="5">
        <v>32871</v>
      </c>
      <c r="B687" s="5" t="s">
        <v>10</v>
      </c>
      <c r="C687" s="5" t="s">
        <v>35</v>
      </c>
      <c r="D687" s="5" t="s">
        <v>30</v>
      </c>
      <c r="E687" s="5" t="s">
        <v>19</v>
      </c>
      <c r="F687" s="5" t="s">
        <v>14</v>
      </c>
      <c r="G687" s="5" t="s">
        <v>24</v>
      </c>
      <c r="H687" s="5">
        <v>79165</v>
      </c>
      <c r="I687" s="5">
        <v>6037</v>
      </c>
      <c r="J687" s="6">
        <f t="shared" si="10"/>
        <v>73128</v>
      </c>
    </row>
    <row r="688" spans="1:10">
      <c r="A688" s="5">
        <v>199881</v>
      </c>
      <c r="B688" s="5" t="s">
        <v>10</v>
      </c>
      <c r="C688" s="5" t="s">
        <v>37</v>
      </c>
      <c r="D688" s="5" t="s">
        <v>36</v>
      </c>
      <c r="E688" s="5" t="s">
        <v>13</v>
      </c>
      <c r="F688" s="5" t="s">
        <v>14</v>
      </c>
      <c r="G688" s="5" t="s">
        <v>15</v>
      </c>
      <c r="H688" s="5">
        <v>92935</v>
      </c>
      <c r="I688" s="5">
        <v>1255</v>
      </c>
      <c r="J688" s="6">
        <f t="shared" si="10"/>
        <v>91680</v>
      </c>
    </row>
    <row r="689" spans="1:10">
      <c r="A689" s="5">
        <v>252786</v>
      </c>
      <c r="B689" s="5" t="s">
        <v>16</v>
      </c>
      <c r="C689" s="5" t="s">
        <v>17</v>
      </c>
      <c r="D689" s="5" t="s">
        <v>32</v>
      </c>
      <c r="E689" s="5" t="s">
        <v>13</v>
      </c>
      <c r="F689" s="5" t="s">
        <v>14</v>
      </c>
      <c r="G689" s="5" t="s">
        <v>24</v>
      </c>
      <c r="H689" s="5">
        <v>5023</v>
      </c>
      <c r="I689" s="5">
        <v>0</v>
      </c>
      <c r="J689" s="6">
        <f t="shared" si="10"/>
        <v>5023</v>
      </c>
    </row>
    <row r="690" spans="1:10">
      <c r="A690" s="5">
        <v>82555</v>
      </c>
      <c r="B690" s="5" t="s">
        <v>16</v>
      </c>
      <c r="C690" s="5" t="s">
        <v>34</v>
      </c>
      <c r="D690" s="5" t="s">
        <v>18</v>
      </c>
      <c r="E690" s="5" t="s">
        <v>19</v>
      </c>
      <c r="F690" s="5" t="s">
        <v>28</v>
      </c>
      <c r="G690" s="5" t="s">
        <v>24</v>
      </c>
      <c r="H690" s="5">
        <v>40466</v>
      </c>
      <c r="I690" s="5">
        <v>795</v>
      </c>
      <c r="J690" s="6">
        <f t="shared" si="10"/>
        <v>39671</v>
      </c>
    </row>
    <row r="691" spans="1:10">
      <c r="A691" s="5">
        <v>7284</v>
      </c>
      <c r="B691" s="5" t="s">
        <v>16</v>
      </c>
      <c r="C691" s="5" t="s">
        <v>38</v>
      </c>
      <c r="D691" s="5" t="s">
        <v>32</v>
      </c>
      <c r="E691" s="5" t="s">
        <v>19</v>
      </c>
      <c r="F691" s="5" t="s">
        <v>28</v>
      </c>
      <c r="G691" s="5" t="s">
        <v>24</v>
      </c>
      <c r="H691" s="5">
        <v>560</v>
      </c>
      <c r="I691" s="5">
        <v>0</v>
      </c>
      <c r="J691" s="6">
        <f t="shared" si="10"/>
        <v>560</v>
      </c>
    </row>
    <row r="692" spans="1:10">
      <c r="A692" s="5">
        <v>151875</v>
      </c>
      <c r="B692" s="5" t="s">
        <v>10</v>
      </c>
      <c r="C692" s="5" t="s">
        <v>22</v>
      </c>
      <c r="D692" s="5" t="s">
        <v>26</v>
      </c>
      <c r="E692" s="5" t="s">
        <v>13</v>
      </c>
      <c r="F692" s="5" t="s">
        <v>28</v>
      </c>
      <c r="G692" s="5" t="s">
        <v>24</v>
      </c>
      <c r="H692" s="5">
        <v>79168</v>
      </c>
      <c r="I692" s="5">
        <v>1895</v>
      </c>
      <c r="J692" s="6">
        <f t="shared" si="10"/>
        <v>77273</v>
      </c>
    </row>
    <row r="693" spans="1:10">
      <c r="A693" s="5">
        <v>89513</v>
      </c>
      <c r="B693" s="5" t="s">
        <v>10</v>
      </c>
      <c r="C693" s="5" t="s">
        <v>38</v>
      </c>
      <c r="D693" s="5" t="s">
        <v>32</v>
      </c>
      <c r="E693" s="5" t="s">
        <v>19</v>
      </c>
      <c r="F693" s="5" t="s">
        <v>28</v>
      </c>
      <c r="G693" s="5" t="s">
        <v>24</v>
      </c>
      <c r="H693" s="5">
        <v>19087</v>
      </c>
      <c r="I693" s="5">
        <v>0</v>
      </c>
      <c r="J693" s="6">
        <f t="shared" si="10"/>
        <v>19087</v>
      </c>
    </row>
    <row r="694" spans="1:10">
      <c r="A694" s="5">
        <v>235265</v>
      </c>
      <c r="B694" s="5" t="s">
        <v>10</v>
      </c>
      <c r="C694" s="5" t="s">
        <v>17</v>
      </c>
      <c r="D694" s="5" t="s">
        <v>23</v>
      </c>
      <c r="E694" s="5" t="s">
        <v>13</v>
      </c>
      <c r="F694" s="5" t="s">
        <v>14</v>
      </c>
      <c r="G694" s="5" t="s">
        <v>15</v>
      </c>
      <c r="H694" s="5">
        <v>43712</v>
      </c>
      <c r="I694" s="5">
        <v>538</v>
      </c>
      <c r="J694" s="6">
        <f t="shared" si="10"/>
        <v>43174</v>
      </c>
    </row>
    <row r="695" spans="1:10">
      <c r="A695" s="5">
        <v>161513</v>
      </c>
      <c r="B695" s="5" t="s">
        <v>10</v>
      </c>
      <c r="C695" s="5" t="s">
        <v>25</v>
      </c>
      <c r="D695" s="5" t="s">
        <v>30</v>
      </c>
      <c r="E695" s="5" t="s">
        <v>13</v>
      </c>
      <c r="F695" s="5" t="s">
        <v>28</v>
      </c>
      <c r="G695" s="5" t="s">
        <v>15</v>
      </c>
      <c r="H695" s="5">
        <v>24109</v>
      </c>
      <c r="I695" s="5">
        <v>2931</v>
      </c>
      <c r="J695" s="6">
        <f t="shared" si="10"/>
        <v>21178</v>
      </c>
    </row>
    <row r="696" spans="1:10">
      <c r="A696" s="5">
        <v>193943</v>
      </c>
      <c r="B696" s="5" t="s">
        <v>16</v>
      </c>
      <c r="C696" s="5" t="s">
        <v>11</v>
      </c>
      <c r="D696" s="5" t="s">
        <v>33</v>
      </c>
      <c r="E696" s="5" t="s">
        <v>19</v>
      </c>
      <c r="F696" s="5" t="s">
        <v>28</v>
      </c>
      <c r="G696" s="5" t="s">
        <v>15</v>
      </c>
      <c r="H696" s="5">
        <v>74283</v>
      </c>
      <c r="I696" s="5">
        <v>552</v>
      </c>
      <c r="J696" s="6">
        <f t="shared" si="10"/>
        <v>73731</v>
      </c>
    </row>
    <row r="697" spans="1:10">
      <c r="A697" s="5">
        <v>147549</v>
      </c>
      <c r="B697" s="5" t="s">
        <v>10</v>
      </c>
      <c r="C697" s="5" t="s">
        <v>31</v>
      </c>
      <c r="D697" s="5" t="s">
        <v>23</v>
      </c>
      <c r="E697" s="5" t="s">
        <v>19</v>
      </c>
      <c r="F697" s="5" t="s">
        <v>28</v>
      </c>
      <c r="G697" s="5" t="s">
        <v>24</v>
      </c>
      <c r="H697" s="5">
        <v>27072</v>
      </c>
      <c r="I697" s="5">
        <v>661</v>
      </c>
      <c r="J697" s="6">
        <f t="shared" si="10"/>
        <v>26411</v>
      </c>
    </row>
    <row r="698" spans="1:10">
      <c r="A698" s="5">
        <v>130304</v>
      </c>
      <c r="B698" s="5" t="s">
        <v>16</v>
      </c>
      <c r="C698" s="5" t="s">
        <v>22</v>
      </c>
      <c r="D698" s="5" t="s">
        <v>36</v>
      </c>
      <c r="E698" s="5" t="s">
        <v>19</v>
      </c>
      <c r="F698" s="5" t="s">
        <v>14</v>
      </c>
      <c r="G698" s="5" t="s">
        <v>24</v>
      </c>
      <c r="H698" s="5">
        <v>29568</v>
      </c>
      <c r="I698" s="5">
        <v>614</v>
      </c>
      <c r="J698" s="6">
        <f t="shared" si="10"/>
        <v>28954</v>
      </c>
    </row>
    <row r="699" spans="1:10">
      <c r="A699" s="5">
        <v>24753</v>
      </c>
      <c r="B699" s="5" t="s">
        <v>10</v>
      </c>
      <c r="C699" s="5" t="s">
        <v>11</v>
      </c>
      <c r="D699" s="5" t="s">
        <v>23</v>
      </c>
      <c r="E699" s="5" t="s">
        <v>13</v>
      </c>
      <c r="F699" s="5" t="s">
        <v>14</v>
      </c>
      <c r="G699" s="5" t="s">
        <v>15</v>
      </c>
      <c r="H699" s="5">
        <v>72248</v>
      </c>
      <c r="I699" s="5">
        <v>1331</v>
      </c>
      <c r="J699" s="6">
        <f t="shared" si="10"/>
        <v>70917</v>
      </c>
    </row>
    <row r="700" spans="1:10">
      <c r="A700" s="5">
        <v>112634</v>
      </c>
      <c r="B700" s="5" t="s">
        <v>10</v>
      </c>
      <c r="C700" s="5" t="s">
        <v>27</v>
      </c>
      <c r="D700" s="5" t="s">
        <v>23</v>
      </c>
      <c r="E700" s="5" t="s">
        <v>13</v>
      </c>
      <c r="F700" s="5" t="s">
        <v>14</v>
      </c>
      <c r="G700" s="5" t="s">
        <v>24</v>
      </c>
      <c r="H700" s="5">
        <v>124770</v>
      </c>
      <c r="I700" s="5">
        <v>26221</v>
      </c>
      <c r="J700" s="6">
        <f t="shared" si="10"/>
        <v>98549</v>
      </c>
    </row>
    <row r="701" spans="1:10">
      <c r="A701" s="5">
        <v>244553</v>
      </c>
      <c r="B701" s="5" t="s">
        <v>16</v>
      </c>
      <c r="C701" s="5" t="s">
        <v>17</v>
      </c>
      <c r="D701" s="5" t="s">
        <v>12</v>
      </c>
      <c r="E701" s="5" t="s">
        <v>19</v>
      </c>
      <c r="F701" s="5" t="s">
        <v>14</v>
      </c>
      <c r="G701" s="5" t="s">
        <v>24</v>
      </c>
      <c r="H701" s="5">
        <v>31481</v>
      </c>
      <c r="I701" s="5">
        <v>1182</v>
      </c>
      <c r="J701" s="6">
        <f t="shared" si="10"/>
        <v>30299</v>
      </c>
    </row>
    <row r="702" spans="1:10">
      <c r="A702" s="5">
        <v>39252</v>
      </c>
      <c r="B702" s="5" t="s">
        <v>16</v>
      </c>
      <c r="C702" s="5" t="s">
        <v>37</v>
      </c>
      <c r="D702" s="5" t="s">
        <v>33</v>
      </c>
      <c r="E702" s="5" t="s">
        <v>13</v>
      </c>
      <c r="F702" s="5" t="s">
        <v>28</v>
      </c>
      <c r="G702" s="5" t="s">
        <v>15</v>
      </c>
      <c r="H702" s="5">
        <v>71534</v>
      </c>
      <c r="I702" s="5">
        <v>1001</v>
      </c>
      <c r="J702" s="6">
        <f t="shared" si="10"/>
        <v>70533</v>
      </c>
    </row>
    <row r="703" spans="1:10">
      <c r="A703" s="5">
        <v>36295</v>
      </c>
      <c r="B703" s="5" t="s">
        <v>16</v>
      </c>
      <c r="C703" s="5" t="s">
        <v>11</v>
      </c>
      <c r="D703" s="5" t="s">
        <v>33</v>
      </c>
      <c r="E703" s="5" t="s">
        <v>13</v>
      </c>
      <c r="F703" s="5" t="s">
        <v>14</v>
      </c>
      <c r="G703" s="5" t="s">
        <v>24</v>
      </c>
      <c r="H703" s="5">
        <v>55183</v>
      </c>
      <c r="I703" s="5">
        <v>520</v>
      </c>
      <c r="J703" s="6">
        <f t="shared" si="10"/>
        <v>54663</v>
      </c>
    </row>
    <row r="704" spans="1:10">
      <c r="A704" s="5">
        <v>5787</v>
      </c>
      <c r="B704" s="5" t="s">
        <v>10</v>
      </c>
      <c r="C704" s="5" t="s">
        <v>38</v>
      </c>
      <c r="D704" s="5" t="s">
        <v>12</v>
      </c>
      <c r="E704" s="5" t="s">
        <v>13</v>
      </c>
      <c r="F704" s="5" t="s">
        <v>14</v>
      </c>
      <c r="G704" s="5" t="s">
        <v>15</v>
      </c>
      <c r="H704" s="5">
        <v>403365</v>
      </c>
      <c r="I704" s="5">
        <v>7349</v>
      </c>
      <c r="J704" s="6">
        <f t="shared" si="10"/>
        <v>396016</v>
      </c>
    </row>
    <row r="705" spans="1:10">
      <c r="A705" s="5">
        <v>24663</v>
      </c>
      <c r="B705" s="5" t="s">
        <v>10</v>
      </c>
      <c r="C705" s="5" t="s">
        <v>11</v>
      </c>
      <c r="D705" s="5" t="s">
        <v>26</v>
      </c>
      <c r="E705" s="5" t="s">
        <v>13</v>
      </c>
      <c r="F705" s="5" t="s">
        <v>14</v>
      </c>
      <c r="G705" s="5" t="s">
        <v>24</v>
      </c>
      <c r="H705" s="5">
        <v>161394</v>
      </c>
      <c r="I705" s="5">
        <v>4678</v>
      </c>
      <c r="J705" s="6">
        <f t="shared" si="10"/>
        <v>156716</v>
      </c>
    </row>
    <row r="706" spans="1:10">
      <c r="A706" s="5">
        <v>62368</v>
      </c>
      <c r="B706" s="5" t="s">
        <v>16</v>
      </c>
      <c r="C706" s="5" t="s">
        <v>38</v>
      </c>
      <c r="D706" s="5" t="s">
        <v>32</v>
      </c>
      <c r="E706" s="5" t="s">
        <v>13</v>
      </c>
      <c r="F706" s="5" t="s">
        <v>14</v>
      </c>
      <c r="G706" s="5" t="s">
        <v>15</v>
      </c>
      <c r="H706" s="5">
        <v>26245</v>
      </c>
      <c r="I706" s="5">
        <v>1489</v>
      </c>
      <c r="J706" s="6">
        <f t="shared" ref="J706:J769" si="11">H706-I706</f>
        <v>24756</v>
      </c>
    </row>
    <row r="707" spans="1:10">
      <c r="A707" s="5">
        <v>49875</v>
      </c>
      <c r="B707" s="5" t="s">
        <v>10</v>
      </c>
      <c r="C707" s="5" t="s">
        <v>35</v>
      </c>
      <c r="D707" s="5" t="s">
        <v>30</v>
      </c>
      <c r="E707" s="5" t="s">
        <v>13</v>
      </c>
      <c r="F707" s="5" t="s">
        <v>14</v>
      </c>
      <c r="G707" s="5" t="s">
        <v>15</v>
      </c>
      <c r="H707" s="5">
        <v>308731</v>
      </c>
      <c r="I707" s="5">
        <v>4609</v>
      </c>
      <c r="J707" s="6">
        <f t="shared" si="11"/>
        <v>304122</v>
      </c>
    </row>
    <row r="708" spans="1:10">
      <c r="A708" s="5">
        <v>235271</v>
      </c>
      <c r="B708" s="5" t="s">
        <v>10</v>
      </c>
      <c r="C708" s="5" t="s">
        <v>17</v>
      </c>
      <c r="D708" s="5" t="s">
        <v>21</v>
      </c>
      <c r="E708" s="5" t="s">
        <v>13</v>
      </c>
      <c r="F708" s="5" t="s">
        <v>14</v>
      </c>
      <c r="G708" s="5" t="s">
        <v>24</v>
      </c>
      <c r="H708" s="5">
        <v>77110</v>
      </c>
      <c r="I708" s="5">
        <v>6523</v>
      </c>
      <c r="J708" s="6">
        <f t="shared" si="11"/>
        <v>70587</v>
      </c>
    </row>
    <row r="709" spans="1:10">
      <c r="A709" s="5">
        <v>229718</v>
      </c>
      <c r="B709" s="5" t="s">
        <v>10</v>
      </c>
      <c r="C709" s="5" t="s">
        <v>25</v>
      </c>
      <c r="D709" s="5" t="s">
        <v>29</v>
      </c>
      <c r="E709" s="5" t="s">
        <v>13</v>
      </c>
      <c r="F709" s="5" t="s">
        <v>14</v>
      </c>
      <c r="G709" s="5" t="s">
        <v>15</v>
      </c>
      <c r="H709" s="5">
        <v>142769</v>
      </c>
      <c r="I709" s="5">
        <v>3344</v>
      </c>
      <c r="J709" s="6">
        <f t="shared" si="11"/>
        <v>139425</v>
      </c>
    </row>
    <row r="710" spans="1:10">
      <c r="A710" s="5">
        <v>249239</v>
      </c>
      <c r="B710" s="5" t="s">
        <v>10</v>
      </c>
      <c r="C710" s="5" t="s">
        <v>17</v>
      </c>
      <c r="D710" s="5" t="s">
        <v>33</v>
      </c>
      <c r="E710" s="5" t="s">
        <v>19</v>
      </c>
      <c r="F710" s="5" t="s">
        <v>28</v>
      </c>
      <c r="G710" s="5" t="s">
        <v>15</v>
      </c>
      <c r="H710" s="5">
        <v>39258</v>
      </c>
      <c r="I710" s="5">
        <v>0</v>
      </c>
      <c r="J710" s="6">
        <f t="shared" si="11"/>
        <v>39258</v>
      </c>
    </row>
    <row r="711" spans="1:10">
      <c r="A711" s="5">
        <v>238766</v>
      </c>
      <c r="B711" s="5" t="s">
        <v>10</v>
      </c>
      <c r="C711" s="5" t="s">
        <v>17</v>
      </c>
      <c r="D711" s="5" t="s">
        <v>23</v>
      </c>
      <c r="E711" s="5" t="s">
        <v>19</v>
      </c>
      <c r="F711" s="5" t="s">
        <v>14</v>
      </c>
      <c r="G711" s="5" t="s">
        <v>24</v>
      </c>
      <c r="H711" s="5">
        <v>25625</v>
      </c>
      <c r="I711" s="5">
        <v>337</v>
      </c>
      <c r="J711" s="6">
        <f t="shared" si="11"/>
        <v>25288</v>
      </c>
    </row>
    <row r="712" spans="1:10">
      <c r="A712" s="5">
        <v>6340</v>
      </c>
      <c r="B712" s="5" t="s">
        <v>10</v>
      </c>
      <c r="C712" s="5" t="s">
        <v>39</v>
      </c>
      <c r="D712" s="5" t="s">
        <v>33</v>
      </c>
      <c r="E712" s="5" t="s">
        <v>13</v>
      </c>
      <c r="F712" s="5" t="s">
        <v>14</v>
      </c>
      <c r="G712" s="5" t="s">
        <v>15</v>
      </c>
      <c r="H712" s="5">
        <v>74710</v>
      </c>
      <c r="I712" s="5">
        <v>8333</v>
      </c>
      <c r="J712" s="6">
        <f t="shared" si="11"/>
        <v>66377</v>
      </c>
    </row>
    <row r="713" spans="1:10">
      <c r="A713" s="5">
        <v>151973</v>
      </c>
      <c r="B713" s="5" t="s">
        <v>16</v>
      </c>
      <c r="C713" s="5" t="s">
        <v>22</v>
      </c>
      <c r="D713" s="5" t="s">
        <v>30</v>
      </c>
      <c r="E713" s="5" t="s">
        <v>13</v>
      </c>
      <c r="F713" s="5" t="s">
        <v>14</v>
      </c>
      <c r="G713" s="5" t="s">
        <v>15</v>
      </c>
      <c r="H713" s="5">
        <v>18458</v>
      </c>
      <c r="I713" s="5">
        <v>343</v>
      </c>
      <c r="J713" s="6">
        <f t="shared" si="11"/>
        <v>18115</v>
      </c>
    </row>
    <row r="714" spans="1:10">
      <c r="A714" s="5">
        <v>141007</v>
      </c>
      <c r="B714" s="5" t="s">
        <v>10</v>
      </c>
      <c r="C714" s="5" t="s">
        <v>17</v>
      </c>
      <c r="D714" s="5" t="s">
        <v>18</v>
      </c>
      <c r="E714" s="5" t="s">
        <v>19</v>
      </c>
      <c r="F714" s="5" t="s">
        <v>14</v>
      </c>
      <c r="G714" s="5" t="s">
        <v>24</v>
      </c>
      <c r="H714" s="5">
        <v>63024</v>
      </c>
      <c r="I714" s="5">
        <v>482</v>
      </c>
      <c r="J714" s="6">
        <f t="shared" si="11"/>
        <v>62542</v>
      </c>
    </row>
    <row r="715" spans="1:10">
      <c r="A715" s="5">
        <v>154205</v>
      </c>
      <c r="B715" s="5" t="s">
        <v>10</v>
      </c>
      <c r="C715" s="5" t="s">
        <v>22</v>
      </c>
      <c r="D715" s="5" t="s">
        <v>30</v>
      </c>
      <c r="E715" s="5" t="s">
        <v>13</v>
      </c>
      <c r="F715" s="5" t="s">
        <v>28</v>
      </c>
      <c r="G715" s="5" t="s">
        <v>15</v>
      </c>
      <c r="H715" s="5">
        <v>82987</v>
      </c>
      <c r="I715" s="5">
        <v>2399</v>
      </c>
      <c r="J715" s="6">
        <f t="shared" si="11"/>
        <v>80588</v>
      </c>
    </row>
    <row r="716" spans="1:10">
      <c r="A716" s="5">
        <v>15878</v>
      </c>
      <c r="B716" s="5" t="s">
        <v>10</v>
      </c>
      <c r="C716" s="5" t="s">
        <v>11</v>
      </c>
      <c r="D716" s="5" t="s">
        <v>30</v>
      </c>
      <c r="E716" s="5" t="s">
        <v>13</v>
      </c>
      <c r="F716" s="5" t="s">
        <v>14</v>
      </c>
      <c r="G716" s="5" t="s">
        <v>15</v>
      </c>
      <c r="H716" s="5">
        <v>47465</v>
      </c>
      <c r="I716" s="5">
        <v>2527</v>
      </c>
      <c r="J716" s="6">
        <f t="shared" si="11"/>
        <v>44938</v>
      </c>
    </row>
    <row r="717" spans="1:10">
      <c r="A717" s="5">
        <v>159237</v>
      </c>
      <c r="B717" s="5" t="s">
        <v>16</v>
      </c>
      <c r="C717" s="5" t="s">
        <v>34</v>
      </c>
      <c r="D717" s="5" t="s">
        <v>29</v>
      </c>
      <c r="E717" s="5" t="s">
        <v>19</v>
      </c>
      <c r="F717" s="5" t="s">
        <v>14</v>
      </c>
      <c r="G717" s="5" t="s">
        <v>24</v>
      </c>
      <c r="H717" s="5">
        <v>29069</v>
      </c>
      <c r="I717" s="5">
        <v>2047</v>
      </c>
      <c r="J717" s="6">
        <f t="shared" si="11"/>
        <v>27022</v>
      </c>
    </row>
    <row r="718" spans="1:10">
      <c r="A718" s="5">
        <v>125591</v>
      </c>
      <c r="B718" s="5" t="s">
        <v>16</v>
      </c>
      <c r="C718" s="5" t="s">
        <v>17</v>
      </c>
      <c r="D718" s="5" t="s">
        <v>33</v>
      </c>
      <c r="E718" s="5" t="s">
        <v>19</v>
      </c>
      <c r="F718" s="5" t="s">
        <v>28</v>
      </c>
      <c r="G718" s="5" t="s">
        <v>24</v>
      </c>
      <c r="H718" s="5">
        <v>34294</v>
      </c>
      <c r="I718" s="5">
        <v>1076</v>
      </c>
      <c r="J718" s="6">
        <f t="shared" si="11"/>
        <v>33218</v>
      </c>
    </row>
    <row r="719" spans="1:10">
      <c r="A719" s="5">
        <v>17386</v>
      </c>
      <c r="B719" s="5" t="s">
        <v>16</v>
      </c>
      <c r="C719" s="5" t="s">
        <v>34</v>
      </c>
      <c r="D719" s="5" t="s">
        <v>36</v>
      </c>
      <c r="E719" s="5" t="s">
        <v>13</v>
      </c>
      <c r="F719" s="5" t="s">
        <v>14</v>
      </c>
      <c r="G719" s="5" t="s">
        <v>15</v>
      </c>
      <c r="H719" s="5">
        <v>30106</v>
      </c>
      <c r="I719" s="5">
        <v>1183</v>
      </c>
      <c r="J719" s="6">
        <f t="shared" si="11"/>
        <v>28923</v>
      </c>
    </row>
    <row r="720" spans="1:10">
      <c r="A720" s="5">
        <v>27609</v>
      </c>
      <c r="B720" s="5" t="s">
        <v>10</v>
      </c>
      <c r="C720" s="5" t="s">
        <v>11</v>
      </c>
      <c r="D720" s="5" t="s">
        <v>23</v>
      </c>
      <c r="E720" s="5" t="s">
        <v>19</v>
      </c>
      <c r="F720" s="5" t="s">
        <v>14</v>
      </c>
      <c r="G720" s="5" t="s">
        <v>24</v>
      </c>
      <c r="H720" s="5">
        <v>12363</v>
      </c>
      <c r="I720" s="5">
        <v>168</v>
      </c>
      <c r="J720" s="6">
        <f t="shared" si="11"/>
        <v>12195</v>
      </c>
    </row>
    <row r="721" spans="1:10">
      <c r="A721" s="5">
        <v>176077</v>
      </c>
      <c r="B721" s="5" t="s">
        <v>10</v>
      </c>
      <c r="C721" s="5" t="s">
        <v>22</v>
      </c>
      <c r="D721" s="5" t="s">
        <v>12</v>
      </c>
      <c r="E721" s="5" t="s">
        <v>19</v>
      </c>
      <c r="F721" s="5" t="s">
        <v>14</v>
      </c>
      <c r="G721" s="5" t="s">
        <v>15</v>
      </c>
      <c r="H721" s="5">
        <v>37747</v>
      </c>
      <c r="I721" s="5">
        <v>3058</v>
      </c>
      <c r="J721" s="6">
        <f t="shared" si="11"/>
        <v>34689</v>
      </c>
    </row>
    <row r="722" spans="1:10">
      <c r="A722" s="5">
        <v>251449</v>
      </c>
      <c r="B722" s="5" t="s">
        <v>10</v>
      </c>
      <c r="C722" s="5" t="s">
        <v>17</v>
      </c>
      <c r="D722" s="5" t="s">
        <v>29</v>
      </c>
      <c r="E722" s="5" t="s">
        <v>19</v>
      </c>
      <c r="F722" s="5" t="s">
        <v>28</v>
      </c>
      <c r="G722" s="5" t="s">
        <v>24</v>
      </c>
      <c r="H722" s="5">
        <v>36272</v>
      </c>
      <c r="I722" s="5">
        <v>507</v>
      </c>
      <c r="J722" s="6">
        <f t="shared" si="11"/>
        <v>35765</v>
      </c>
    </row>
    <row r="723" spans="1:10">
      <c r="A723" s="5">
        <v>71684</v>
      </c>
      <c r="B723" s="5" t="s">
        <v>16</v>
      </c>
      <c r="C723" s="5" t="s">
        <v>11</v>
      </c>
      <c r="D723" s="5" t="s">
        <v>33</v>
      </c>
      <c r="E723" s="5" t="s">
        <v>13</v>
      </c>
      <c r="F723" s="5" t="s">
        <v>28</v>
      </c>
      <c r="G723" s="5" t="s">
        <v>15</v>
      </c>
      <c r="H723" s="5">
        <v>15685</v>
      </c>
      <c r="I723" s="5">
        <v>55</v>
      </c>
      <c r="J723" s="6">
        <f t="shared" si="11"/>
        <v>15630</v>
      </c>
    </row>
    <row r="724" spans="1:10">
      <c r="A724" s="5">
        <v>213900</v>
      </c>
      <c r="B724" s="5" t="s">
        <v>10</v>
      </c>
      <c r="C724" s="5" t="s">
        <v>11</v>
      </c>
      <c r="D724" s="5" t="s">
        <v>23</v>
      </c>
      <c r="E724" s="5" t="s">
        <v>13</v>
      </c>
      <c r="F724" s="5" t="s">
        <v>14</v>
      </c>
      <c r="G724" s="5" t="s">
        <v>15</v>
      </c>
      <c r="H724" s="5">
        <v>179410</v>
      </c>
      <c r="I724" s="5">
        <v>3116</v>
      </c>
      <c r="J724" s="6">
        <f t="shared" si="11"/>
        <v>176294</v>
      </c>
    </row>
    <row r="725" spans="1:10">
      <c r="A725" s="5">
        <v>63932</v>
      </c>
      <c r="B725" s="5" t="s">
        <v>10</v>
      </c>
      <c r="C725" s="5" t="s">
        <v>27</v>
      </c>
      <c r="D725" s="5" t="s">
        <v>29</v>
      </c>
      <c r="E725" s="5" t="s">
        <v>13</v>
      </c>
      <c r="F725" s="5" t="s">
        <v>14</v>
      </c>
      <c r="G725" s="5" t="s">
        <v>15</v>
      </c>
      <c r="H725" s="5">
        <v>84562</v>
      </c>
      <c r="I725" s="5">
        <v>6401</v>
      </c>
      <c r="J725" s="6">
        <f t="shared" si="11"/>
        <v>78161</v>
      </c>
    </row>
    <row r="726" spans="1:10">
      <c r="A726" s="5">
        <v>199294</v>
      </c>
      <c r="B726" s="5" t="s">
        <v>16</v>
      </c>
      <c r="C726" s="5" t="s">
        <v>39</v>
      </c>
      <c r="D726" s="5" t="s">
        <v>32</v>
      </c>
      <c r="E726" s="5" t="s">
        <v>13</v>
      </c>
      <c r="F726" s="5" t="s">
        <v>14</v>
      </c>
      <c r="G726" s="5" t="s">
        <v>15</v>
      </c>
      <c r="H726" s="5">
        <v>33852</v>
      </c>
      <c r="I726" s="5">
        <v>528</v>
      </c>
      <c r="J726" s="6">
        <f t="shared" si="11"/>
        <v>33324</v>
      </c>
    </row>
    <row r="727" spans="1:10">
      <c r="A727" s="5">
        <v>72731</v>
      </c>
      <c r="B727" s="5" t="s">
        <v>10</v>
      </c>
      <c r="C727" s="5" t="s">
        <v>27</v>
      </c>
      <c r="D727" s="5" t="s">
        <v>23</v>
      </c>
      <c r="E727" s="5" t="s">
        <v>13</v>
      </c>
      <c r="F727" s="5" t="s">
        <v>14</v>
      </c>
      <c r="G727" s="5" t="s">
        <v>24</v>
      </c>
      <c r="H727" s="5">
        <v>41819</v>
      </c>
      <c r="I727" s="5">
        <v>1012</v>
      </c>
      <c r="J727" s="6">
        <f t="shared" si="11"/>
        <v>40807</v>
      </c>
    </row>
    <row r="728" spans="1:10">
      <c r="A728" s="5">
        <v>99834</v>
      </c>
      <c r="B728" s="5" t="s">
        <v>16</v>
      </c>
      <c r="C728" s="5" t="s">
        <v>34</v>
      </c>
      <c r="D728" s="5" t="s">
        <v>36</v>
      </c>
      <c r="E728" s="5" t="s">
        <v>19</v>
      </c>
      <c r="F728" s="5" t="s">
        <v>14</v>
      </c>
      <c r="G728" s="5" t="s">
        <v>24</v>
      </c>
      <c r="H728" s="5">
        <v>38434</v>
      </c>
      <c r="I728" s="5">
        <v>317</v>
      </c>
      <c r="J728" s="6">
        <f t="shared" si="11"/>
        <v>38117</v>
      </c>
    </row>
    <row r="729" spans="1:10">
      <c r="A729" s="5">
        <v>161786</v>
      </c>
      <c r="B729" s="5" t="s">
        <v>16</v>
      </c>
      <c r="C729" s="5" t="s">
        <v>25</v>
      </c>
      <c r="D729" s="5" t="s">
        <v>30</v>
      </c>
      <c r="E729" s="5" t="s">
        <v>13</v>
      </c>
      <c r="F729" s="5" t="s">
        <v>14</v>
      </c>
      <c r="G729" s="5" t="s">
        <v>24</v>
      </c>
      <c r="H729" s="5">
        <v>28082</v>
      </c>
      <c r="I729" s="5">
        <v>1764</v>
      </c>
      <c r="J729" s="6">
        <f t="shared" si="11"/>
        <v>26318</v>
      </c>
    </row>
    <row r="730" spans="1:10">
      <c r="A730" s="5">
        <v>95259</v>
      </c>
      <c r="B730" s="5" t="s">
        <v>16</v>
      </c>
      <c r="C730" s="5" t="s">
        <v>38</v>
      </c>
      <c r="D730" s="5" t="s">
        <v>33</v>
      </c>
      <c r="E730" s="5" t="s">
        <v>13</v>
      </c>
      <c r="F730" s="5" t="s">
        <v>14</v>
      </c>
      <c r="G730" s="5" t="s">
        <v>15</v>
      </c>
      <c r="H730" s="5">
        <v>23775</v>
      </c>
      <c r="I730" s="5">
        <v>833</v>
      </c>
      <c r="J730" s="6">
        <f t="shared" si="11"/>
        <v>22942</v>
      </c>
    </row>
    <row r="731" spans="1:10">
      <c r="A731" s="5">
        <v>178749</v>
      </c>
      <c r="B731" s="5" t="s">
        <v>16</v>
      </c>
      <c r="C731" s="5" t="s">
        <v>17</v>
      </c>
      <c r="D731" s="5" t="s">
        <v>33</v>
      </c>
      <c r="E731" s="5" t="s">
        <v>19</v>
      </c>
      <c r="F731" s="5" t="s">
        <v>28</v>
      </c>
      <c r="G731" s="5" t="s">
        <v>24</v>
      </c>
      <c r="H731" s="5">
        <v>21889</v>
      </c>
      <c r="I731" s="5">
        <v>0</v>
      </c>
      <c r="J731" s="6">
        <f t="shared" si="11"/>
        <v>21889</v>
      </c>
    </row>
    <row r="732" spans="1:10">
      <c r="A732" s="5">
        <v>34593</v>
      </c>
      <c r="B732" s="5" t="s">
        <v>10</v>
      </c>
      <c r="C732" s="5" t="s">
        <v>35</v>
      </c>
      <c r="D732" s="5" t="s">
        <v>30</v>
      </c>
      <c r="E732" s="5" t="s">
        <v>13</v>
      </c>
      <c r="F732" s="5" t="s">
        <v>28</v>
      </c>
      <c r="G732" s="5" t="s">
        <v>15</v>
      </c>
      <c r="H732" s="5">
        <v>102932</v>
      </c>
      <c r="I732" s="5">
        <v>3460</v>
      </c>
      <c r="J732" s="6">
        <f t="shared" si="11"/>
        <v>99472</v>
      </c>
    </row>
    <row r="733" spans="1:10">
      <c r="A733" s="5">
        <v>97724</v>
      </c>
      <c r="B733" s="5" t="s">
        <v>16</v>
      </c>
      <c r="C733" s="5" t="s">
        <v>34</v>
      </c>
      <c r="D733" s="5" t="s">
        <v>36</v>
      </c>
      <c r="E733" s="5" t="s">
        <v>13</v>
      </c>
      <c r="F733" s="5" t="s">
        <v>14</v>
      </c>
      <c r="G733" s="5" t="s">
        <v>24</v>
      </c>
      <c r="H733" s="5">
        <v>34074</v>
      </c>
      <c r="I733" s="5">
        <v>1060</v>
      </c>
      <c r="J733" s="6">
        <f t="shared" si="11"/>
        <v>33014</v>
      </c>
    </row>
    <row r="734" spans="1:10">
      <c r="A734" s="5">
        <v>95696</v>
      </c>
      <c r="B734" s="5" t="s">
        <v>16</v>
      </c>
      <c r="C734" s="5" t="s">
        <v>39</v>
      </c>
      <c r="D734" s="5" t="s">
        <v>32</v>
      </c>
      <c r="E734" s="5" t="s">
        <v>13</v>
      </c>
      <c r="F734" s="5" t="s">
        <v>14</v>
      </c>
      <c r="G734" s="5" t="s">
        <v>15</v>
      </c>
      <c r="H734" s="5">
        <v>83420</v>
      </c>
      <c r="I734" s="5">
        <v>2844</v>
      </c>
      <c r="J734" s="6">
        <f t="shared" si="11"/>
        <v>80576</v>
      </c>
    </row>
    <row r="735" spans="1:10">
      <c r="A735" s="5">
        <v>177538</v>
      </c>
      <c r="B735" s="5" t="s">
        <v>16</v>
      </c>
      <c r="C735" s="5" t="s">
        <v>25</v>
      </c>
      <c r="D735" s="5" t="s">
        <v>30</v>
      </c>
      <c r="E735" s="5" t="s">
        <v>19</v>
      </c>
      <c r="F735" s="5" t="s">
        <v>28</v>
      </c>
      <c r="G735" s="5" t="s">
        <v>15</v>
      </c>
      <c r="H735" s="5">
        <v>30531</v>
      </c>
      <c r="I735" s="5">
        <v>0</v>
      </c>
      <c r="J735" s="6">
        <f t="shared" si="11"/>
        <v>30531</v>
      </c>
    </row>
    <row r="736" spans="1:10">
      <c r="A736" s="5">
        <v>115505</v>
      </c>
      <c r="B736" s="5" t="s">
        <v>10</v>
      </c>
      <c r="C736" s="5" t="s">
        <v>25</v>
      </c>
      <c r="D736" s="5" t="s">
        <v>12</v>
      </c>
      <c r="E736" s="5" t="s">
        <v>19</v>
      </c>
      <c r="F736" s="5" t="s">
        <v>14</v>
      </c>
      <c r="G736" s="5" t="s">
        <v>15</v>
      </c>
      <c r="H736" s="5">
        <v>95614</v>
      </c>
      <c r="I736" s="5">
        <v>5867</v>
      </c>
      <c r="J736" s="6">
        <f t="shared" si="11"/>
        <v>89747</v>
      </c>
    </row>
    <row r="737" spans="1:10">
      <c r="A737" s="5">
        <v>109731</v>
      </c>
      <c r="B737" s="5" t="s">
        <v>16</v>
      </c>
      <c r="C737" s="5" t="s">
        <v>35</v>
      </c>
      <c r="D737" s="5" t="s">
        <v>26</v>
      </c>
      <c r="E737" s="5" t="s">
        <v>13</v>
      </c>
      <c r="F737" s="5" t="s">
        <v>14</v>
      </c>
      <c r="G737" s="5" t="s">
        <v>24</v>
      </c>
      <c r="H737" s="5">
        <v>4857</v>
      </c>
      <c r="I737" s="5">
        <v>0</v>
      </c>
      <c r="J737" s="6">
        <f t="shared" si="11"/>
        <v>4857</v>
      </c>
    </row>
    <row r="738" spans="1:10">
      <c r="A738" s="5">
        <v>171099</v>
      </c>
      <c r="B738" s="5" t="s">
        <v>10</v>
      </c>
      <c r="C738" s="5" t="s">
        <v>31</v>
      </c>
      <c r="D738" s="5" t="s">
        <v>21</v>
      </c>
      <c r="E738" s="5" t="s">
        <v>19</v>
      </c>
      <c r="F738" s="5" t="s">
        <v>14</v>
      </c>
      <c r="G738" s="5" t="s">
        <v>24</v>
      </c>
      <c r="H738" s="5">
        <v>28839</v>
      </c>
      <c r="I738" s="5">
        <v>605</v>
      </c>
      <c r="J738" s="6">
        <f t="shared" si="11"/>
        <v>28234</v>
      </c>
    </row>
    <row r="739" spans="1:10">
      <c r="A739" s="5">
        <v>227196</v>
      </c>
      <c r="B739" s="5" t="s">
        <v>10</v>
      </c>
      <c r="C739" s="5" t="s">
        <v>25</v>
      </c>
      <c r="D739" s="5" t="s">
        <v>26</v>
      </c>
      <c r="E739" s="5" t="s">
        <v>19</v>
      </c>
      <c r="F739" s="5" t="s">
        <v>28</v>
      </c>
      <c r="G739" s="5" t="s">
        <v>24</v>
      </c>
      <c r="H739" s="5">
        <v>42950</v>
      </c>
      <c r="I739" s="5">
        <v>0</v>
      </c>
      <c r="J739" s="6">
        <f t="shared" si="11"/>
        <v>42950</v>
      </c>
    </row>
    <row r="740" spans="1:10">
      <c r="A740" s="5">
        <v>2664</v>
      </c>
      <c r="B740" s="5" t="s">
        <v>10</v>
      </c>
      <c r="C740" s="5" t="s">
        <v>20</v>
      </c>
      <c r="D740" s="5" t="s">
        <v>32</v>
      </c>
      <c r="E740" s="5" t="s">
        <v>13</v>
      </c>
      <c r="F740" s="5" t="s">
        <v>14</v>
      </c>
      <c r="G740" s="5" t="s">
        <v>24</v>
      </c>
      <c r="H740" s="5">
        <v>17985</v>
      </c>
      <c r="I740" s="5">
        <v>322</v>
      </c>
      <c r="J740" s="6">
        <f t="shared" si="11"/>
        <v>17663</v>
      </c>
    </row>
    <row r="741" spans="1:10">
      <c r="A741" s="5">
        <v>2057</v>
      </c>
      <c r="B741" s="5" t="s">
        <v>16</v>
      </c>
      <c r="C741" s="5" t="s">
        <v>39</v>
      </c>
      <c r="D741" s="5" t="s">
        <v>33</v>
      </c>
      <c r="E741" s="5" t="s">
        <v>19</v>
      </c>
      <c r="F741" s="5" t="s">
        <v>14</v>
      </c>
      <c r="G741" s="5" t="s">
        <v>15</v>
      </c>
      <c r="H741" s="5">
        <v>36043</v>
      </c>
      <c r="I741" s="5">
        <v>7789</v>
      </c>
      <c r="J741" s="6">
        <f t="shared" si="11"/>
        <v>28254</v>
      </c>
    </row>
    <row r="742" spans="1:10">
      <c r="A742" s="5">
        <v>100751</v>
      </c>
      <c r="B742" s="5" t="s">
        <v>10</v>
      </c>
      <c r="C742" s="5" t="s">
        <v>34</v>
      </c>
      <c r="D742" s="5" t="s">
        <v>12</v>
      </c>
      <c r="E742" s="5" t="s">
        <v>13</v>
      </c>
      <c r="F742" s="5" t="s">
        <v>14</v>
      </c>
      <c r="G742" s="5" t="s">
        <v>15</v>
      </c>
      <c r="H742" s="5">
        <v>82008</v>
      </c>
      <c r="I742" s="5">
        <v>4438</v>
      </c>
      <c r="J742" s="6">
        <f t="shared" si="11"/>
        <v>77570</v>
      </c>
    </row>
    <row r="743" spans="1:10">
      <c r="A743" s="5">
        <v>102449</v>
      </c>
      <c r="B743" s="5" t="s">
        <v>16</v>
      </c>
      <c r="C743" s="5" t="s">
        <v>34</v>
      </c>
      <c r="D743" s="5" t="s">
        <v>12</v>
      </c>
      <c r="E743" s="5" t="s">
        <v>13</v>
      </c>
      <c r="F743" s="5" t="s">
        <v>14</v>
      </c>
      <c r="G743" s="5" t="s">
        <v>15</v>
      </c>
      <c r="H743" s="5">
        <v>84090</v>
      </c>
      <c r="I743" s="5">
        <v>4361</v>
      </c>
      <c r="J743" s="6">
        <f t="shared" si="11"/>
        <v>79729</v>
      </c>
    </row>
    <row r="744" spans="1:10">
      <c r="A744" s="5">
        <v>183143</v>
      </c>
      <c r="B744" s="5" t="s">
        <v>10</v>
      </c>
      <c r="C744" s="5" t="s">
        <v>37</v>
      </c>
      <c r="D744" s="5" t="s">
        <v>26</v>
      </c>
      <c r="E744" s="5" t="s">
        <v>13</v>
      </c>
      <c r="F744" s="5" t="s">
        <v>14</v>
      </c>
      <c r="G744" s="5" t="s">
        <v>24</v>
      </c>
      <c r="H744" s="5">
        <v>55127</v>
      </c>
      <c r="I744" s="5">
        <v>1275</v>
      </c>
      <c r="J744" s="6">
        <f t="shared" si="11"/>
        <v>53852</v>
      </c>
    </row>
    <row r="745" spans="1:10">
      <c r="A745" s="5">
        <v>203773</v>
      </c>
      <c r="B745" s="5" t="s">
        <v>16</v>
      </c>
      <c r="C745" s="5" t="s">
        <v>37</v>
      </c>
      <c r="D745" s="5" t="s">
        <v>12</v>
      </c>
      <c r="E745" s="5" t="s">
        <v>13</v>
      </c>
      <c r="F745" s="5" t="s">
        <v>14</v>
      </c>
      <c r="G745" s="5" t="s">
        <v>15</v>
      </c>
      <c r="H745" s="5">
        <v>46703</v>
      </c>
      <c r="I745" s="5">
        <v>325</v>
      </c>
      <c r="J745" s="6">
        <f t="shared" si="11"/>
        <v>46378</v>
      </c>
    </row>
    <row r="746" spans="1:10">
      <c r="A746" s="5">
        <v>48704</v>
      </c>
      <c r="B746" s="5" t="s">
        <v>10</v>
      </c>
      <c r="C746" s="5" t="s">
        <v>27</v>
      </c>
      <c r="D746" s="5" t="s">
        <v>30</v>
      </c>
      <c r="E746" s="5" t="s">
        <v>13</v>
      </c>
      <c r="F746" s="5" t="s">
        <v>14</v>
      </c>
      <c r="G746" s="5" t="s">
        <v>15</v>
      </c>
      <c r="H746" s="5">
        <v>75992</v>
      </c>
      <c r="I746" s="5">
        <v>615</v>
      </c>
      <c r="J746" s="6">
        <f t="shared" si="11"/>
        <v>75377</v>
      </c>
    </row>
    <row r="747" spans="1:10">
      <c r="A747" s="5">
        <v>134449</v>
      </c>
      <c r="B747" s="5" t="s">
        <v>16</v>
      </c>
      <c r="C747" s="5" t="s">
        <v>22</v>
      </c>
      <c r="D747" s="5" t="s">
        <v>30</v>
      </c>
      <c r="E747" s="5" t="s">
        <v>13</v>
      </c>
      <c r="F747" s="5" t="s">
        <v>28</v>
      </c>
      <c r="G747" s="5" t="s">
        <v>15</v>
      </c>
      <c r="H747" s="5">
        <v>47729</v>
      </c>
      <c r="I747" s="5">
        <v>0</v>
      </c>
      <c r="J747" s="6">
        <f t="shared" si="11"/>
        <v>47729</v>
      </c>
    </row>
    <row r="748" spans="1:10">
      <c r="A748" s="5">
        <v>75961</v>
      </c>
      <c r="B748" s="5" t="s">
        <v>16</v>
      </c>
      <c r="C748" s="5" t="s">
        <v>27</v>
      </c>
      <c r="D748" s="5" t="s">
        <v>33</v>
      </c>
      <c r="E748" s="5" t="s">
        <v>19</v>
      </c>
      <c r="F748" s="5" t="s">
        <v>28</v>
      </c>
      <c r="G748" s="5" t="s">
        <v>15</v>
      </c>
      <c r="H748" s="5">
        <v>40390</v>
      </c>
      <c r="I748" s="5">
        <v>318</v>
      </c>
      <c r="J748" s="6">
        <f t="shared" si="11"/>
        <v>40072</v>
      </c>
    </row>
    <row r="749" spans="1:10">
      <c r="A749" s="5">
        <v>241385</v>
      </c>
      <c r="B749" s="5" t="s">
        <v>16</v>
      </c>
      <c r="C749" s="5" t="s">
        <v>35</v>
      </c>
      <c r="D749" s="5" t="s">
        <v>33</v>
      </c>
      <c r="E749" s="5" t="s">
        <v>13</v>
      </c>
      <c r="F749" s="5" t="s">
        <v>14</v>
      </c>
      <c r="G749" s="5" t="s">
        <v>24</v>
      </c>
      <c r="H749" s="5">
        <v>30008</v>
      </c>
      <c r="I749" s="5">
        <v>161</v>
      </c>
      <c r="J749" s="6">
        <f t="shared" si="11"/>
        <v>29847</v>
      </c>
    </row>
    <row r="750" spans="1:10">
      <c r="A750" s="5">
        <v>10099</v>
      </c>
      <c r="B750" s="5" t="s">
        <v>10</v>
      </c>
      <c r="C750" s="5" t="s">
        <v>20</v>
      </c>
      <c r="D750" s="5" t="s">
        <v>32</v>
      </c>
      <c r="E750" s="5" t="s">
        <v>13</v>
      </c>
      <c r="F750" s="5" t="s">
        <v>14</v>
      </c>
      <c r="G750" s="5" t="s">
        <v>15</v>
      </c>
      <c r="H750" s="5">
        <v>77602</v>
      </c>
      <c r="I750" s="5">
        <v>0</v>
      </c>
      <c r="J750" s="6">
        <f t="shared" si="11"/>
        <v>77602</v>
      </c>
    </row>
    <row r="751" spans="1:10">
      <c r="A751" s="5">
        <v>172962</v>
      </c>
      <c r="B751" s="5" t="s">
        <v>16</v>
      </c>
      <c r="C751" s="5" t="s">
        <v>31</v>
      </c>
      <c r="D751" s="5" t="s">
        <v>36</v>
      </c>
      <c r="E751" s="5" t="s">
        <v>19</v>
      </c>
      <c r="F751" s="5" t="s">
        <v>28</v>
      </c>
      <c r="G751" s="5" t="s">
        <v>24</v>
      </c>
      <c r="H751" s="5">
        <v>6657</v>
      </c>
      <c r="I751" s="5">
        <v>0</v>
      </c>
      <c r="J751" s="6">
        <f t="shared" si="11"/>
        <v>6657</v>
      </c>
    </row>
    <row r="752" spans="1:10">
      <c r="A752" s="5">
        <v>209832</v>
      </c>
      <c r="B752" s="5" t="s">
        <v>16</v>
      </c>
      <c r="C752" s="5" t="s">
        <v>38</v>
      </c>
      <c r="D752" s="5" t="s">
        <v>12</v>
      </c>
      <c r="E752" s="5" t="s">
        <v>13</v>
      </c>
      <c r="F752" s="5" t="s">
        <v>14</v>
      </c>
      <c r="G752" s="5" t="s">
        <v>15</v>
      </c>
      <c r="H752" s="5">
        <v>113967</v>
      </c>
      <c r="I752" s="5">
        <v>4431</v>
      </c>
      <c r="J752" s="6">
        <f t="shared" si="11"/>
        <v>109536</v>
      </c>
    </row>
    <row r="753" spans="1:10">
      <c r="A753" s="5">
        <v>237184</v>
      </c>
      <c r="B753" s="5" t="s">
        <v>16</v>
      </c>
      <c r="C753" s="5" t="s">
        <v>25</v>
      </c>
      <c r="D753" s="5" t="s">
        <v>33</v>
      </c>
      <c r="E753" s="5" t="s">
        <v>13</v>
      </c>
      <c r="F753" s="5" t="s">
        <v>14</v>
      </c>
      <c r="G753" s="5" t="s">
        <v>24</v>
      </c>
      <c r="H753" s="5">
        <v>37298</v>
      </c>
      <c r="I753" s="5">
        <v>1880</v>
      </c>
      <c r="J753" s="6">
        <f t="shared" si="11"/>
        <v>35418</v>
      </c>
    </row>
    <row r="754" spans="1:10">
      <c r="A754" s="5">
        <v>74814</v>
      </c>
      <c r="B754" s="5" t="s">
        <v>10</v>
      </c>
      <c r="C754" s="5" t="s">
        <v>34</v>
      </c>
      <c r="D754" s="5" t="s">
        <v>32</v>
      </c>
      <c r="E754" s="5" t="s">
        <v>13</v>
      </c>
      <c r="F754" s="5" t="s">
        <v>14</v>
      </c>
      <c r="G754" s="5" t="s">
        <v>24</v>
      </c>
      <c r="H754" s="5">
        <v>22435</v>
      </c>
      <c r="I754" s="5">
        <v>0</v>
      </c>
      <c r="J754" s="6">
        <f t="shared" si="11"/>
        <v>22435</v>
      </c>
    </row>
    <row r="755" spans="1:10">
      <c r="A755" s="5">
        <v>89712</v>
      </c>
      <c r="B755" s="5" t="s">
        <v>10</v>
      </c>
      <c r="C755" s="5" t="s">
        <v>38</v>
      </c>
      <c r="D755" s="5" t="s">
        <v>32</v>
      </c>
      <c r="E755" s="5" t="s">
        <v>13</v>
      </c>
      <c r="F755" s="5" t="s">
        <v>28</v>
      </c>
      <c r="G755" s="5" t="s">
        <v>15</v>
      </c>
      <c r="H755" s="5">
        <v>6544</v>
      </c>
      <c r="I755" s="5">
        <v>11</v>
      </c>
      <c r="J755" s="6">
        <f t="shared" si="11"/>
        <v>6533</v>
      </c>
    </row>
    <row r="756" spans="1:10">
      <c r="A756" s="5">
        <v>93995</v>
      </c>
      <c r="B756" s="5" t="s">
        <v>10</v>
      </c>
      <c r="C756" s="5" t="s">
        <v>38</v>
      </c>
      <c r="D756" s="5" t="s">
        <v>32</v>
      </c>
      <c r="E756" s="5" t="s">
        <v>13</v>
      </c>
      <c r="F756" s="5" t="s">
        <v>14</v>
      </c>
      <c r="G756" s="5" t="s">
        <v>24</v>
      </c>
      <c r="H756" s="5">
        <v>25845</v>
      </c>
      <c r="I756" s="5">
        <v>1975</v>
      </c>
      <c r="J756" s="6">
        <f t="shared" si="11"/>
        <v>23870</v>
      </c>
    </row>
    <row r="757" spans="1:10">
      <c r="A757" s="5">
        <v>40587</v>
      </c>
      <c r="B757" s="5" t="s">
        <v>16</v>
      </c>
      <c r="C757" s="5" t="s">
        <v>38</v>
      </c>
      <c r="D757" s="5" t="s">
        <v>33</v>
      </c>
      <c r="E757" s="5" t="s">
        <v>13</v>
      </c>
      <c r="F757" s="5" t="s">
        <v>14</v>
      </c>
      <c r="G757" s="5" t="s">
        <v>15</v>
      </c>
      <c r="H757" s="5">
        <v>63641</v>
      </c>
      <c r="I757" s="5">
        <v>63</v>
      </c>
      <c r="J757" s="6">
        <f t="shared" si="11"/>
        <v>63578</v>
      </c>
    </row>
    <row r="758" spans="1:10">
      <c r="A758" s="5">
        <v>139341</v>
      </c>
      <c r="B758" s="5" t="s">
        <v>10</v>
      </c>
      <c r="C758" s="5" t="s">
        <v>25</v>
      </c>
      <c r="D758" s="5" t="s">
        <v>36</v>
      </c>
      <c r="E758" s="5" t="s">
        <v>19</v>
      </c>
      <c r="F758" s="5" t="s">
        <v>14</v>
      </c>
      <c r="G758" s="5" t="s">
        <v>15</v>
      </c>
      <c r="H758" s="5">
        <v>4002</v>
      </c>
      <c r="I758" s="5">
        <v>0</v>
      </c>
      <c r="J758" s="6">
        <f t="shared" si="11"/>
        <v>4002</v>
      </c>
    </row>
    <row r="759" spans="1:10">
      <c r="A759" s="5">
        <v>202417</v>
      </c>
      <c r="B759" s="5" t="s">
        <v>10</v>
      </c>
      <c r="C759" s="5" t="s">
        <v>37</v>
      </c>
      <c r="D759" s="5" t="s">
        <v>30</v>
      </c>
      <c r="E759" s="5" t="s">
        <v>13</v>
      </c>
      <c r="F759" s="5" t="s">
        <v>14</v>
      </c>
      <c r="G759" s="5" t="s">
        <v>15</v>
      </c>
      <c r="H759" s="5">
        <v>54800</v>
      </c>
      <c r="I759" s="5">
        <v>4226</v>
      </c>
      <c r="J759" s="6">
        <f t="shared" si="11"/>
        <v>50574</v>
      </c>
    </row>
    <row r="760" spans="1:10">
      <c r="A760" s="5">
        <v>232392</v>
      </c>
      <c r="B760" s="5" t="s">
        <v>10</v>
      </c>
      <c r="C760" s="5" t="s">
        <v>17</v>
      </c>
      <c r="D760" s="5" t="s">
        <v>18</v>
      </c>
      <c r="E760" s="5" t="s">
        <v>19</v>
      </c>
      <c r="F760" s="5" t="s">
        <v>14</v>
      </c>
      <c r="G760" s="5" t="s">
        <v>24</v>
      </c>
      <c r="H760" s="5">
        <v>25379</v>
      </c>
      <c r="I760" s="5">
        <v>249</v>
      </c>
      <c r="J760" s="6">
        <f t="shared" si="11"/>
        <v>25130</v>
      </c>
    </row>
    <row r="761" spans="1:10">
      <c r="A761" s="5">
        <v>251085</v>
      </c>
      <c r="B761" s="5" t="s">
        <v>10</v>
      </c>
      <c r="C761" s="5" t="s">
        <v>39</v>
      </c>
      <c r="D761" s="5" t="s">
        <v>21</v>
      </c>
      <c r="E761" s="5" t="s">
        <v>13</v>
      </c>
      <c r="F761" s="5" t="s">
        <v>14</v>
      </c>
      <c r="G761" s="5" t="s">
        <v>15</v>
      </c>
      <c r="H761" s="5">
        <v>12899</v>
      </c>
      <c r="I761" s="5">
        <v>0</v>
      </c>
      <c r="J761" s="6">
        <f t="shared" si="11"/>
        <v>12899</v>
      </c>
    </row>
    <row r="762" spans="1:10">
      <c r="A762" s="5">
        <v>165703</v>
      </c>
      <c r="B762" s="5" t="s">
        <v>16</v>
      </c>
      <c r="C762" s="5" t="s">
        <v>27</v>
      </c>
      <c r="D762" s="5" t="s">
        <v>33</v>
      </c>
      <c r="E762" s="5" t="s">
        <v>13</v>
      </c>
      <c r="F762" s="5" t="s">
        <v>28</v>
      </c>
      <c r="G762" s="5" t="s">
        <v>24</v>
      </c>
      <c r="H762" s="5">
        <v>12492</v>
      </c>
      <c r="I762" s="5">
        <v>0</v>
      </c>
      <c r="J762" s="6">
        <f t="shared" si="11"/>
        <v>12492</v>
      </c>
    </row>
    <row r="763" spans="1:10">
      <c r="A763" s="5">
        <v>7293</v>
      </c>
      <c r="B763" s="5" t="s">
        <v>10</v>
      </c>
      <c r="C763" s="5" t="s">
        <v>37</v>
      </c>
      <c r="D763" s="5" t="s">
        <v>12</v>
      </c>
      <c r="E763" s="5" t="s">
        <v>13</v>
      </c>
      <c r="F763" s="5" t="s">
        <v>14</v>
      </c>
      <c r="G763" s="5" t="s">
        <v>15</v>
      </c>
      <c r="H763" s="5">
        <v>308104</v>
      </c>
      <c r="I763" s="5">
        <v>1083</v>
      </c>
      <c r="J763" s="6">
        <f t="shared" si="11"/>
        <v>307021</v>
      </c>
    </row>
    <row r="764" spans="1:10">
      <c r="A764" s="5">
        <v>133874</v>
      </c>
      <c r="B764" s="5" t="s">
        <v>10</v>
      </c>
      <c r="C764" s="5" t="s">
        <v>25</v>
      </c>
      <c r="D764" s="5" t="s">
        <v>21</v>
      </c>
      <c r="E764" s="5" t="s">
        <v>19</v>
      </c>
      <c r="F764" s="5" t="s">
        <v>28</v>
      </c>
      <c r="G764" s="5" t="s">
        <v>24</v>
      </c>
      <c r="H764" s="5">
        <v>4796</v>
      </c>
      <c r="I764" s="5">
        <v>0</v>
      </c>
      <c r="J764" s="6">
        <f t="shared" si="11"/>
        <v>4796</v>
      </c>
    </row>
    <row r="765" spans="1:10">
      <c r="A765" s="5">
        <v>98414</v>
      </c>
      <c r="B765" s="5" t="s">
        <v>10</v>
      </c>
      <c r="C765" s="5" t="s">
        <v>34</v>
      </c>
      <c r="D765" s="5" t="s">
        <v>32</v>
      </c>
      <c r="E765" s="5" t="s">
        <v>13</v>
      </c>
      <c r="F765" s="5" t="s">
        <v>14</v>
      </c>
      <c r="G765" s="5" t="s">
        <v>15</v>
      </c>
      <c r="H765" s="5">
        <v>141894</v>
      </c>
      <c r="I765" s="5">
        <v>3784</v>
      </c>
      <c r="J765" s="6">
        <f t="shared" si="11"/>
        <v>138110</v>
      </c>
    </row>
    <row r="766" spans="1:10">
      <c r="A766" s="5">
        <v>258399</v>
      </c>
      <c r="B766" s="5" t="s">
        <v>10</v>
      </c>
      <c r="C766" s="5" t="s">
        <v>17</v>
      </c>
      <c r="D766" s="5" t="s">
        <v>23</v>
      </c>
      <c r="E766" s="5" t="s">
        <v>19</v>
      </c>
      <c r="F766" s="5" t="s">
        <v>14</v>
      </c>
      <c r="G766" s="5" t="s">
        <v>24</v>
      </c>
      <c r="H766" s="5">
        <v>40195</v>
      </c>
      <c r="I766" s="5">
        <v>4424</v>
      </c>
      <c r="J766" s="6">
        <f t="shared" si="11"/>
        <v>35771</v>
      </c>
    </row>
    <row r="767" spans="1:10">
      <c r="A767" s="5">
        <v>175359</v>
      </c>
      <c r="B767" s="5" t="s">
        <v>16</v>
      </c>
      <c r="C767" s="5" t="s">
        <v>22</v>
      </c>
      <c r="D767" s="5" t="s">
        <v>18</v>
      </c>
      <c r="E767" s="5" t="s">
        <v>13</v>
      </c>
      <c r="F767" s="5" t="s">
        <v>14</v>
      </c>
      <c r="G767" s="5" t="s">
        <v>15</v>
      </c>
      <c r="H767" s="5">
        <v>995</v>
      </c>
      <c r="I767" s="5">
        <v>279</v>
      </c>
      <c r="J767" s="6">
        <f t="shared" si="11"/>
        <v>716</v>
      </c>
    </row>
    <row r="768" spans="1:10">
      <c r="A768" s="5">
        <v>172160</v>
      </c>
      <c r="B768" s="5" t="s">
        <v>16</v>
      </c>
      <c r="C768" s="5" t="s">
        <v>11</v>
      </c>
      <c r="D768" s="5" t="s">
        <v>21</v>
      </c>
      <c r="E768" s="5" t="s">
        <v>13</v>
      </c>
      <c r="F768" s="5" t="s">
        <v>14</v>
      </c>
      <c r="G768" s="5" t="s">
        <v>15</v>
      </c>
      <c r="H768" s="5">
        <v>44641</v>
      </c>
      <c r="I768" s="5">
        <v>444</v>
      </c>
      <c r="J768" s="6">
        <f t="shared" si="11"/>
        <v>44197</v>
      </c>
    </row>
    <row r="769" spans="1:10">
      <c r="A769" s="5">
        <v>19953</v>
      </c>
      <c r="B769" s="5" t="s">
        <v>10</v>
      </c>
      <c r="C769" s="5" t="s">
        <v>11</v>
      </c>
      <c r="D769" s="5" t="s">
        <v>12</v>
      </c>
      <c r="E769" s="5" t="s">
        <v>13</v>
      </c>
      <c r="F769" s="5" t="s">
        <v>14</v>
      </c>
      <c r="G769" s="5" t="s">
        <v>15</v>
      </c>
      <c r="H769" s="5">
        <v>64028</v>
      </c>
      <c r="I769" s="5">
        <v>1640</v>
      </c>
      <c r="J769" s="6">
        <f t="shared" si="11"/>
        <v>62388</v>
      </c>
    </row>
    <row r="770" spans="1:10">
      <c r="A770" s="5">
        <v>134335</v>
      </c>
      <c r="B770" s="5" t="s">
        <v>10</v>
      </c>
      <c r="C770" s="5" t="s">
        <v>25</v>
      </c>
      <c r="D770" s="5" t="s">
        <v>32</v>
      </c>
      <c r="E770" s="5" t="s">
        <v>13</v>
      </c>
      <c r="F770" s="5" t="s">
        <v>14</v>
      </c>
      <c r="G770" s="5" t="s">
        <v>24</v>
      </c>
      <c r="H770" s="5">
        <v>21963</v>
      </c>
      <c r="I770" s="5">
        <v>0</v>
      </c>
      <c r="J770" s="6">
        <f t="shared" ref="J770:J833" si="12">H770-I770</f>
        <v>21963</v>
      </c>
    </row>
    <row r="771" spans="1:10">
      <c r="A771" s="5">
        <v>106589</v>
      </c>
      <c r="B771" s="5" t="s">
        <v>10</v>
      </c>
      <c r="C771" s="5" t="s">
        <v>25</v>
      </c>
      <c r="D771" s="5" t="s">
        <v>26</v>
      </c>
      <c r="E771" s="5" t="s">
        <v>19</v>
      </c>
      <c r="F771" s="5" t="s">
        <v>14</v>
      </c>
      <c r="G771" s="5" t="s">
        <v>24</v>
      </c>
      <c r="H771" s="5">
        <v>93019</v>
      </c>
      <c r="I771" s="5">
        <v>19172</v>
      </c>
      <c r="J771" s="6">
        <f t="shared" si="12"/>
        <v>73847</v>
      </c>
    </row>
    <row r="772" spans="1:10">
      <c r="A772" s="5">
        <v>195840</v>
      </c>
      <c r="B772" s="5" t="s">
        <v>16</v>
      </c>
      <c r="C772" s="5" t="s">
        <v>34</v>
      </c>
      <c r="D772" s="5" t="s">
        <v>26</v>
      </c>
      <c r="E772" s="5" t="s">
        <v>19</v>
      </c>
      <c r="F772" s="5" t="s">
        <v>14</v>
      </c>
      <c r="G772" s="5" t="s">
        <v>24</v>
      </c>
      <c r="H772" s="5">
        <v>34034</v>
      </c>
      <c r="I772" s="5">
        <v>265</v>
      </c>
      <c r="J772" s="6">
        <f t="shared" si="12"/>
        <v>33769</v>
      </c>
    </row>
    <row r="773" spans="1:10">
      <c r="A773" s="5">
        <v>202686</v>
      </c>
      <c r="B773" s="5" t="s">
        <v>16</v>
      </c>
      <c r="C773" s="5" t="s">
        <v>37</v>
      </c>
      <c r="D773" s="5" t="s">
        <v>18</v>
      </c>
      <c r="E773" s="5" t="s">
        <v>13</v>
      </c>
      <c r="F773" s="5" t="s">
        <v>14</v>
      </c>
      <c r="G773" s="5" t="s">
        <v>15</v>
      </c>
      <c r="H773" s="5">
        <v>21462</v>
      </c>
      <c r="I773" s="5">
        <v>0</v>
      </c>
      <c r="J773" s="6">
        <f t="shared" si="12"/>
        <v>21462</v>
      </c>
    </row>
    <row r="774" spans="1:10">
      <c r="A774" s="5">
        <v>29893</v>
      </c>
      <c r="B774" s="5" t="s">
        <v>10</v>
      </c>
      <c r="C774" s="5" t="s">
        <v>11</v>
      </c>
      <c r="D774" s="5" t="s">
        <v>29</v>
      </c>
      <c r="E774" s="5" t="s">
        <v>13</v>
      </c>
      <c r="F774" s="5" t="s">
        <v>14</v>
      </c>
      <c r="G774" s="5" t="s">
        <v>24</v>
      </c>
      <c r="H774" s="5">
        <v>37850</v>
      </c>
      <c r="I774" s="5">
        <v>285</v>
      </c>
      <c r="J774" s="6">
        <f t="shared" si="12"/>
        <v>37565</v>
      </c>
    </row>
    <row r="775" spans="1:10">
      <c r="A775" s="5">
        <v>245623</v>
      </c>
      <c r="B775" s="5" t="s">
        <v>10</v>
      </c>
      <c r="C775" s="5" t="s">
        <v>17</v>
      </c>
      <c r="D775" s="5" t="s">
        <v>29</v>
      </c>
      <c r="E775" s="5" t="s">
        <v>19</v>
      </c>
      <c r="F775" s="5" t="s">
        <v>28</v>
      </c>
      <c r="G775" s="5" t="s">
        <v>15</v>
      </c>
      <c r="H775" s="5">
        <v>28095</v>
      </c>
      <c r="I775" s="5">
        <v>245</v>
      </c>
      <c r="J775" s="6">
        <f t="shared" si="12"/>
        <v>27850</v>
      </c>
    </row>
    <row r="776" spans="1:10">
      <c r="A776" s="5">
        <v>251206</v>
      </c>
      <c r="B776" s="5" t="s">
        <v>16</v>
      </c>
      <c r="C776" s="5" t="s">
        <v>17</v>
      </c>
      <c r="D776" s="5" t="s">
        <v>36</v>
      </c>
      <c r="E776" s="5" t="s">
        <v>19</v>
      </c>
      <c r="F776" s="5" t="s">
        <v>14</v>
      </c>
      <c r="G776" s="5" t="s">
        <v>24</v>
      </c>
      <c r="H776" s="5">
        <v>36550</v>
      </c>
      <c r="I776" s="5">
        <v>2936</v>
      </c>
      <c r="J776" s="6">
        <f t="shared" si="12"/>
        <v>33614</v>
      </c>
    </row>
    <row r="777" spans="1:10">
      <c r="A777" s="5">
        <v>140007</v>
      </c>
      <c r="B777" s="5" t="s">
        <v>10</v>
      </c>
      <c r="C777" s="5" t="s">
        <v>17</v>
      </c>
      <c r="D777" s="5" t="s">
        <v>18</v>
      </c>
      <c r="E777" s="5" t="s">
        <v>19</v>
      </c>
      <c r="F777" s="5" t="s">
        <v>14</v>
      </c>
      <c r="G777" s="5" t="s">
        <v>15</v>
      </c>
      <c r="H777" s="5">
        <v>5530</v>
      </c>
      <c r="I777" s="5">
        <v>92</v>
      </c>
      <c r="J777" s="6">
        <f t="shared" si="12"/>
        <v>5438</v>
      </c>
    </row>
    <row r="778" spans="1:10">
      <c r="A778" s="5">
        <v>219657</v>
      </c>
      <c r="B778" s="5" t="s">
        <v>16</v>
      </c>
      <c r="C778" s="5" t="s">
        <v>25</v>
      </c>
      <c r="D778" s="5" t="s">
        <v>21</v>
      </c>
      <c r="E778" s="5" t="s">
        <v>13</v>
      </c>
      <c r="F778" s="5" t="s">
        <v>28</v>
      </c>
      <c r="G778" s="5" t="s">
        <v>24</v>
      </c>
      <c r="H778" s="5">
        <v>55341</v>
      </c>
      <c r="I778" s="5">
        <v>1625</v>
      </c>
      <c r="J778" s="6">
        <f t="shared" si="12"/>
        <v>53716</v>
      </c>
    </row>
    <row r="779" spans="1:10">
      <c r="A779" s="5">
        <v>155122</v>
      </c>
      <c r="B779" s="5" t="s">
        <v>16</v>
      </c>
      <c r="C779" s="5" t="s">
        <v>17</v>
      </c>
      <c r="D779" s="5" t="s">
        <v>18</v>
      </c>
      <c r="E779" s="5" t="s">
        <v>19</v>
      </c>
      <c r="F779" s="5" t="s">
        <v>28</v>
      </c>
      <c r="G779" s="5" t="s">
        <v>15</v>
      </c>
      <c r="H779" s="5">
        <v>25552</v>
      </c>
      <c r="I779" s="5">
        <v>117</v>
      </c>
      <c r="J779" s="6">
        <f t="shared" si="12"/>
        <v>25435</v>
      </c>
    </row>
    <row r="780" spans="1:10">
      <c r="A780" s="5">
        <v>209635</v>
      </c>
      <c r="B780" s="5" t="s">
        <v>16</v>
      </c>
      <c r="C780" s="5" t="s">
        <v>38</v>
      </c>
      <c r="D780" s="5" t="s">
        <v>33</v>
      </c>
      <c r="E780" s="5" t="s">
        <v>13</v>
      </c>
      <c r="F780" s="5" t="s">
        <v>28</v>
      </c>
      <c r="G780" s="5" t="s">
        <v>15</v>
      </c>
      <c r="H780" s="5">
        <v>57115</v>
      </c>
      <c r="I780" s="5">
        <v>937</v>
      </c>
      <c r="J780" s="6">
        <f t="shared" si="12"/>
        <v>56178</v>
      </c>
    </row>
    <row r="781" spans="1:10">
      <c r="A781" s="5">
        <v>24808</v>
      </c>
      <c r="B781" s="5" t="s">
        <v>16</v>
      </c>
      <c r="C781" s="5" t="s">
        <v>11</v>
      </c>
      <c r="D781" s="5" t="s">
        <v>32</v>
      </c>
      <c r="E781" s="5" t="s">
        <v>13</v>
      </c>
      <c r="F781" s="5" t="s">
        <v>14</v>
      </c>
      <c r="G781" s="5" t="s">
        <v>15</v>
      </c>
      <c r="H781" s="5">
        <v>203977</v>
      </c>
      <c r="I781" s="5">
        <v>36100</v>
      </c>
      <c r="J781" s="6">
        <f t="shared" si="12"/>
        <v>167877</v>
      </c>
    </row>
    <row r="782" spans="1:10">
      <c r="A782" s="5">
        <v>194182</v>
      </c>
      <c r="B782" s="5" t="s">
        <v>16</v>
      </c>
      <c r="C782" s="5" t="s">
        <v>11</v>
      </c>
      <c r="D782" s="5" t="s">
        <v>23</v>
      </c>
      <c r="E782" s="5" t="s">
        <v>13</v>
      </c>
      <c r="F782" s="5" t="s">
        <v>28</v>
      </c>
      <c r="G782" s="5" t="s">
        <v>15</v>
      </c>
      <c r="H782" s="5">
        <v>33192</v>
      </c>
      <c r="I782" s="5">
        <v>269</v>
      </c>
      <c r="J782" s="6">
        <f t="shared" si="12"/>
        <v>32923</v>
      </c>
    </row>
    <row r="783" spans="1:10">
      <c r="A783" s="5">
        <v>28655</v>
      </c>
      <c r="B783" s="5" t="s">
        <v>10</v>
      </c>
      <c r="C783" s="5" t="s">
        <v>35</v>
      </c>
      <c r="D783" s="5" t="s">
        <v>23</v>
      </c>
      <c r="E783" s="5" t="s">
        <v>13</v>
      </c>
      <c r="F783" s="5" t="s">
        <v>28</v>
      </c>
      <c r="G783" s="5" t="s">
        <v>24</v>
      </c>
      <c r="H783" s="5">
        <v>93232</v>
      </c>
      <c r="I783" s="5">
        <v>164</v>
      </c>
      <c r="J783" s="6">
        <f t="shared" si="12"/>
        <v>93068</v>
      </c>
    </row>
    <row r="784" spans="1:10">
      <c r="A784" s="5">
        <v>176587</v>
      </c>
      <c r="B784" s="5" t="s">
        <v>16</v>
      </c>
      <c r="C784" s="5" t="s">
        <v>17</v>
      </c>
      <c r="D784" s="5" t="s">
        <v>18</v>
      </c>
      <c r="E784" s="5" t="s">
        <v>19</v>
      </c>
      <c r="F784" s="5" t="s">
        <v>28</v>
      </c>
      <c r="G784" s="5" t="s">
        <v>24</v>
      </c>
      <c r="H784" s="5">
        <v>30325</v>
      </c>
      <c r="I784" s="5">
        <v>183</v>
      </c>
      <c r="J784" s="6">
        <f t="shared" si="12"/>
        <v>30142</v>
      </c>
    </row>
    <row r="785" spans="1:10">
      <c r="A785" s="5">
        <v>188556</v>
      </c>
      <c r="B785" s="5" t="s">
        <v>10</v>
      </c>
      <c r="C785" s="5" t="s">
        <v>20</v>
      </c>
      <c r="D785" s="5" t="s">
        <v>32</v>
      </c>
      <c r="E785" s="5" t="s">
        <v>13</v>
      </c>
      <c r="F785" s="5" t="s">
        <v>14</v>
      </c>
      <c r="G785" s="5" t="s">
        <v>15</v>
      </c>
      <c r="H785" s="5">
        <v>47299</v>
      </c>
      <c r="I785" s="5">
        <v>290</v>
      </c>
      <c r="J785" s="6">
        <f t="shared" si="12"/>
        <v>47009</v>
      </c>
    </row>
    <row r="786" spans="1:10">
      <c r="A786" s="5">
        <v>50450</v>
      </c>
      <c r="B786" s="5" t="s">
        <v>16</v>
      </c>
      <c r="C786" s="5" t="s">
        <v>35</v>
      </c>
      <c r="D786" s="5" t="s">
        <v>12</v>
      </c>
      <c r="E786" s="5" t="s">
        <v>13</v>
      </c>
      <c r="F786" s="5" t="s">
        <v>14</v>
      </c>
      <c r="G786" s="5" t="s">
        <v>15</v>
      </c>
      <c r="H786" s="5">
        <v>13812</v>
      </c>
      <c r="I786" s="5">
        <v>0</v>
      </c>
      <c r="J786" s="6">
        <f t="shared" si="12"/>
        <v>13812</v>
      </c>
    </row>
    <row r="787" spans="1:10">
      <c r="A787" s="5">
        <v>35784</v>
      </c>
      <c r="B787" s="5" t="s">
        <v>10</v>
      </c>
      <c r="C787" s="5" t="s">
        <v>35</v>
      </c>
      <c r="D787" s="5" t="s">
        <v>26</v>
      </c>
      <c r="E787" s="5" t="s">
        <v>13</v>
      </c>
      <c r="F787" s="5" t="s">
        <v>28</v>
      </c>
      <c r="G787" s="5" t="s">
        <v>15</v>
      </c>
      <c r="H787" s="5">
        <v>122128</v>
      </c>
      <c r="I787" s="5">
        <v>5831</v>
      </c>
      <c r="J787" s="6">
        <f t="shared" si="12"/>
        <v>116297</v>
      </c>
    </row>
    <row r="788" spans="1:10">
      <c r="A788" s="5">
        <v>80318</v>
      </c>
      <c r="B788" s="5" t="s">
        <v>10</v>
      </c>
      <c r="C788" s="5" t="s">
        <v>37</v>
      </c>
      <c r="D788" s="5" t="s">
        <v>29</v>
      </c>
      <c r="E788" s="5" t="s">
        <v>13</v>
      </c>
      <c r="F788" s="5" t="s">
        <v>14</v>
      </c>
      <c r="G788" s="5" t="s">
        <v>24</v>
      </c>
      <c r="H788" s="5">
        <v>22998</v>
      </c>
      <c r="I788" s="5">
        <v>198</v>
      </c>
      <c r="J788" s="6">
        <f t="shared" si="12"/>
        <v>22800</v>
      </c>
    </row>
    <row r="789" spans="1:10">
      <c r="A789" s="5">
        <v>13114</v>
      </c>
      <c r="B789" s="5" t="s">
        <v>16</v>
      </c>
      <c r="C789" s="5" t="s">
        <v>34</v>
      </c>
      <c r="D789" s="5" t="s">
        <v>18</v>
      </c>
      <c r="E789" s="5" t="s">
        <v>13</v>
      </c>
      <c r="F789" s="5" t="s">
        <v>14</v>
      </c>
      <c r="G789" s="5" t="s">
        <v>15</v>
      </c>
      <c r="H789" s="5">
        <v>29097</v>
      </c>
      <c r="I789" s="5">
        <v>6997</v>
      </c>
      <c r="J789" s="6">
        <f t="shared" si="12"/>
        <v>22100</v>
      </c>
    </row>
    <row r="790" spans="1:10">
      <c r="A790" s="5">
        <v>238848</v>
      </c>
      <c r="B790" s="5" t="s">
        <v>10</v>
      </c>
      <c r="C790" s="5" t="s">
        <v>34</v>
      </c>
      <c r="D790" s="5" t="s">
        <v>32</v>
      </c>
      <c r="E790" s="5" t="s">
        <v>13</v>
      </c>
      <c r="F790" s="5" t="s">
        <v>14</v>
      </c>
      <c r="G790" s="5" t="s">
        <v>24</v>
      </c>
      <c r="H790" s="5">
        <v>19903</v>
      </c>
      <c r="I790" s="5">
        <v>0</v>
      </c>
      <c r="J790" s="6">
        <f t="shared" si="12"/>
        <v>19903</v>
      </c>
    </row>
    <row r="791" spans="1:10">
      <c r="A791" s="5">
        <v>93717</v>
      </c>
      <c r="B791" s="5" t="s">
        <v>10</v>
      </c>
      <c r="C791" s="5" t="s">
        <v>20</v>
      </c>
      <c r="D791" s="5" t="s">
        <v>32</v>
      </c>
      <c r="E791" s="5" t="s">
        <v>19</v>
      </c>
      <c r="F791" s="5" t="s">
        <v>14</v>
      </c>
      <c r="G791" s="5" t="s">
        <v>15</v>
      </c>
      <c r="H791" s="5">
        <v>38850</v>
      </c>
      <c r="I791" s="5">
        <v>96</v>
      </c>
      <c r="J791" s="6">
        <f t="shared" si="12"/>
        <v>38754</v>
      </c>
    </row>
    <row r="792" spans="1:10">
      <c r="A792" s="5">
        <v>91493</v>
      </c>
      <c r="B792" s="5" t="s">
        <v>10</v>
      </c>
      <c r="C792" s="5" t="s">
        <v>20</v>
      </c>
      <c r="D792" s="5" t="s">
        <v>32</v>
      </c>
      <c r="E792" s="5" t="s">
        <v>13</v>
      </c>
      <c r="F792" s="5" t="s">
        <v>14</v>
      </c>
      <c r="G792" s="5" t="s">
        <v>15</v>
      </c>
      <c r="H792" s="5">
        <v>7049</v>
      </c>
      <c r="I792" s="5">
        <v>0</v>
      </c>
      <c r="J792" s="6">
        <f t="shared" si="12"/>
        <v>7049</v>
      </c>
    </row>
    <row r="793" spans="1:10">
      <c r="A793" s="5">
        <v>217116</v>
      </c>
      <c r="B793" s="5" t="s">
        <v>10</v>
      </c>
      <c r="C793" s="5" t="s">
        <v>11</v>
      </c>
      <c r="D793" s="5" t="s">
        <v>32</v>
      </c>
      <c r="E793" s="5" t="s">
        <v>13</v>
      </c>
      <c r="F793" s="5" t="s">
        <v>28</v>
      </c>
      <c r="G793" s="5" t="s">
        <v>24</v>
      </c>
      <c r="H793" s="5">
        <v>44100</v>
      </c>
      <c r="I793" s="5">
        <v>10790</v>
      </c>
      <c r="J793" s="6">
        <f t="shared" si="12"/>
        <v>33310</v>
      </c>
    </row>
    <row r="794" spans="1:10">
      <c r="A794" s="5">
        <v>42644</v>
      </c>
      <c r="B794" s="5" t="s">
        <v>16</v>
      </c>
      <c r="C794" s="5" t="s">
        <v>35</v>
      </c>
      <c r="D794" s="5" t="s">
        <v>33</v>
      </c>
      <c r="E794" s="5" t="s">
        <v>19</v>
      </c>
      <c r="F794" s="5" t="s">
        <v>14</v>
      </c>
      <c r="G794" s="5" t="s">
        <v>24</v>
      </c>
      <c r="H794" s="5">
        <v>60018</v>
      </c>
      <c r="I794" s="5">
        <v>469</v>
      </c>
      <c r="J794" s="6">
        <f t="shared" si="12"/>
        <v>59549</v>
      </c>
    </row>
    <row r="795" spans="1:10">
      <c r="A795" s="5">
        <v>216647</v>
      </c>
      <c r="B795" s="5" t="s">
        <v>10</v>
      </c>
      <c r="C795" s="5" t="s">
        <v>34</v>
      </c>
      <c r="D795" s="5" t="s">
        <v>12</v>
      </c>
      <c r="E795" s="5" t="s">
        <v>19</v>
      </c>
      <c r="F795" s="5" t="s">
        <v>28</v>
      </c>
      <c r="G795" s="5" t="s">
        <v>24</v>
      </c>
      <c r="H795" s="5">
        <v>42736</v>
      </c>
      <c r="I795" s="5">
        <v>175</v>
      </c>
      <c r="J795" s="6">
        <f t="shared" si="12"/>
        <v>42561</v>
      </c>
    </row>
    <row r="796" spans="1:10">
      <c r="A796" s="5">
        <v>171112</v>
      </c>
      <c r="B796" s="5" t="s">
        <v>16</v>
      </c>
      <c r="C796" s="5" t="s">
        <v>31</v>
      </c>
      <c r="D796" s="5" t="s">
        <v>21</v>
      </c>
      <c r="E796" s="5" t="s">
        <v>19</v>
      </c>
      <c r="F796" s="5" t="s">
        <v>28</v>
      </c>
      <c r="G796" s="5" t="s">
        <v>24</v>
      </c>
      <c r="H796" s="5">
        <v>11511</v>
      </c>
      <c r="I796" s="5">
        <v>137</v>
      </c>
      <c r="J796" s="6">
        <f t="shared" si="12"/>
        <v>11374</v>
      </c>
    </row>
    <row r="797" spans="1:10">
      <c r="A797" s="5">
        <v>254527</v>
      </c>
      <c r="B797" s="5" t="s">
        <v>16</v>
      </c>
      <c r="C797" s="5" t="s">
        <v>25</v>
      </c>
      <c r="D797" s="5" t="s">
        <v>33</v>
      </c>
      <c r="E797" s="5" t="s">
        <v>19</v>
      </c>
      <c r="F797" s="5" t="s">
        <v>14</v>
      </c>
      <c r="G797" s="5" t="s">
        <v>24</v>
      </c>
      <c r="H797" s="5">
        <v>21113</v>
      </c>
      <c r="I797" s="5">
        <v>328</v>
      </c>
      <c r="J797" s="6">
        <f t="shared" si="12"/>
        <v>20785</v>
      </c>
    </row>
    <row r="798" spans="1:10">
      <c r="A798" s="5">
        <v>24725</v>
      </c>
      <c r="B798" s="5" t="s">
        <v>16</v>
      </c>
      <c r="C798" s="5" t="s">
        <v>35</v>
      </c>
      <c r="D798" s="5" t="s">
        <v>23</v>
      </c>
      <c r="E798" s="5" t="s">
        <v>13</v>
      </c>
      <c r="F798" s="5" t="s">
        <v>14</v>
      </c>
      <c r="G798" s="5" t="s">
        <v>15</v>
      </c>
      <c r="H798" s="5">
        <v>63142</v>
      </c>
      <c r="I798" s="5">
        <v>4254</v>
      </c>
      <c r="J798" s="6">
        <f t="shared" si="12"/>
        <v>58888</v>
      </c>
    </row>
    <row r="799" spans="1:10">
      <c r="A799" s="5">
        <v>188399</v>
      </c>
      <c r="B799" s="5" t="s">
        <v>16</v>
      </c>
      <c r="C799" s="5" t="s">
        <v>38</v>
      </c>
      <c r="D799" s="5" t="s">
        <v>32</v>
      </c>
      <c r="E799" s="5" t="s">
        <v>13</v>
      </c>
      <c r="F799" s="5" t="s">
        <v>14</v>
      </c>
      <c r="G799" s="5" t="s">
        <v>15</v>
      </c>
      <c r="H799" s="5">
        <v>53319</v>
      </c>
      <c r="I799" s="5">
        <v>0</v>
      </c>
      <c r="J799" s="6">
        <f t="shared" si="12"/>
        <v>53319</v>
      </c>
    </row>
    <row r="800" spans="1:10">
      <c r="A800" s="5">
        <v>223203</v>
      </c>
      <c r="B800" s="5" t="s">
        <v>16</v>
      </c>
      <c r="C800" s="5" t="s">
        <v>25</v>
      </c>
      <c r="D800" s="5" t="s">
        <v>33</v>
      </c>
      <c r="E800" s="5" t="s">
        <v>19</v>
      </c>
      <c r="F800" s="5" t="s">
        <v>28</v>
      </c>
      <c r="G800" s="5" t="s">
        <v>24</v>
      </c>
      <c r="H800" s="5">
        <v>18268</v>
      </c>
      <c r="I800" s="5">
        <v>36</v>
      </c>
      <c r="J800" s="6">
        <f t="shared" si="12"/>
        <v>18232</v>
      </c>
    </row>
    <row r="801" spans="1:10">
      <c r="A801" s="5">
        <v>29100</v>
      </c>
      <c r="B801" s="5" t="s">
        <v>10</v>
      </c>
      <c r="C801" s="5" t="s">
        <v>35</v>
      </c>
      <c r="D801" s="5" t="s">
        <v>33</v>
      </c>
      <c r="E801" s="5" t="s">
        <v>13</v>
      </c>
      <c r="F801" s="5" t="s">
        <v>14</v>
      </c>
      <c r="G801" s="5" t="s">
        <v>15</v>
      </c>
      <c r="H801" s="5">
        <v>57252</v>
      </c>
      <c r="I801" s="5">
        <v>7765</v>
      </c>
      <c r="J801" s="6">
        <f t="shared" si="12"/>
        <v>49487</v>
      </c>
    </row>
    <row r="802" spans="1:10">
      <c r="A802" s="5">
        <v>102880</v>
      </c>
      <c r="B802" s="5" t="s">
        <v>10</v>
      </c>
      <c r="C802" s="5" t="s">
        <v>11</v>
      </c>
      <c r="D802" s="5" t="s">
        <v>30</v>
      </c>
      <c r="E802" s="5" t="s">
        <v>13</v>
      </c>
      <c r="F802" s="5" t="s">
        <v>14</v>
      </c>
      <c r="G802" s="5" t="s">
        <v>15</v>
      </c>
      <c r="H802" s="5">
        <v>320023</v>
      </c>
      <c r="I802" s="5">
        <v>11775</v>
      </c>
      <c r="J802" s="6">
        <f t="shared" si="12"/>
        <v>308248</v>
      </c>
    </row>
    <row r="803" spans="1:10">
      <c r="A803" s="5">
        <v>24654</v>
      </c>
      <c r="B803" s="5" t="s">
        <v>10</v>
      </c>
      <c r="C803" s="5" t="s">
        <v>11</v>
      </c>
      <c r="D803" s="5" t="s">
        <v>23</v>
      </c>
      <c r="E803" s="5" t="s">
        <v>19</v>
      </c>
      <c r="F803" s="5" t="s">
        <v>14</v>
      </c>
      <c r="G803" s="5" t="s">
        <v>24</v>
      </c>
      <c r="H803" s="5">
        <v>82447</v>
      </c>
      <c r="I803" s="5">
        <v>5248</v>
      </c>
      <c r="J803" s="6">
        <f t="shared" si="12"/>
        <v>77199</v>
      </c>
    </row>
    <row r="804" spans="1:10">
      <c r="A804" s="5">
        <v>194889</v>
      </c>
      <c r="B804" s="5" t="s">
        <v>16</v>
      </c>
      <c r="C804" s="5" t="s">
        <v>11</v>
      </c>
      <c r="D804" s="5" t="s">
        <v>33</v>
      </c>
      <c r="E804" s="5" t="s">
        <v>19</v>
      </c>
      <c r="F804" s="5" t="s">
        <v>14</v>
      </c>
      <c r="G804" s="5" t="s">
        <v>15</v>
      </c>
      <c r="H804" s="5">
        <v>86314</v>
      </c>
      <c r="I804" s="5">
        <v>1998</v>
      </c>
      <c r="J804" s="6">
        <f t="shared" si="12"/>
        <v>84316</v>
      </c>
    </row>
    <row r="805" spans="1:10">
      <c r="A805" s="5">
        <v>80861</v>
      </c>
      <c r="B805" s="5" t="s">
        <v>16</v>
      </c>
      <c r="C805" s="5" t="s">
        <v>38</v>
      </c>
      <c r="D805" s="5" t="s">
        <v>33</v>
      </c>
      <c r="E805" s="5" t="s">
        <v>19</v>
      </c>
      <c r="F805" s="5" t="s">
        <v>14</v>
      </c>
      <c r="G805" s="5" t="s">
        <v>15</v>
      </c>
      <c r="H805" s="5">
        <v>37153</v>
      </c>
      <c r="I805" s="5">
        <v>406</v>
      </c>
      <c r="J805" s="6">
        <f t="shared" si="12"/>
        <v>36747</v>
      </c>
    </row>
    <row r="806" spans="1:10">
      <c r="A806" s="5">
        <v>151263</v>
      </c>
      <c r="B806" s="5" t="s">
        <v>16</v>
      </c>
      <c r="C806" s="5" t="s">
        <v>22</v>
      </c>
      <c r="D806" s="5" t="s">
        <v>30</v>
      </c>
      <c r="E806" s="5" t="s">
        <v>13</v>
      </c>
      <c r="F806" s="5" t="s">
        <v>14</v>
      </c>
      <c r="G806" s="5" t="s">
        <v>24</v>
      </c>
      <c r="H806" s="5">
        <v>39718</v>
      </c>
      <c r="I806" s="5">
        <v>3016</v>
      </c>
      <c r="J806" s="6">
        <f t="shared" si="12"/>
        <v>36702</v>
      </c>
    </row>
    <row r="807" spans="1:10">
      <c r="A807" s="5">
        <v>27100</v>
      </c>
      <c r="B807" s="5" t="s">
        <v>16</v>
      </c>
      <c r="C807" s="5" t="s">
        <v>35</v>
      </c>
      <c r="D807" s="5" t="s">
        <v>30</v>
      </c>
      <c r="E807" s="5" t="s">
        <v>19</v>
      </c>
      <c r="F807" s="5" t="s">
        <v>14</v>
      </c>
      <c r="G807" s="5" t="s">
        <v>24</v>
      </c>
      <c r="H807" s="5">
        <v>87809</v>
      </c>
      <c r="I807" s="5">
        <v>8172</v>
      </c>
      <c r="J807" s="6">
        <f t="shared" si="12"/>
        <v>79637</v>
      </c>
    </row>
    <row r="808" spans="1:10">
      <c r="A808" s="5">
        <v>153875</v>
      </c>
      <c r="B808" s="5" t="s">
        <v>16</v>
      </c>
      <c r="C808" s="5" t="s">
        <v>25</v>
      </c>
      <c r="D808" s="5" t="s">
        <v>30</v>
      </c>
      <c r="E808" s="5" t="s">
        <v>13</v>
      </c>
      <c r="F808" s="5" t="s">
        <v>14</v>
      </c>
      <c r="G808" s="5" t="s">
        <v>15</v>
      </c>
      <c r="H808" s="5">
        <v>54434</v>
      </c>
      <c r="I808" s="5">
        <v>888</v>
      </c>
      <c r="J808" s="6">
        <f t="shared" si="12"/>
        <v>53546</v>
      </c>
    </row>
    <row r="809" spans="1:10">
      <c r="A809" s="5">
        <v>198016</v>
      </c>
      <c r="B809" s="5" t="s">
        <v>10</v>
      </c>
      <c r="C809" s="5" t="s">
        <v>38</v>
      </c>
      <c r="D809" s="5" t="s">
        <v>32</v>
      </c>
      <c r="E809" s="5" t="s">
        <v>19</v>
      </c>
      <c r="F809" s="5" t="s">
        <v>14</v>
      </c>
      <c r="G809" s="5" t="s">
        <v>15</v>
      </c>
      <c r="H809" s="5">
        <v>52726</v>
      </c>
      <c r="I809" s="5">
        <v>8</v>
      </c>
      <c r="J809" s="6">
        <f t="shared" si="12"/>
        <v>52718</v>
      </c>
    </row>
    <row r="810" spans="1:10">
      <c r="A810" s="5">
        <v>57957</v>
      </c>
      <c r="B810" s="5" t="s">
        <v>16</v>
      </c>
      <c r="C810" s="5" t="s">
        <v>20</v>
      </c>
      <c r="D810" s="5" t="s">
        <v>32</v>
      </c>
      <c r="E810" s="5" t="s">
        <v>13</v>
      </c>
      <c r="F810" s="5" t="s">
        <v>14</v>
      </c>
      <c r="G810" s="5" t="s">
        <v>15</v>
      </c>
      <c r="H810" s="5">
        <v>19594</v>
      </c>
      <c r="I810" s="5">
        <v>54</v>
      </c>
      <c r="J810" s="6">
        <f t="shared" si="12"/>
        <v>19540</v>
      </c>
    </row>
    <row r="811" spans="1:10">
      <c r="A811" s="5">
        <v>53102</v>
      </c>
      <c r="B811" s="5" t="s">
        <v>10</v>
      </c>
      <c r="C811" s="5" t="s">
        <v>35</v>
      </c>
      <c r="D811" s="5" t="s">
        <v>32</v>
      </c>
      <c r="E811" s="5" t="s">
        <v>13</v>
      </c>
      <c r="F811" s="5" t="s">
        <v>14</v>
      </c>
      <c r="G811" s="5" t="s">
        <v>15</v>
      </c>
      <c r="H811" s="5">
        <v>64882</v>
      </c>
      <c r="I811" s="5">
        <v>2008</v>
      </c>
      <c r="J811" s="6">
        <f t="shared" si="12"/>
        <v>62874</v>
      </c>
    </row>
    <row r="812" spans="1:10">
      <c r="A812" s="5">
        <v>124298</v>
      </c>
      <c r="B812" s="5" t="s">
        <v>10</v>
      </c>
      <c r="C812" s="5" t="s">
        <v>25</v>
      </c>
      <c r="D812" s="5" t="s">
        <v>23</v>
      </c>
      <c r="E812" s="5" t="s">
        <v>13</v>
      </c>
      <c r="F812" s="5" t="s">
        <v>28</v>
      </c>
      <c r="G812" s="5" t="s">
        <v>15</v>
      </c>
      <c r="H812" s="5">
        <v>126758</v>
      </c>
      <c r="I812" s="5">
        <v>6567</v>
      </c>
      <c r="J812" s="6">
        <f t="shared" si="12"/>
        <v>120191</v>
      </c>
    </row>
    <row r="813" spans="1:10">
      <c r="A813" s="5">
        <v>138401</v>
      </c>
      <c r="B813" s="5" t="s">
        <v>10</v>
      </c>
      <c r="C813" s="5" t="s">
        <v>25</v>
      </c>
      <c r="D813" s="5" t="s">
        <v>12</v>
      </c>
      <c r="E813" s="5" t="s">
        <v>19</v>
      </c>
      <c r="F813" s="5" t="s">
        <v>14</v>
      </c>
      <c r="G813" s="5" t="s">
        <v>24</v>
      </c>
      <c r="H813" s="5">
        <v>61883</v>
      </c>
      <c r="I813" s="5">
        <v>2491</v>
      </c>
      <c r="J813" s="6">
        <f t="shared" si="12"/>
        <v>59392</v>
      </c>
    </row>
    <row r="814" spans="1:10">
      <c r="A814" s="5">
        <v>50588</v>
      </c>
      <c r="B814" s="5" t="s">
        <v>16</v>
      </c>
      <c r="C814" s="5" t="s">
        <v>35</v>
      </c>
      <c r="D814" s="5" t="s">
        <v>12</v>
      </c>
      <c r="E814" s="5" t="s">
        <v>13</v>
      </c>
      <c r="F814" s="5" t="s">
        <v>14</v>
      </c>
      <c r="G814" s="5" t="s">
        <v>15</v>
      </c>
      <c r="H814" s="5">
        <v>-80309</v>
      </c>
      <c r="I814" s="5">
        <v>6086</v>
      </c>
      <c r="J814" s="6">
        <f t="shared" si="12"/>
        <v>-86395</v>
      </c>
    </row>
    <row r="815" spans="1:10">
      <c r="A815" s="5">
        <v>96731</v>
      </c>
      <c r="B815" s="5" t="s">
        <v>16</v>
      </c>
      <c r="C815" s="5" t="s">
        <v>34</v>
      </c>
      <c r="D815" s="5" t="s">
        <v>33</v>
      </c>
      <c r="E815" s="5" t="s">
        <v>13</v>
      </c>
      <c r="F815" s="5" t="s">
        <v>28</v>
      </c>
      <c r="G815" s="5" t="s">
        <v>15</v>
      </c>
      <c r="H815" s="5">
        <v>75532</v>
      </c>
      <c r="I815" s="5">
        <v>2777</v>
      </c>
      <c r="J815" s="6">
        <f t="shared" si="12"/>
        <v>72755</v>
      </c>
    </row>
    <row r="816" spans="1:10">
      <c r="A816" s="5">
        <v>257304</v>
      </c>
      <c r="B816" s="5" t="s">
        <v>10</v>
      </c>
      <c r="C816" s="5" t="s">
        <v>17</v>
      </c>
      <c r="D816" s="5" t="s">
        <v>23</v>
      </c>
      <c r="E816" s="5" t="s">
        <v>19</v>
      </c>
      <c r="F816" s="5" t="s">
        <v>14</v>
      </c>
      <c r="G816" s="5" t="s">
        <v>24</v>
      </c>
      <c r="H816" s="5">
        <v>108991</v>
      </c>
      <c r="I816" s="5">
        <v>16430</v>
      </c>
      <c r="J816" s="6">
        <f t="shared" si="12"/>
        <v>92561</v>
      </c>
    </row>
    <row r="817" spans="1:10">
      <c r="A817" s="5">
        <v>20559</v>
      </c>
      <c r="B817" s="5" t="s">
        <v>16</v>
      </c>
      <c r="C817" s="5" t="s">
        <v>11</v>
      </c>
      <c r="D817" s="5" t="s">
        <v>33</v>
      </c>
      <c r="E817" s="5" t="s">
        <v>13</v>
      </c>
      <c r="F817" s="5" t="s">
        <v>14</v>
      </c>
      <c r="G817" s="5" t="s">
        <v>24</v>
      </c>
      <c r="H817" s="5">
        <v>38472</v>
      </c>
      <c r="I817" s="5">
        <v>1453</v>
      </c>
      <c r="J817" s="6">
        <f t="shared" si="12"/>
        <v>37019</v>
      </c>
    </row>
    <row r="818" spans="1:10">
      <c r="A818" s="5">
        <v>113044</v>
      </c>
      <c r="B818" s="5" t="s">
        <v>16</v>
      </c>
      <c r="C818" s="5" t="s">
        <v>22</v>
      </c>
      <c r="D818" s="5" t="s">
        <v>21</v>
      </c>
      <c r="E818" s="5" t="s">
        <v>19</v>
      </c>
      <c r="F818" s="5" t="s">
        <v>14</v>
      </c>
      <c r="G818" s="5" t="s">
        <v>15</v>
      </c>
      <c r="H818" s="5">
        <v>24630</v>
      </c>
      <c r="I818" s="5">
        <v>59</v>
      </c>
      <c r="J818" s="6">
        <f t="shared" si="12"/>
        <v>24571</v>
      </c>
    </row>
    <row r="819" spans="1:10">
      <c r="A819" s="5">
        <v>211924</v>
      </c>
      <c r="B819" s="5" t="s">
        <v>16</v>
      </c>
      <c r="C819" s="5" t="s">
        <v>37</v>
      </c>
      <c r="D819" s="5" t="s">
        <v>36</v>
      </c>
      <c r="E819" s="5" t="s">
        <v>13</v>
      </c>
      <c r="F819" s="5" t="s">
        <v>14</v>
      </c>
      <c r="G819" s="5" t="s">
        <v>15</v>
      </c>
      <c r="H819" s="5">
        <v>71227</v>
      </c>
      <c r="I819" s="5">
        <v>896</v>
      </c>
      <c r="J819" s="6">
        <f t="shared" si="12"/>
        <v>70331</v>
      </c>
    </row>
    <row r="820" spans="1:10">
      <c r="A820" s="5">
        <v>177714</v>
      </c>
      <c r="B820" s="5" t="s">
        <v>16</v>
      </c>
      <c r="C820" s="5" t="s">
        <v>11</v>
      </c>
      <c r="D820" s="5" t="s">
        <v>36</v>
      </c>
      <c r="E820" s="5" t="s">
        <v>19</v>
      </c>
      <c r="F820" s="5" t="s">
        <v>28</v>
      </c>
      <c r="G820" s="5" t="s">
        <v>24</v>
      </c>
      <c r="H820" s="5">
        <v>44382</v>
      </c>
      <c r="I820" s="5">
        <v>272</v>
      </c>
      <c r="J820" s="6">
        <f t="shared" si="12"/>
        <v>44110</v>
      </c>
    </row>
    <row r="821" spans="1:10">
      <c r="A821" s="5">
        <v>77093</v>
      </c>
      <c r="B821" s="5" t="s">
        <v>16</v>
      </c>
      <c r="C821" s="5" t="s">
        <v>35</v>
      </c>
      <c r="D821" s="5" t="s">
        <v>30</v>
      </c>
      <c r="E821" s="5" t="s">
        <v>19</v>
      </c>
      <c r="F821" s="5" t="s">
        <v>14</v>
      </c>
      <c r="G821" s="5" t="s">
        <v>15</v>
      </c>
      <c r="H821" s="5">
        <v>137272</v>
      </c>
      <c r="I821" s="5">
        <v>2971</v>
      </c>
      <c r="J821" s="6">
        <f t="shared" si="12"/>
        <v>134301</v>
      </c>
    </row>
    <row r="822" spans="1:10">
      <c r="A822" s="5">
        <v>7788</v>
      </c>
      <c r="B822" s="5" t="s">
        <v>10</v>
      </c>
      <c r="C822" s="5" t="s">
        <v>39</v>
      </c>
      <c r="D822" s="5" t="s">
        <v>30</v>
      </c>
      <c r="E822" s="5" t="s">
        <v>19</v>
      </c>
      <c r="F822" s="5" t="s">
        <v>14</v>
      </c>
      <c r="G822" s="5" t="s">
        <v>15</v>
      </c>
      <c r="H822" s="5">
        <v>116772</v>
      </c>
      <c r="I822" s="5">
        <v>3507</v>
      </c>
      <c r="J822" s="6">
        <f t="shared" si="12"/>
        <v>113265</v>
      </c>
    </row>
    <row r="823" spans="1:10">
      <c r="A823" s="5">
        <v>193704</v>
      </c>
      <c r="B823" s="5" t="s">
        <v>10</v>
      </c>
      <c r="C823" s="5" t="s">
        <v>38</v>
      </c>
      <c r="D823" s="5" t="s">
        <v>26</v>
      </c>
      <c r="E823" s="5" t="s">
        <v>19</v>
      </c>
      <c r="F823" s="5" t="s">
        <v>14</v>
      </c>
      <c r="G823" s="5" t="s">
        <v>24</v>
      </c>
      <c r="H823" s="5">
        <v>35497</v>
      </c>
      <c r="I823" s="5">
        <v>3720</v>
      </c>
      <c r="J823" s="6">
        <f t="shared" si="12"/>
        <v>31777</v>
      </c>
    </row>
    <row r="824" spans="1:10">
      <c r="A824" s="5">
        <v>79817</v>
      </c>
      <c r="B824" s="5" t="s">
        <v>10</v>
      </c>
      <c r="C824" s="5" t="s">
        <v>38</v>
      </c>
      <c r="D824" s="5" t="s">
        <v>30</v>
      </c>
      <c r="E824" s="5" t="s">
        <v>13</v>
      </c>
      <c r="F824" s="5" t="s">
        <v>14</v>
      </c>
      <c r="G824" s="5" t="s">
        <v>24</v>
      </c>
      <c r="H824" s="5">
        <v>34728</v>
      </c>
      <c r="I824" s="5">
        <v>160</v>
      </c>
      <c r="J824" s="6">
        <f t="shared" si="12"/>
        <v>34568</v>
      </c>
    </row>
    <row r="825" spans="1:10">
      <c r="A825" s="5">
        <v>54297</v>
      </c>
      <c r="B825" s="5" t="s">
        <v>10</v>
      </c>
      <c r="C825" s="5" t="s">
        <v>35</v>
      </c>
      <c r="D825" s="5" t="s">
        <v>36</v>
      </c>
      <c r="E825" s="5" t="s">
        <v>13</v>
      </c>
      <c r="F825" s="5" t="s">
        <v>28</v>
      </c>
      <c r="G825" s="5" t="s">
        <v>24</v>
      </c>
      <c r="H825" s="5">
        <v>58264</v>
      </c>
      <c r="I825" s="5">
        <v>2198</v>
      </c>
      <c r="J825" s="6">
        <f t="shared" si="12"/>
        <v>56066</v>
      </c>
    </row>
    <row r="826" spans="1:10">
      <c r="A826" s="5">
        <v>161943</v>
      </c>
      <c r="B826" s="5" t="s">
        <v>10</v>
      </c>
      <c r="C826" s="5" t="s">
        <v>25</v>
      </c>
      <c r="D826" s="5" t="s">
        <v>21</v>
      </c>
      <c r="E826" s="5" t="s">
        <v>19</v>
      </c>
      <c r="F826" s="5" t="s">
        <v>28</v>
      </c>
      <c r="G826" s="5" t="s">
        <v>24</v>
      </c>
      <c r="H826" s="5">
        <v>74208</v>
      </c>
      <c r="I826" s="5">
        <v>7317</v>
      </c>
      <c r="J826" s="6">
        <f t="shared" si="12"/>
        <v>66891</v>
      </c>
    </row>
    <row r="827" spans="1:10">
      <c r="A827" s="5">
        <v>178022</v>
      </c>
      <c r="B827" s="5" t="s">
        <v>16</v>
      </c>
      <c r="C827" s="5" t="s">
        <v>25</v>
      </c>
      <c r="D827" s="5" t="s">
        <v>33</v>
      </c>
      <c r="E827" s="5" t="s">
        <v>19</v>
      </c>
      <c r="F827" s="5" t="s">
        <v>14</v>
      </c>
      <c r="G827" s="5" t="s">
        <v>15</v>
      </c>
      <c r="H827" s="5">
        <v>69939</v>
      </c>
      <c r="I827" s="5">
        <v>1470</v>
      </c>
      <c r="J827" s="6">
        <f t="shared" si="12"/>
        <v>68469</v>
      </c>
    </row>
    <row r="828" spans="1:10">
      <c r="A828" s="5">
        <v>33275</v>
      </c>
      <c r="B828" s="5" t="s">
        <v>16</v>
      </c>
      <c r="C828" s="5" t="s">
        <v>27</v>
      </c>
      <c r="D828" s="5" t="s">
        <v>26</v>
      </c>
      <c r="E828" s="5" t="s">
        <v>13</v>
      </c>
      <c r="F828" s="5" t="s">
        <v>14</v>
      </c>
      <c r="G828" s="5" t="s">
        <v>15</v>
      </c>
      <c r="H828" s="5">
        <v>26041</v>
      </c>
      <c r="I828" s="5">
        <v>5824</v>
      </c>
      <c r="J828" s="6">
        <f t="shared" si="12"/>
        <v>20217</v>
      </c>
    </row>
    <row r="829" spans="1:10">
      <c r="A829" s="5">
        <v>249669</v>
      </c>
      <c r="B829" s="5" t="s">
        <v>16</v>
      </c>
      <c r="C829" s="5" t="s">
        <v>34</v>
      </c>
      <c r="D829" s="5" t="s">
        <v>30</v>
      </c>
      <c r="E829" s="5" t="s">
        <v>19</v>
      </c>
      <c r="F829" s="5" t="s">
        <v>14</v>
      </c>
      <c r="G829" s="5" t="s">
        <v>24</v>
      </c>
      <c r="H829" s="5">
        <v>77359</v>
      </c>
      <c r="I829" s="5">
        <v>2313</v>
      </c>
      <c r="J829" s="6">
        <f t="shared" si="12"/>
        <v>75046</v>
      </c>
    </row>
    <row r="830" spans="1:10">
      <c r="A830" s="5">
        <v>168241</v>
      </c>
      <c r="B830" s="5" t="s">
        <v>10</v>
      </c>
      <c r="C830" s="5" t="s">
        <v>22</v>
      </c>
      <c r="D830" s="5" t="s">
        <v>23</v>
      </c>
      <c r="E830" s="5" t="s">
        <v>19</v>
      </c>
      <c r="F830" s="5" t="s">
        <v>28</v>
      </c>
      <c r="G830" s="5" t="s">
        <v>15</v>
      </c>
      <c r="H830" s="5">
        <v>74546</v>
      </c>
      <c r="I830" s="5">
        <v>7875</v>
      </c>
      <c r="J830" s="6">
        <f t="shared" si="12"/>
        <v>66671</v>
      </c>
    </row>
    <row r="831" spans="1:10">
      <c r="A831" s="5">
        <v>220425</v>
      </c>
      <c r="B831" s="5" t="s">
        <v>10</v>
      </c>
      <c r="C831" s="5" t="s">
        <v>25</v>
      </c>
      <c r="D831" s="5" t="s">
        <v>29</v>
      </c>
      <c r="E831" s="5" t="s">
        <v>19</v>
      </c>
      <c r="F831" s="5" t="s">
        <v>14</v>
      </c>
      <c r="G831" s="5" t="s">
        <v>15</v>
      </c>
      <c r="H831" s="5">
        <v>106253</v>
      </c>
      <c r="I831" s="5">
        <v>17088</v>
      </c>
      <c r="J831" s="6">
        <f t="shared" si="12"/>
        <v>89165</v>
      </c>
    </row>
    <row r="832" spans="1:10">
      <c r="A832" s="5">
        <v>96183</v>
      </c>
      <c r="B832" s="5" t="s">
        <v>10</v>
      </c>
      <c r="C832" s="5" t="s">
        <v>37</v>
      </c>
      <c r="D832" s="5" t="s">
        <v>32</v>
      </c>
      <c r="E832" s="5" t="s">
        <v>13</v>
      </c>
      <c r="F832" s="5" t="s">
        <v>14</v>
      </c>
      <c r="G832" s="5" t="s">
        <v>15</v>
      </c>
      <c r="H832" s="5">
        <v>9505</v>
      </c>
      <c r="I832" s="5">
        <v>0</v>
      </c>
      <c r="J832" s="6">
        <f t="shared" si="12"/>
        <v>9505</v>
      </c>
    </row>
    <row r="833" spans="1:10">
      <c r="A833" s="5">
        <v>142035</v>
      </c>
      <c r="B833" s="5" t="s">
        <v>16</v>
      </c>
      <c r="C833" s="5" t="s">
        <v>17</v>
      </c>
      <c r="D833" s="5" t="s">
        <v>26</v>
      </c>
      <c r="E833" s="5" t="s">
        <v>19</v>
      </c>
      <c r="F833" s="5" t="s">
        <v>14</v>
      </c>
      <c r="G833" s="5" t="s">
        <v>24</v>
      </c>
      <c r="H833" s="5">
        <v>36431</v>
      </c>
      <c r="I833" s="5">
        <v>324</v>
      </c>
      <c r="J833" s="6">
        <f t="shared" si="12"/>
        <v>36107</v>
      </c>
    </row>
    <row r="834" spans="1:10">
      <c r="A834" s="5">
        <v>80578</v>
      </c>
      <c r="B834" s="5" t="s">
        <v>10</v>
      </c>
      <c r="C834" s="5" t="s">
        <v>38</v>
      </c>
      <c r="D834" s="5" t="s">
        <v>30</v>
      </c>
      <c r="E834" s="5" t="s">
        <v>13</v>
      </c>
      <c r="F834" s="5" t="s">
        <v>28</v>
      </c>
      <c r="G834" s="5" t="s">
        <v>15</v>
      </c>
      <c r="H834" s="5">
        <v>22652</v>
      </c>
      <c r="I834" s="5">
        <v>0</v>
      </c>
      <c r="J834" s="6">
        <f t="shared" ref="J834:J897" si="13">H834-I834</f>
        <v>22652</v>
      </c>
    </row>
    <row r="835" spans="1:10">
      <c r="A835" s="5">
        <v>218513</v>
      </c>
      <c r="B835" s="5" t="s">
        <v>16</v>
      </c>
      <c r="C835" s="5" t="s">
        <v>37</v>
      </c>
      <c r="D835" s="5" t="s">
        <v>33</v>
      </c>
      <c r="E835" s="5" t="s">
        <v>13</v>
      </c>
      <c r="F835" s="5" t="s">
        <v>14</v>
      </c>
      <c r="G835" s="5" t="s">
        <v>15</v>
      </c>
      <c r="H835" s="5">
        <v>17364</v>
      </c>
      <c r="I835" s="5">
        <v>2112</v>
      </c>
      <c r="J835" s="6">
        <f t="shared" si="13"/>
        <v>15252</v>
      </c>
    </row>
    <row r="836" spans="1:10">
      <c r="A836" s="5">
        <v>105290</v>
      </c>
      <c r="B836" s="5" t="s">
        <v>16</v>
      </c>
      <c r="C836" s="5" t="s">
        <v>22</v>
      </c>
      <c r="D836" s="5" t="s">
        <v>36</v>
      </c>
      <c r="E836" s="5" t="s">
        <v>13</v>
      </c>
      <c r="F836" s="5" t="s">
        <v>14</v>
      </c>
      <c r="G836" s="5" t="s">
        <v>15</v>
      </c>
      <c r="H836" s="5">
        <v>34967</v>
      </c>
      <c r="I836" s="5">
        <v>495</v>
      </c>
      <c r="J836" s="6">
        <f t="shared" si="13"/>
        <v>34472</v>
      </c>
    </row>
    <row r="837" spans="1:10">
      <c r="A837" s="5">
        <v>127505</v>
      </c>
      <c r="B837" s="5" t="s">
        <v>16</v>
      </c>
      <c r="C837" s="5" t="s">
        <v>27</v>
      </c>
      <c r="D837" s="5" t="s">
        <v>30</v>
      </c>
      <c r="E837" s="5" t="s">
        <v>13</v>
      </c>
      <c r="F837" s="5" t="s">
        <v>28</v>
      </c>
      <c r="G837" s="5" t="s">
        <v>15</v>
      </c>
      <c r="H837" s="5">
        <v>78369</v>
      </c>
      <c r="I837" s="5">
        <v>1082</v>
      </c>
      <c r="J837" s="6">
        <f t="shared" si="13"/>
        <v>77287</v>
      </c>
    </row>
    <row r="838" spans="1:10">
      <c r="A838" s="5">
        <v>217415</v>
      </c>
      <c r="B838" s="5" t="s">
        <v>10</v>
      </c>
      <c r="C838" s="5" t="s">
        <v>20</v>
      </c>
      <c r="D838" s="5" t="s">
        <v>21</v>
      </c>
      <c r="E838" s="5" t="s">
        <v>19</v>
      </c>
      <c r="F838" s="5" t="s">
        <v>28</v>
      </c>
      <c r="G838" s="5" t="s">
        <v>15</v>
      </c>
      <c r="H838" s="5">
        <v>34612</v>
      </c>
      <c r="I838" s="5">
        <v>0</v>
      </c>
      <c r="J838" s="6">
        <f t="shared" si="13"/>
        <v>34612</v>
      </c>
    </row>
    <row r="839" spans="1:10">
      <c r="A839" s="5">
        <v>242852</v>
      </c>
      <c r="B839" s="5" t="s">
        <v>10</v>
      </c>
      <c r="C839" s="5" t="s">
        <v>17</v>
      </c>
      <c r="D839" s="5" t="s">
        <v>33</v>
      </c>
      <c r="E839" s="5" t="s">
        <v>19</v>
      </c>
      <c r="F839" s="5" t="s">
        <v>28</v>
      </c>
      <c r="G839" s="5" t="s">
        <v>15</v>
      </c>
      <c r="H839" s="5">
        <v>39485</v>
      </c>
      <c r="I839" s="5">
        <v>115</v>
      </c>
      <c r="J839" s="6">
        <f t="shared" si="13"/>
        <v>39370</v>
      </c>
    </row>
    <row r="840" spans="1:10">
      <c r="A840" s="5">
        <v>87257</v>
      </c>
      <c r="B840" s="5" t="s">
        <v>10</v>
      </c>
      <c r="C840" s="5" t="s">
        <v>20</v>
      </c>
      <c r="D840" s="5" t="s">
        <v>32</v>
      </c>
      <c r="E840" s="5" t="s">
        <v>13</v>
      </c>
      <c r="F840" s="5" t="s">
        <v>14</v>
      </c>
      <c r="G840" s="5" t="s">
        <v>15</v>
      </c>
      <c r="H840" s="5">
        <v>11072</v>
      </c>
      <c r="I840" s="5">
        <v>2392</v>
      </c>
      <c r="J840" s="6">
        <f t="shared" si="13"/>
        <v>8680</v>
      </c>
    </row>
    <row r="841" spans="1:10">
      <c r="A841" s="5">
        <v>17403</v>
      </c>
      <c r="B841" s="5" t="s">
        <v>10</v>
      </c>
      <c r="C841" s="5" t="s">
        <v>34</v>
      </c>
      <c r="D841" s="5" t="s">
        <v>23</v>
      </c>
      <c r="E841" s="5" t="s">
        <v>13</v>
      </c>
      <c r="F841" s="5" t="s">
        <v>14</v>
      </c>
      <c r="G841" s="5" t="s">
        <v>15</v>
      </c>
      <c r="H841" s="5">
        <v>75600</v>
      </c>
      <c r="I841" s="5">
        <v>4665</v>
      </c>
      <c r="J841" s="6">
        <f t="shared" si="13"/>
        <v>70935</v>
      </c>
    </row>
    <row r="842" spans="1:10">
      <c r="A842" s="5">
        <v>69177</v>
      </c>
      <c r="B842" s="5" t="s">
        <v>16</v>
      </c>
      <c r="C842" s="5" t="s">
        <v>27</v>
      </c>
      <c r="D842" s="5" t="s">
        <v>30</v>
      </c>
      <c r="E842" s="5" t="s">
        <v>13</v>
      </c>
      <c r="F842" s="5" t="s">
        <v>14</v>
      </c>
      <c r="G842" s="5" t="s">
        <v>15</v>
      </c>
      <c r="H842" s="5">
        <v>36178</v>
      </c>
      <c r="I842" s="5">
        <v>484</v>
      </c>
      <c r="J842" s="6">
        <f t="shared" si="13"/>
        <v>35694</v>
      </c>
    </row>
    <row r="843" spans="1:10">
      <c r="A843" s="5">
        <v>29307</v>
      </c>
      <c r="B843" s="5" t="s">
        <v>10</v>
      </c>
      <c r="C843" s="5" t="s">
        <v>34</v>
      </c>
      <c r="D843" s="5" t="s">
        <v>23</v>
      </c>
      <c r="E843" s="5" t="s">
        <v>13</v>
      </c>
      <c r="F843" s="5" t="s">
        <v>28</v>
      </c>
      <c r="G843" s="5" t="s">
        <v>24</v>
      </c>
      <c r="H843" s="5">
        <v>127940</v>
      </c>
      <c r="I843" s="5">
        <v>1077</v>
      </c>
      <c r="J843" s="6">
        <f t="shared" si="13"/>
        <v>126863</v>
      </c>
    </row>
    <row r="844" spans="1:10">
      <c r="A844" s="5">
        <v>7174</v>
      </c>
      <c r="B844" s="5" t="s">
        <v>10</v>
      </c>
      <c r="C844" s="5" t="s">
        <v>39</v>
      </c>
      <c r="D844" s="5" t="s">
        <v>32</v>
      </c>
      <c r="E844" s="5" t="s">
        <v>13</v>
      </c>
      <c r="F844" s="5" t="s">
        <v>14</v>
      </c>
      <c r="G844" s="5" t="s">
        <v>15</v>
      </c>
      <c r="H844" s="5">
        <v>377234</v>
      </c>
      <c r="I844" s="5">
        <v>28082</v>
      </c>
      <c r="J844" s="6">
        <f t="shared" si="13"/>
        <v>349152</v>
      </c>
    </row>
    <row r="845" spans="1:10">
      <c r="A845" s="5">
        <v>247546</v>
      </c>
      <c r="B845" s="5" t="s">
        <v>10</v>
      </c>
      <c r="C845" s="5" t="s">
        <v>25</v>
      </c>
      <c r="D845" s="5" t="s">
        <v>33</v>
      </c>
      <c r="E845" s="5" t="s">
        <v>19</v>
      </c>
      <c r="F845" s="5" t="s">
        <v>14</v>
      </c>
      <c r="G845" s="5" t="s">
        <v>24</v>
      </c>
      <c r="H845" s="5">
        <v>54022</v>
      </c>
      <c r="I845" s="5">
        <v>759</v>
      </c>
      <c r="J845" s="6">
        <f t="shared" si="13"/>
        <v>53263</v>
      </c>
    </row>
    <row r="846" spans="1:10">
      <c r="A846" s="5">
        <v>147916</v>
      </c>
      <c r="B846" s="5" t="s">
        <v>16</v>
      </c>
      <c r="C846" s="5" t="s">
        <v>17</v>
      </c>
      <c r="D846" s="5" t="s">
        <v>18</v>
      </c>
      <c r="E846" s="5" t="s">
        <v>13</v>
      </c>
      <c r="F846" s="5" t="s">
        <v>14</v>
      </c>
      <c r="G846" s="5" t="s">
        <v>24</v>
      </c>
      <c r="H846" s="5">
        <v>11801</v>
      </c>
      <c r="I846" s="5">
        <v>189</v>
      </c>
      <c r="J846" s="6">
        <f t="shared" si="13"/>
        <v>11612</v>
      </c>
    </row>
    <row r="847" spans="1:10">
      <c r="A847" s="5">
        <v>220521</v>
      </c>
      <c r="B847" s="5" t="s">
        <v>10</v>
      </c>
      <c r="C847" s="5" t="s">
        <v>25</v>
      </c>
      <c r="D847" s="5" t="s">
        <v>23</v>
      </c>
      <c r="E847" s="5" t="s">
        <v>19</v>
      </c>
      <c r="F847" s="5" t="s">
        <v>14</v>
      </c>
      <c r="G847" s="5" t="s">
        <v>24</v>
      </c>
      <c r="H847" s="5">
        <v>50305</v>
      </c>
      <c r="I847" s="5">
        <v>324</v>
      </c>
      <c r="J847" s="6">
        <f t="shared" si="13"/>
        <v>49981</v>
      </c>
    </row>
    <row r="848" spans="1:10">
      <c r="A848" s="5">
        <v>253861</v>
      </c>
      <c r="B848" s="5" t="s">
        <v>10</v>
      </c>
      <c r="C848" s="5" t="s">
        <v>17</v>
      </c>
      <c r="D848" s="5" t="s">
        <v>32</v>
      </c>
      <c r="E848" s="5" t="s">
        <v>19</v>
      </c>
      <c r="F848" s="5" t="s">
        <v>14</v>
      </c>
      <c r="G848" s="5" t="s">
        <v>24</v>
      </c>
      <c r="H848" s="5">
        <v>88866</v>
      </c>
      <c r="I848" s="5">
        <v>0</v>
      </c>
      <c r="J848" s="6">
        <f t="shared" si="13"/>
        <v>88866</v>
      </c>
    </row>
    <row r="849" spans="1:10">
      <c r="A849" s="5">
        <v>48508</v>
      </c>
      <c r="B849" s="5" t="s">
        <v>10</v>
      </c>
      <c r="C849" s="5" t="s">
        <v>34</v>
      </c>
      <c r="D849" s="5" t="s">
        <v>32</v>
      </c>
      <c r="E849" s="5" t="s">
        <v>19</v>
      </c>
      <c r="F849" s="5" t="s">
        <v>14</v>
      </c>
      <c r="G849" s="5" t="s">
        <v>15</v>
      </c>
      <c r="H849" s="5">
        <v>11944</v>
      </c>
      <c r="I849" s="5">
        <v>0</v>
      </c>
      <c r="J849" s="6">
        <f t="shared" si="13"/>
        <v>11944</v>
      </c>
    </row>
    <row r="850" spans="1:10">
      <c r="A850" s="5">
        <v>135993</v>
      </c>
      <c r="B850" s="5" t="s">
        <v>10</v>
      </c>
      <c r="C850" s="5" t="s">
        <v>22</v>
      </c>
      <c r="D850" s="5" t="s">
        <v>26</v>
      </c>
      <c r="E850" s="5" t="s">
        <v>13</v>
      </c>
      <c r="F850" s="5" t="s">
        <v>28</v>
      </c>
      <c r="G850" s="5" t="s">
        <v>24</v>
      </c>
      <c r="H850" s="5">
        <v>39774</v>
      </c>
      <c r="I850" s="5">
        <v>319</v>
      </c>
      <c r="J850" s="6">
        <f t="shared" si="13"/>
        <v>39455</v>
      </c>
    </row>
    <row r="851" spans="1:10">
      <c r="A851" s="5">
        <v>111316</v>
      </c>
      <c r="B851" s="5" t="s">
        <v>16</v>
      </c>
      <c r="C851" s="5" t="s">
        <v>17</v>
      </c>
      <c r="D851" s="5" t="s">
        <v>18</v>
      </c>
      <c r="E851" s="5" t="s">
        <v>19</v>
      </c>
      <c r="F851" s="5" t="s">
        <v>14</v>
      </c>
      <c r="G851" s="5" t="s">
        <v>24</v>
      </c>
      <c r="H851" s="5">
        <v>2132</v>
      </c>
      <c r="I851" s="5">
        <v>0</v>
      </c>
      <c r="J851" s="6">
        <f t="shared" si="13"/>
        <v>2132</v>
      </c>
    </row>
    <row r="852" spans="1:10">
      <c r="A852" s="5">
        <v>78098</v>
      </c>
      <c r="B852" s="5" t="s">
        <v>16</v>
      </c>
      <c r="C852" s="5" t="s">
        <v>27</v>
      </c>
      <c r="D852" s="5" t="s">
        <v>33</v>
      </c>
      <c r="E852" s="5" t="s">
        <v>19</v>
      </c>
      <c r="F852" s="5" t="s">
        <v>28</v>
      </c>
      <c r="G852" s="5" t="s">
        <v>24</v>
      </c>
      <c r="H852" s="5">
        <v>29960</v>
      </c>
      <c r="I852" s="5">
        <v>0</v>
      </c>
      <c r="J852" s="6">
        <f t="shared" si="13"/>
        <v>29960</v>
      </c>
    </row>
    <row r="853" spans="1:10">
      <c r="A853" s="5">
        <v>208478</v>
      </c>
      <c r="B853" s="5" t="s">
        <v>10</v>
      </c>
      <c r="C853" s="5" t="s">
        <v>39</v>
      </c>
      <c r="D853" s="5" t="s">
        <v>32</v>
      </c>
      <c r="E853" s="5" t="s">
        <v>19</v>
      </c>
      <c r="F853" s="5" t="s">
        <v>14</v>
      </c>
      <c r="G853" s="5" t="s">
        <v>24</v>
      </c>
      <c r="H853" s="5">
        <v>5395</v>
      </c>
      <c r="I853" s="5">
        <v>0</v>
      </c>
      <c r="J853" s="6">
        <f t="shared" si="13"/>
        <v>5395</v>
      </c>
    </row>
    <row r="854" spans="1:10">
      <c r="A854" s="5">
        <v>105776</v>
      </c>
      <c r="B854" s="5" t="s">
        <v>10</v>
      </c>
      <c r="C854" s="5" t="s">
        <v>22</v>
      </c>
      <c r="D854" s="5" t="s">
        <v>30</v>
      </c>
      <c r="E854" s="5" t="s">
        <v>13</v>
      </c>
      <c r="F854" s="5" t="s">
        <v>28</v>
      </c>
      <c r="G854" s="5" t="s">
        <v>15</v>
      </c>
      <c r="H854" s="5">
        <v>113383</v>
      </c>
      <c r="I854" s="5">
        <v>1040</v>
      </c>
      <c r="J854" s="6">
        <f t="shared" si="13"/>
        <v>112343</v>
      </c>
    </row>
    <row r="855" spans="1:10">
      <c r="A855" s="5">
        <v>168970</v>
      </c>
      <c r="B855" s="5" t="s">
        <v>16</v>
      </c>
      <c r="C855" s="5" t="s">
        <v>22</v>
      </c>
      <c r="D855" s="5" t="s">
        <v>30</v>
      </c>
      <c r="E855" s="5" t="s">
        <v>19</v>
      </c>
      <c r="F855" s="5" t="s">
        <v>14</v>
      </c>
      <c r="G855" s="5" t="s">
        <v>15</v>
      </c>
      <c r="H855" s="5">
        <v>59246</v>
      </c>
      <c r="I855" s="5">
        <v>3589</v>
      </c>
      <c r="J855" s="6">
        <f t="shared" si="13"/>
        <v>55657</v>
      </c>
    </row>
    <row r="856" spans="1:10">
      <c r="A856" s="5">
        <v>46000</v>
      </c>
      <c r="B856" s="5" t="s">
        <v>10</v>
      </c>
      <c r="C856" s="5" t="s">
        <v>35</v>
      </c>
      <c r="D856" s="5" t="s">
        <v>30</v>
      </c>
      <c r="E856" s="5" t="s">
        <v>19</v>
      </c>
      <c r="F856" s="5" t="s">
        <v>14</v>
      </c>
      <c r="G856" s="5" t="s">
        <v>24</v>
      </c>
      <c r="H856" s="5">
        <v>41182</v>
      </c>
      <c r="I856" s="5">
        <v>759</v>
      </c>
      <c r="J856" s="6">
        <f t="shared" si="13"/>
        <v>40423</v>
      </c>
    </row>
    <row r="857" spans="1:10">
      <c r="A857" s="5">
        <v>28428</v>
      </c>
      <c r="B857" s="5" t="s">
        <v>16</v>
      </c>
      <c r="C857" s="5" t="s">
        <v>11</v>
      </c>
      <c r="D857" s="5" t="s">
        <v>32</v>
      </c>
      <c r="E857" s="5" t="s">
        <v>13</v>
      </c>
      <c r="F857" s="5" t="s">
        <v>14</v>
      </c>
      <c r="G857" s="5" t="s">
        <v>15</v>
      </c>
      <c r="H857" s="5">
        <v>3447</v>
      </c>
      <c r="I857" s="5">
        <v>121</v>
      </c>
      <c r="J857" s="6">
        <f t="shared" si="13"/>
        <v>3326</v>
      </c>
    </row>
    <row r="858" spans="1:10">
      <c r="A858" s="5">
        <v>97435</v>
      </c>
      <c r="B858" s="5" t="s">
        <v>10</v>
      </c>
      <c r="C858" s="5" t="s">
        <v>37</v>
      </c>
      <c r="D858" s="5" t="s">
        <v>33</v>
      </c>
      <c r="E858" s="5" t="s">
        <v>13</v>
      </c>
      <c r="F858" s="5" t="s">
        <v>14</v>
      </c>
      <c r="G858" s="5" t="s">
        <v>15</v>
      </c>
      <c r="H858" s="5">
        <v>91030</v>
      </c>
      <c r="I858" s="5">
        <v>1700</v>
      </c>
      <c r="J858" s="6">
        <f t="shared" si="13"/>
        <v>89330</v>
      </c>
    </row>
    <row r="859" spans="1:10">
      <c r="A859" s="5">
        <v>217957</v>
      </c>
      <c r="B859" s="5" t="s">
        <v>16</v>
      </c>
      <c r="C859" s="5" t="s">
        <v>39</v>
      </c>
      <c r="D859" s="5" t="s">
        <v>32</v>
      </c>
      <c r="E859" s="5" t="s">
        <v>19</v>
      </c>
      <c r="F859" s="5" t="s">
        <v>14</v>
      </c>
      <c r="G859" s="5" t="s">
        <v>15</v>
      </c>
      <c r="H859" s="5">
        <v>41775</v>
      </c>
      <c r="I859" s="5">
        <v>131</v>
      </c>
      <c r="J859" s="6">
        <f t="shared" si="13"/>
        <v>41644</v>
      </c>
    </row>
    <row r="860" spans="1:10">
      <c r="A860" s="5">
        <v>69075</v>
      </c>
      <c r="B860" s="5" t="s">
        <v>10</v>
      </c>
      <c r="C860" s="5" t="s">
        <v>35</v>
      </c>
      <c r="D860" s="5" t="s">
        <v>23</v>
      </c>
      <c r="E860" s="5" t="s">
        <v>19</v>
      </c>
      <c r="F860" s="5" t="s">
        <v>14</v>
      </c>
      <c r="G860" s="5" t="s">
        <v>24</v>
      </c>
      <c r="H860" s="5">
        <v>68974</v>
      </c>
      <c r="I860" s="5">
        <v>4178</v>
      </c>
      <c r="J860" s="6">
        <f t="shared" si="13"/>
        <v>64796</v>
      </c>
    </row>
    <row r="861" spans="1:10">
      <c r="A861" s="5">
        <v>123717</v>
      </c>
      <c r="B861" s="5" t="s">
        <v>10</v>
      </c>
      <c r="C861" s="5" t="s">
        <v>27</v>
      </c>
      <c r="D861" s="5" t="s">
        <v>33</v>
      </c>
      <c r="E861" s="5" t="s">
        <v>13</v>
      </c>
      <c r="F861" s="5" t="s">
        <v>14</v>
      </c>
      <c r="G861" s="5" t="s">
        <v>15</v>
      </c>
      <c r="H861" s="5">
        <v>121815</v>
      </c>
      <c r="I861" s="5">
        <v>5601</v>
      </c>
      <c r="J861" s="6">
        <f t="shared" si="13"/>
        <v>116214</v>
      </c>
    </row>
    <row r="862" spans="1:10">
      <c r="A862" s="5">
        <v>176297</v>
      </c>
      <c r="B862" s="5" t="s">
        <v>16</v>
      </c>
      <c r="C862" s="5" t="s">
        <v>27</v>
      </c>
      <c r="D862" s="5" t="s">
        <v>30</v>
      </c>
      <c r="E862" s="5" t="s">
        <v>13</v>
      </c>
      <c r="F862" s="5" t="s">
        <v>14</v>
      </c>
      <c r="G862" s="5" t="s">
        <v>15</v>
      </c>
      <c r="H862" s="5">
        <v>73515</v>
      </c>
      <c r="I862" s="5">
        <v>1909</v>
      </c>
      <c r="J862" s="6">
        <f t="shared" si="13"/>
        <v>71606</v>
      </c>
    </row>
    <row r="863" spans="1:10">
      <c r="A863" s="5">
        <v>49233</v>
      </c>
      <c r="B863" s="5" t="s">
        <v>10</v>
      </c>
      <c r="C863" s="5" t="s">
        <v>35</v>
      </c>
      <c r="D863" s="5" t="s">
        <v>32</v>
      </c>
      <c r="E863" s="5" t="s">
        <v>13</v>
      </c>
      <c r="F863" s="5" t="s">
        <v>14</v>
      </c>
      <c r="G863" s="5" t="s">
        <v>15</v>
      </c>
      <c r="H863" s="5">
        <v>0</v>
      </c>
      <c r="I863" s="5">
        <v>0</v>
      </c>
      <c r="J863" s="6">
        <f t="shared" si="13"/>
        <v>0</v>
      </c>
    </row>
    <row r="864" spans="1:10">
      <c r="A864" s="5">
        <v>49742</v>
      </c>
      <c r="B864" s="5" t="s">
        <v>10</v>
      </c>
      <c r="C864" s="5" t="s">
        <v>35</v>
      </c>
      <c r="D864" s="5" t="s">
        <v>12</v>
      </c>
      <c r="E864" s="5" t="s">
        <v>13</v>
      </c>
      <c r="F864" s="5" t="s">
        <v>14</v>
      </c>
      <c r="G864" s="5" t="s">
        <v>15</v>
      </c>
      <c r="H864" s="5">
        <v>122376</v>
      </c>
      <c r="I864" s="5">
        <v>41914</v>
      </c>
      <c r="J864" s="6">
        <f t="shared" si="13"/>
        <v>80462</v>
      </c>
    </row>
    <row r="865" spans="1:10">
      <c r="A865" s="5">
        <v>121786</v>
      </c>
      <c r="B865" s="5" t="s">
        <v>16</v>
      </c>
      <c r="C865" s="5" t="s">
        <v>22</v>
      </c>
      <c r="D865" s="5" t="s">
        <v>30</v>
      </c>
      <c r="E865" s="5" t="s">
        <v>13</v>
      </c>
      <c r="F865" s="5" t="s">
        <v>28</v>
      </c>
      <c r="G865" s="5" t="s">
        <v>15</v>
      </c>
      <c r="H865" s="5">
        <v>75117</v>
      </c>
      <c r="I865" s="5">
        <v>184</v>
      </c>
      <c r="J865" s="6">
        <f t="shared" si="13"/>
        <v>74933</v>
      </c>
    </row>
    <row r="866" spans="1:10">
      <c r="A866" s="5">
        <v>38895</v>
      </c>
      <c r="B866" s="5" t="s">
        <v>10</v>
      </c>
      <c r="C866" s="5" t="s">
        <v>11</v>
      </c>
      <c r="D866" s="5" t="s">
        <v>23</v>
      </c>
      <c r="E866" s="5" t="s">
        <v>13</v>
      </c>
      <c r="F866" s="5" t="s">
        <v>14</v>
      </c>
      <c r="G866" s="5" t="s">
        <v>24</v>
      </c>
      <c r="H866" s="5">
        <v>149842</v>
      </c>
      <c r="I866" s="5">
        <v>3335</v>
      </c>
      <c r="J866" s="6">
        <f t="shared" si="13"/>
        <v>146507</v>
      </c>
    </row>
    <row r="867" spans="1:10">
      <c r="A867" s="5">
        <v>8660</v>
      </c>
      <c r="B867" s="5" t="s">
        <v>16</v>
      </c>
      <c r="C867" s="5" t="s">
        <v>37</v>
      </c>
      <c r="D867" s="5" t="s">
        <v>21</v>
      </c>
      <c r="E867" s="5" t="s">
        <v>19</v>
      </c>
      <c r="F867" s="5" t="s">
        <v>28</v>
      </c>
      <c r="G867" s="5" t="s">
        <v>15</v>
      </c>
      <c r="H867" s="5">
        <v>49250</v>
      </c>
      <c r="I867" s="5">
        <v>83</v>
      </c>
      <c r="J867" s="6">
        <f t="shared" si="13"/>
        <v>49167</v>
      </c>
    </row>
    <row r="868" spans="1:10">
      <c r="A868" s="5">
        <v>39980</v>
      </c>
      <c r="B868" s="5" t="s">
        <v>10</v>
      </c>
      <c r="C868" s="5" t="s">
        <v>35</v>
      </c>
      <c r="D868" s="5" t="s">
        <v>32</v>
      </c>
      <c r="E868" s="5" t="s">
        <v>13</v>
      </c>
      <c r="F868" s="5" t="s">
        <v>14</v>
      </c>
      <c r="G868" s="5" t="s">
        <v>24</v>
      </c>
      <c r="H868" s="5">
        <v>93439</v>
      </c>
      <c r="I868" s="5">
        <v>0</v>
      </c>
      <c r="J868" s="6">
        <f t="shared" si="13"/>
        <v>93439</v>
      </c>
    </row>
    <row r="869" spans="1:10">
      <c r="A869" s="5">
        <v>16978</v>
      </c>
      <c r="B869" s="5" t="s">
        <v>16</v>
      </c>
      <c r="C869" s="5" t="s">
        <v>11</v>
      </c>
      <c r="D869" s="5" t="s">
        <v>12</v>
      </c>
      <c r="E869" s="5" t="s">
        <v>13</v>
      </c>
      <c r="F869" s="5" t="s">
        <v>14</v>
      </c>
      <c r="G869" s="5" t="s">
        <v>15</v>
      </c>
      <c r="H869" s="5">
        <v>39499</v>
      </c>
      <c r="I869" s="5">
        <v>532</v>
      </c>
      <c r="J869" s="6">
        <f t="shared" si="13"/>
        <v>38967</v>
      </c>
    </row>
    <row r="870" spans="1:10">
      <c r="A870" s="5">
        <v>180577</v>
      </c>
      <c r="B870" s="5" t="s">
        <v>16</v>
      </c>
      <c r="C870" s="5" t="s">
        <v>17</v>
      </c>
      <c r="D870" s="5" t="s">
        <v>36</v>
      </c>
      <c r="E870" s="5" t="s">
        <v>19</v>
      </c>
      <c r="F870" s="5" t="s">
        <v>14</v>
      </c>
      <c r="G870" s="5" t="s">
        <v>24</v>
      </c>
      <c r="H870" s="5">
        <v>4148</v>
      </c>
      <c r="I870" s="5">
        <v>18</v>
      </c>
      <c r="J870" s="6">
        <f t="shared" si="13"/>
        <v>4130</v>
      </c>
    </row>
    <row r="871" spans="1:10">
      <c r="A871" s="5">
        <v>154567</v>
      </c>
      <c r="B871" s="5" t="s">
        <v>16</v>
      </c>
      <c r="C871" s="5" t="s">
        <v>25</v>
      </c>
      <c r="D871" s="5" t="s">
        <v>21</v>
      </c>
      <c r="E871" s="5" t="s">
        <v>13</v>
      </c>
      <c r="F871" s="5" t="s">
        <v>14</v>
      </c>
      <c r="G871" s="5" t="s">
        <v>15</v>
      </c>
      <c r="H871" s="5">
        <v>52490</v>
      </c>
      <c r="I871" s="5">
        <v>294</v>
      </c>
      <c r="J871" s="6">
        <f t="shared" si="13"/>
        <v>52196</v>
      </c>
    </row>
    <row r="872" spans="1:10">
      <c r="A872" s="5">
        <v>226474</v>
      </c>
      <c r="B872" s="5" t="s">
        <v>10</v>
      </c>
      <c r="C872" s="5" t="s">
        <v>25</v>
      </c>
      <c r="D872" s="5" t="s">
        <v>23</v>
      </c>
      <c r="E872" s="5" t="s">
        <v>19</v>
      </c>
      <c r="F872" s="5" t="s">
        <v>14</v>
      </c>
      <c r="G872" s="5" t="s">
        <v>15</v>
      </c>
      <c r="H872" s="5">
        <v>138377</v>
      </c>
      <c r="I872" s="5">
        <v>6605</v>
      </c>
      <c r="J872" s="6">
        <f t="shared" si="13"/>
        <v>131772</v>
      </c>
    </row>
    <row r="873" spans="1:10">
      <c r="A873" s="5">
        <v>154411</v>
      </c>
      <c r="B873" s="5" t="s">
        <v>16</v>
      </c>
      <c r="C873" s="5" t="s">
        <v>35</v>
      </c>
      <c r="D873" s="5" t="s">
        <v>30</v>
      </c>
      <c r="E873" s="5" t="s">
        <v>13</v>
      </c>
      <c r="F873" s="5" t="s">
        <v>28</v>
      </c>
      <c r="G873" s="5" t="s">
        <v>15</v>
      </c>
      <c r="H873" s="5">
        <v>11874</v>
      </c>
      <c r="I873" s="5">
        <v>0</v>
      </c>
      <c r="J873" s="6">
        <f t="shared" si="13"/>
        <v>11874</v>
      </c>
    </row>
    <row r="874" spans="1:10">
      <c r="A874" s="5">
        <v>7270</v>
      </c>
      <c r="B874" s="5" t="s">
        <v>16</v>
      </c>
      <c r="C874" s="5" t="s">
        <v>20</v>
      </c>
      <c r="D874" s="5" t="s">
        <v>32</v>
      </c>
      <c r="E874" s="5" t="s">
        <v>13</v>
      </c>
      <c r="F874" s="5" t="s">
        <v>14</v>
      </c>
      <c r="G874" s="5" t="s">
        <v>15</v>
      </c>
      <c r="H874" s="5">
        <v>20920</v>
      </c>
      <c r="I874" s="5">
        <v>0</v>
      </c>
      <c r="J874" s="6">
        <f t="shared" si="13"/>
        <v>20920</v>
      </c>
    </row>
    <row r="875" spans="1:10">
      <c r="A875" s="5">
        <v>241235</v>
      </c>
      <c r="B875" s="5" t="s">
        <v>10</v>
      </c>
      <c r="C875" s="5" t="s">
        <v>35</v>
      </c>
      <c r="D875" s="5" t="s">
        <v>18</v>
      </c>
      <c r="E875" s="5" t="s">
        <v>13</v>
      </c>
      <c r="F875" s="5" t="s">
        <v>28</v>
      </c>
      <c r="G875" s="5" t="s">
        <v>15</v>
      </c>
      <c r="H875" s="5">
        <v>81692</v>
      </c>
      <c r="I875" s="5">
        <v>1495</v>
      </c>
      <c r="J875" s="6">
        <f t="shared" si="13"/>
        <v>80197</v>
      </c>
    </row>
    <row r="876" spans="1:10">
      <c r="A876" s="5">
        <v>173120</v>
      </c>
      <c r="B876" s="5" t="s">
        <v>10</v>
      </c>
      <c r="C876" s="5" t="s">
        <v>20</v>
      </c>
      <c r="D876" s="5" t="s">
        <v>32</v>
      </c>
      <c r="E876" s="5" t="s">
        <v>13</v>
      </c>
      <c r="F876" s="5" t="s">
        <v>14</v>
      </c>
      <c r="G876" s="5" t="s">
        <v>15</v>
      </c>
      <c r="H876" s="5">
        <v>48939</v>
      </c>
      <c r="I876" s="5">
        <v>597</v>
      </c>
      <c r="J876" s="6">
        <f t="shared" si="13"/>
        <v>48342</v>
      </c>
    </row>
    <row r="877" spans="1:10">
      <c r="A877" s="5">
        <v>64798</v>
      </c>
      <c r="B877" s="5" t="s">
        <v>16</v>
      </c>
      <c r="C877" s="5" t="s">
        <v>27</v>
      </c>
      <c r="D877" s="5" t="s">
        <v>32</v>
      </c>
      <c r="E877" s="5" t="s">
        <v>13</v>
      </c>
      <c r="F877" s="5" t="s">
        <v>14</v>
      </c>
      <c r="G877" s="5" t="s">
        <v>24</v>
      </c>
      <c r="H877" s="5">
        <v>12989</v>
      </c>
      <c r="I877" s="5">
        <v>0</v>
      </c>
      <c r="J877" s="6">
        <f t="shared" si="13"/>
        <v>12989</v>
      </c>
    </row>
    <row r="878" spans="1:10">
      <c r="A878" s="5">
        <v>137329</v>
      </c>
      <c r="B878" s="5" t="s">
        <v>10</v>
      </c>
      <c r="C878" s="5" t="s">
        <v>22</v>
      </c>
      <c r="D878" s="5" t="s">
        <v>30</v>
      </c>
      <c r="E878" s="5" t="s">
        <v>19</v>
      </c>
      <c r="F878" s="5" t="s">
        <v>14</v>
      </c>
      <c r="G878" s="5" t="s">
        <v>15</v>
      </c>
      <c r="H878" s="5">
        <v>227664</v>
      </c>
      <c r="I878" s="5">
        <v>10694</v>
      </c>
      <c r="J878" s="6">
        <f t="shared" si="13"/>
        <v>216970</v>
      </c>
    </row>
    <row r="879" spans="1:10">
      <c r="A879" s="5">
        <v>31546</v>
      </c>
      <c r="B879" s="5" t="s">
        <v>10</v>
      </c>
      <c r="C879" s="5" t="s">
        <v>38</v>
      </c>
      <c r="D879" s="5" t="s">
        <v>33</v>
      </c>
      <c r="E879" s="5" t="s">
        <v>13</v>
      </c>
      <c r="F879" s="5" t="s">
        <v>14</v>
      </c>
      <c r="G879" s="5" t="s">
        <v>15</v>
      </c>
      <c r="H879" s="5">
        <v>71476</v>
      </c>
      <c r="I879" s="5">
        <v>654</v>
      </c>
      <c r="J879" s="6">
        <f t="shared" si="13"/>
        <v>70822</v>
      </c>
    </row>
    <row r="880" spans="1:10">
      <c r="A880" s="5">
        <v>142407</v>
      </c>
      <c r="B880" s="5" t="s">
        <v>10</v>
      </c>
      <c r="C880" s="5" t="s">
        <v>17</v>
      </c>
      <c r="D880" s="5" t="s">
        <v>18</v>
      </c>
      <c r="E880" s="5" t="s">
        <v>19</v>
      </c>
      <c r="F880" s="5" t="s">
        <v>14</v>
      </c>
      <c r="G880" s="5" t="s">
        <v>24</v>
      </c>
      <c r="H880" s="5">
        <v>20569</v>
      </c>
      <c r="I880" s="5">
        <v>68</v>
      </c>
      <c r="J880" s="6">
        <f t="shared" si="13"/>
        <v>20501</v>
      </c>
    </row>
    <row r="881" spans="1:10">
      <c r="A881" s="5">
        <v>90731</v>
      </c>
      <c r="B881" s="5" t="s">
        <v>10</v>
      </c>
      <c r="C881" s="5" t="s">
        <v>38</v>
      </c>
      <c r="D881" s="5" t="s">
        <v>33</v>
      </c>
      <c r="E881" s="5" t="s">
        <v>13</v>
      </c>
      <c r="F881" s="5" t="s">
        <v>14</v>
      </c>
      <c r="G881" s="5" t="s">
        <v>15</v>
      </c>
      <c r="H881" s="5">
        <v>20272</v>
      </c>
      <c r="I881" s="5">
        <v>6150</v>
      </c>
      <c r="J881" s="6">
        <f t="shared" si="13"/>
        <v>14122</v>
      </c>
    </row>
    <row r="882" spans="1:10">
      <c r="A882" s="5">
        <v>248493</v>
      </c>
      <c r="B882" s="5" t="s">
        <v>16</v>
      </c>
      <c r="C882" s="5" t="s">
        <v>22</v>
      </c>
      <c r="D882" s="5" t="s">
        <v>33</v>
      </c>
      <c r="E882" s="5" t="s">
        <v>13</v>
      </c>
      <c r="F882" s="5" t="s">
        <v>14</v>
      </c>
      <c r="G882" s="5" t="s">
        <v>24</v>
      </c>
      <c r="H882" s="5">
        <v>59941</v>
      </c>
      <c r="I882" s="5">
        <v>1677</v>
      </c>
      <c r="J882" s="6">
        <f t="shared" si="13"/>
        <v>58264</v>
      </c>
    </row>
    <row r="883" spans="1:10">
      <c r="A883" s="5">
        <v>36906</v>
      </c>
      <c r="B883" s="5" t="s">
        <v>16</v>
      </c>
      <c r="C883" s="5" t="s">
        <v>35</v>
      </c>
      <c r="D883" s="5" t="s">
        <v>33</v>
      </c>
      <c r="E883" s="5" t="s">
        <v>13</v>
      </c>
      <c r="F883" s="5" t="s">
        <v>28</v>
      </c>
      <c r="G883" s="5" t="s">
        <v>15</v>
      </c>
      <c r="H883" s="5">
        <v>38</v>
      </c>
      <c r="I883" s="5">
        <v>0</v>
      </c>
      <c r="J883" s="6">
        <f t="shared" si="13"/>
        <v>38</v>
      </c>
    </row>
    <row r="884" spans="1:10">
      <c r="A884" s="5">
        <v>25268</v>
      </c>
      <c r="B884" s="5" t="s">
        <v>16</v>
      </c>
      <c r="C884" s="5" t="s">
        <v>11</v>
      </c>
      <c r="D884" s="5" t="s">
        <v>32</v>
      </c>
      <c r="E884" s="5" t="s">
        <v>13</v>
      </c>
      <c r="F884" s="5" t="s">
        <v>14</v>
      </c>
      <c r="G884" s="5" t="s">
        <v>15</v>
      </c>
      <c r="H884" s="5">
        <v>6093</v>
      </c>
      <c r="I884" s="5">
        <v>0</v>
      </c>
      <c r="J884" s="6">
        <f t="shared" si="13"/>
        <v>6093</v>
      </c>
    </row>
    <row r="885" spans="1:10">
      <c r="A885" s="5">
        <v>206128</v>
      </c>
      <c r="B885" s="5" t="s">
        <v>16</v>
      </c>
      <c r="C885" s="5" t="s">
        <v>11</v>
      </c>
      <c r="D885" s="5" t="s">
        <v>32</v>
      </c>
      <c r="E885" s="5" t="s">
        <v>13</v>
      </c>
      <c r="F885" s="5" t="s">
        <v>14</v>
      </c>
      <c r="G885" s="5" t="s">
        <v>24</v>
      </c>
      <c r="H885" s="5">
        <v>-32058</v>
      </c>
      <c r="I885" s="5">
        <v>487</v>
      </c>
      <c r="J885" s="6">
        <f t="shared" si="13"/>
        <v>-32545</v>
      </c>
    </row>
    <row r="886" spans="1:10">
      <c r="A886" s="5">
        <v>9748</v>
      </c>
      <c r="B886" s="5" t="s">
        <v>16</v>
      </c>
      <c r="C886" s="5" t="s">
        <v>20</v>
      </c>
      <c r="D886" s="5" t="s">
        <v>32</v>
      </c>
      <c r="E886" s="5" t="s">
        <v>19</v>
      </c>
      <c r="F886" s="5" t="s">
        <v>14</v>
      </c>
      <c r="G886" s="5" t="s">
        <v>24</v>
      </c>
      <c r="H886" s="5">
        <v>4081</v>
      </c>
      <c r="I886" s="5">
        <v>0</v>
      </c>
      <c r="J886" s="6">
        <f t="shared" si="13"/>
        <v>4081</v>
      </c>
    </row>
    <row r="887" spans="1:10">
      <c r="A887" s="5">
        <v>235673</v>
      </c>
      <c r="B887" s="5" t="s">
        <v>10</v>
      </c>
      <c r="C887" s="5" t="s">
        <v>17</v>
      </c>
      <c r="D887" s="5" t="s">
        <v>30</v>
      </c>
      <c r="E887" s="5" t="s">
        <v>19</v>
      </c>
      <c r="F887" s="5" t="s">
        <v>28</v>
      </c>
      <c r="G887" s="5" t="s">
        <v>15</v>
      </c>
      <c r="H887" s="5">
        <v>58791</v>
      </c>
      <c r="I887" s="5">
        <v>1143</v>
      </c>
      <c r="J887" s="6">
        <f t="shared" si="13"/>
        <v>57648</v>
      </c>
    </row>
    <row r="888" spans="1:10">
      <c r="A888" s="5">
        <v>63047</v>
      </c>
      <c r="B888" s="5" t="s">
        <v>10</v>
      </c>
      <c r="C888" s="5" t="s">
        <v>27</v>
      </c>
      <c r="D888" s="5" t="s">
        <v>36</v>
      </c>
      <c r="E888" s="5" t="s">
        <v>13</v>
      </c>
      <c r="F888" s="5" t="s">
        <v>28</v>
      </c>
      <c r="G888" s="5" t="s">
        <v>24</v>
      </c>
      <c r="H888" s="5">
        <v>88773</v>
      </c>
      <c r="I888" s="5">
        <v>829</v>
      </c>
      <c r="J888" s="6">
        <f t="shared" si="13"/>
        <v>87944</v>
      </c>
    </row>
    <row r="889" spans="1:10">
      <c r="A889" s="5">
        <v>91336</v>
      </c>
      <c r="B889" s="5" t="s">
        <v>16</v>
      </c>
      <c r="C889" s="5" t="s">
        <v>39</v>
      </c>
      <c r="D889" s="5" t="s">
        <v>32</v>
      </c>
      <c r="E889" s="5" t="s">
        <v>13</v>
      </c>
      <c r="F889" s="5" t="s">
        <v>14</v>
      </c>
      <c r="G889" s="5" t="s">
        <v>15</v>
      </c>
      <c r="H889" s="5">
        <v>82385</v>
      </c>
      <c r="I889" s="5">
        <v>287</v>
      </c>
      <c r="J889" s="6">
        <f t="shared" si="13"/>
        <v>82098</v>
      </c>
    </row>
    <row r="890" spans="1:10">
      <c r="A890" s="5">
        <v>161844</v>
      </c>
      <c r="B890" s="5" t="s">
        <v>10</v>
      </c>
      <c r="C890" s="5" t="s">
        <v>17</v>
      </c>
      <c r="D890" s="5" t="s">
        <v>21</v>
      </c>
      <c r="E890" s="5" t="s">
        <v>19</v>
      </c>
      <c r="F890" s="5" t="s">
        <v>14</v>
      </c>
      <c r="G890" s="5" t="s">
        <v>15</v>
      </c>
      <c r="H890" s="5">
        <v>38265</v>
      </c>
      <c r="I890" s="5">
        <v>2710</v>
      </c>
      <c r="J890" s="6">
        <f t="shared" si="13"/>
        <v>35555</v>
      </c>
    </row>
    <row r="891" spans="1:10">
      <c r="A891" s="5">
        <v>84075</v>
      </c>
      <c r="B891" s="5" t="s">
        <v>10</v>
      </c>
      <c r="C891" s="5" t="s">
        <v>34</v>
      </c>
      <c r="D891" s="5" t="s">
        <v>29</v>
      </c>
      <c r="E891" s="5" t="s">
        <v>19</v>
      </c>
      <c r="F891" s="5" t="s">
        <v>14</v>
      </c>
      <c r="G891" s="5" t="s">
        <v>24</v>
      </c>
      <c r="H891" s="5">
        <v>63136</v>
      </c>
      <c r="I891" s="5">
        <v>11149</v>
      </c>
      <c r="J891" s="6">
        <f t="shared" si="13"/>
        <v>51987</v>
      </c>
    </row>
    <row r="892" spans="1:10">
      <c r="A892" s="5">
        <v>247868</v>
      </c>
      <c r="B892" s="5" t="s">
        <v>16</v>
      </c>
      <c r="C892" s="5" t="s">
        <v>17</v>
      </c>
      <c r="D892" s="5" t="s">
        <v>36</v>
      </c>
      <c r="E892" s="5" t="s">
        <v>19</v>
      </c>
      <c r="F892" s="5" t="s">
        <v>14</v>
      </c>
      <c r="G892" s="5" t="s">
        <v>24</v>
      </c>
      <c r="H892" s="5">
        <v>24605</v>
      </c>
      <c r="I892" s="5">
        <v>752</v>
      </c>
      <c r="J892" s="6">
        <f t="shared" si="13"/>
        <v>23853</v>
      </c>
    </row>
    <row r="893" spans="1:10">
      <c r="A893" s="5">
        <v>228719</v>
      </c>
      <c r="B893" s="5" t="s">
        <v>10</v>
      </c>
      <c r="C893" s="5" t="s">
        <v>25</v>
      </c>
      <c r="D893" s="5" t="s">
        <v>29</v>
      </c>
      <c r="E893" s="5" t="s">
        <v>13</v>
      </c>
      <c r="F893" s="5" t="s">
        <v>28</v>
      </c>
      <c r="G893" s="5" t="s">
        <v>24</v>
      </c>
      <c r="H893" s="5">
        <v>142628</v>
      </c>
      <c r="I893" s="5">
        <v>14982</v>
      </c>
      <c r="J893" s="6">
        <f t="shared" si="13"/>
        <v>127646</v>
      </c>
    </row>
    <row r="894" spans="1:10">
      <c r="A894" s="5">
        <v>222143</v>
      </c>
      <c r="B894" s="5" t="s">
        <v>10</v>
      </c>
      <c r="C894" s="5" t="s">
        <v>22</v>
      </c>
      <c r="D894" s="5" t="s">
        <v>32</v>
      </c>
      <c r="E894" s="5" t="s">
        <v>13</v>
      </c>
      <c r="F894" s="5" t="s">
        <v>14</v>
      </c>
      <c r="G894" s="5" t="s">
        <v>24</v>
      </c>
      <c r="H894" s="5">
        <v>3270</v>
      </c>
      <c r="I894" s="5">
        <v>0</v>
      </c>
      <c r="J894" s="6">
        <f t="shared" si="13"/>
        <v>3270</v>
      </c>
    </row>
    <row r="895" spans="1:10">
      <c r="A895" s="5">
        <v>88435</v>
      </c>
      <c r="B895" s="5" t="s">
        <v>16</v>
      </c>
      <c r="C895" s="5" t="s">
        <v>37</v>
      </c>
      <c r="D895" s="5" t="s">
        <v>33</v>
      </c>
      <c r="E895" s="5" t="s">
        <v>19</v>
      </c>
      <c r="F895" s="5" t="s">
        <v>14</v>
      </c>
      <c r="G895" s="5" t="s">
        <v>24</v>
      </c>
      <c r="H895" s="5">
        <v>50446</v>
      </c>
      <c r="I895" s="5">
        <v>269</v>
      </c>
      <c r="J895" s="6">
        <f t="shared" si="13"/>
        <v>50177</v>
      </c>
    </row>
    <row r="896" spans="1:10">
      <c r="A896" s="5">
        <v>183461</v>
      </c>
      <c r="B896" s="5" t="s">
        <v>10</v>
      </c>
      <c r="C896" s="5" t="s">
        <v>20</v>
      </c>
      <c r="D896" s="5" t="s">
        <v>32</v>
      </c>
      <c r="E896" s="5" t="s">
        <v>19</v>
      </c>
      <c r="F896" s="5" t="s">
        <v>14</v>
      </c>
      <c r="G896" s="5" t="s">
        <v>15</v>
      </c>
      <c r="H896" s="5">
        <v>39044</v>
      </c>
      <c r="I896" s="5">
        <v>129</v>
      </c>
      <c r="J896" s="6">
        <f t="shared" si="13"/>
        <v>38915</v>
      </c>
    </row>
    <row r="897" spans="1:10">
      <c r="A897" s="5">
        <v>145545</v>
      </c>
      <c r="B897" s="5" t="s">
        <v>10</v>
      </c>
      <c r="C897" s="5" t="s">
        <v>22</v>
      </c>
      <c r="D897" s="5" t="s">
        <v>32</v>
      </c>
      <c r="E897" s="5" t="s">
        <v>19</v>
      </c>
      <c r="F897" s="5" t="s">
        <v>28</v>
      </c>
      <c r="G897" s="5" t="s">
        <v>24</v>
      </c>
      <c r="H897" s="5">
        <v>458</v>
      </c>
      <c r="I897" s="5">
        <v>0</v>
      </c>
      <c r="J897" s="6">
        <f t="shared" si="13"/>
        <v>458</v>
      </c>
    </row>
    <row r="898" spans="1:10">
      <c r="A898" s="5">
        <v>91304</v>
      </c>
      <c r="B898" s="5" t="s">
        <v>10</v>
      </c>
      <c r="C898" s="5" t="s">
        <v>37</v>
      </c>
      <c r="D898" s="5" t="s">
        <v>36</v>
      </c>
      <c r="E898" s="5" t="s">
        <v>13</v>
      </c>
      <c r="F898" s="5" t="s">
        <v>14</v>
      </c>
      <c r="G898" s="5" t="s">
        <v>15</v>
      </c>
      <c r="H898" s="5">
        <v>112781</v>
      </c>
      <c r="I898" s="5">
        <v>12548</v>
      </c>
      <c r="J898" s="6">
        <f t="shared" ref="J898:J961" si="14">H898-I898</f>
        <v>100233</v>
      </c>
    </row>
    <row r="899" spans="1:10">
      <c r="A899" s="5">
        <v>97312</v>
      </c>
      <c r="B899" s="5" t="s">
        <v>16</v>
      </c>
      <c r="C899" s="5" t="s">
        <v>39</v>
      </c>
      <c r="D899" s="5" t="s">
        <v>32</v>
      </c>
      <c r="E899" s="5" t="s">
        <v>13</v>
      </c>
      <c r="F899" s="5" t="s">
        <v>14</v>
      </c>
      <c r="G899" s="5" t="s">
        <v>15</v>
      </c>
      <c r="H899" s="5">
        <v>17843</v>
      </c>
      <c r="I899" s="5">
        <v>0</v>
      </c>
      <c r="J899" s="6">
        <f t="shared" si="14"/>
        <v>17843</v>
      </c>
    </row>
    <row r="900" spans="1:10">
      <c r="A900" s="5">
        <v>166553</v>
      </c>
      <c r="B900" s="5" t="s">
        <v>10</v>
      </c>
      <c r="C900" s="5" t="s">
        <v>22</v>
      </c>
      <c r="D900" s="5" t="s">
        <v>30</v>
      </c>
      <c r="E900" s="5" t="s">
        <v>13</v>
      </c>
      <c r="F900" s="5" t="s">
        <v>14</v>
      </c>
      <c r="G900" s="5" t="s">
        <v>15</v>
      </c>
      <c r="H900" s="5">
        <v>117716</v>
      </c>
      <c r="I900" s="5">
        <v>9327</v>
      </c>
      <c r="J900" s="6">
        <f t="shared" si="14"/>
        <v>108389</v>
      </c>
    </row>
    <row r="901" spans="1:10">
      <c r="A901" s="5">
        <v>90600</v>
      </c>
      <c r="B901" s="5" t="s">
        <v>16</v>
      </c>
      <c r="C901" s="5" t="s">
        <v>37</v>
      </c>
      <c r="D901" s="5" t="s">
        <v>26</v>
      </c>
      <c r="E901" s="5" t="s">
        <v>13</v>
      </c>
      <c r="F901" s="5" t="s">
        <v>28</v>
      </c>
      <c r="G901" s="5" t="s">
        <v>15</v>
      </c>
      <c r="H901" s="5">
        <v>49587</v>
      </c>
      <c r="I901" s="5">
        <v>542</v>
      </c>
      <c r="J901" s="6">
        <f t="shared" si="14"/>
        <v>49045</v>
      </c>
    </row>
    <row r="902" spans="1:10">
      <c r="A902" s="5">
        <v>51995</v>
      </c>
      <c r="B902" s="5" t="s">
        <v>16</v>
      </c>
      <c r="C902" s="5" t="s">
        <v>35</v>
      </c>
      <c r="D902" s="5" t="s">
        <v>23</v>
      </c>
      <c r="E902" s="5" t="s">
        <v>13</v>
      </c>
      <c r="F902" s="5" t="s">
        <v>28</v>
      </c>
      <c r="G902" s="5" t="s">
        <v>15</v>
      </c>
      <c r="H902" s="5">
        <v>28927</v>
      </c>
      <c r="I902" s="5">
        <v>599</v>
      </c>
      <c r="J902" s="6">
        <f t="shared" si="14"/>
        <v>28328</v>
      </c>
    </row>
    <row r="903" spans="1:10">
      <c r="A903" s="5">
        <v>37722</v>
      </c>
      <c r="B903" s="5" t="s">
        <v>10</v>
      </c>
      <c r="C903" s="5" t="s">
        <v>39</v>
      </c>
      <c r="D903" s="5" t="s">
        <v>32</v>
      </c>
      <c r="E903" s="5" t="s">
        <v>13</v>
      </c>
      <c r="F903" s="5" t="s">
        <v>28</v>
      </c>
      <c r="G903" s="5" t="s">
        <v>15</v>
      </c>
      <c r="H903" s="5">
        <v>67728</v>
      </c>
      <c r="I903" s="5">
        <v>18160</v>
      </c>
      <c r="J903" s="6">
        <f t="shared" si="14"/>
        <v>49568</v>
      </c>
    </row>
    <row r="904" spans="1:10">
      <c r="A904" s="5">
        <v>237221</v>
      </c>
      <c r="B904" s="5" t="s">
        <v>16</v>
      </c>
      <c r="C904" s="5" t="s">
        <v>17</v>
      </c>
      <c r="D904" s="5" t="s">
        <v>21</v>
      </c>
      <c r="E904" s="5" t="s">
        <v>19</v>
      </c>
      <c r="F904" s="5" t="s">
        <v>14</v>
      </c>
      <c r="G904" s="5" t="s">
        <v>24</v>
      </c>
      <c r="H904" s="5">
        <v>31064</v>
      </c>
      <c r="I904" s="5">
        <v>282</v>
      </c>
      <c r="J904" s="6">
        <f t="shared" si="14"/>
        <v>30782</v>
      </c>
    </row>
    <row r="905" spans="1:10">
      <c r="A905" s="5">
        <v>95049</v>
      </c>
      <c r="B905" s="5" t="s">
        <v>10</v>
      </c>
      <c r="C905" s="5" t="s">
        <v>38</v>
      </c>
      <c r="D905" s="5" t="s">
        <v>12</v>
      </c>
      <c r="E905" s="5" t="s">
        <v>13</v>
      </c>
      <c r="F905" s="5" t="s">
        <v>14</v>
      </c>
      <c r="G905" s="5" t="s">
        <v>15</v>
      </c>
      <c r="H905" s="5">
        <v>328743</v>
      </c>
      <c r="I905" s="5">
        <v>0</v>
      </c>
      <c r="J905" s="6">
        <f t="shared" si="14"/>
        <v>328743</v>
      </c>
    </row>
    <row r="906" spans="1:10">
      <c r="A906" s="5">
        <v>84823</v>
      </c>
      <c r="B906" s="5" t="s">
        <v>16</v>
      </c>
      <c r="C906" s="5" t="s">
        <v>11</v>
      </c>
      <c r="D906" s="5" t="s">
        <v>18</v>
      </c>
      <c r="E906" s="5" t="s">
        <v>19</v>
      </c>
      <c r="F906" s="5" t="s">
        <v>14</v>
      </c>
      <c r="G906" s="5" t="s">
        <v>15</v>
      </c>
      <c r="H906" s="5">
        <v>49063</v>
      </c>
      <c r="I906" s="5">
        <v>1000</v>
      </c>
      <c r="J906" s="6">
        <f t="shared" si="14"/>
        <v>48063</v>
      </c>
    </row>
    <row r="907" spans="1:10">
      <c r="A907" s="5">
        <v>92893</v>
      </c>
      <c r="B907" s="5" t="s">
        <v>16</v>
      </c>
      <c r="C907" s="5" t="s">
        <v>37</v>
      </c>
      <c r="D907" s="5" t="s">
        <v>30</v>
      </c>
      <c r="E907" s="5" t="s">
        <v>13</v>
      </c>
      <c r="F907" s="5" t="s">
        <v>14</v>
      </c>
      <c r="G907" s="5" t="s">
        <v>15</v>
      </c>
      <c r="H907" s="5">
        <v>26983</v>
      </c>
      <c r="I907" s="5">
        <v>1109</v>
      </c>
      <c r="J907" s="6">
        <f t="shared" si="14"/>
        <v>25874</v>
      </c>
    </row>
    <row r="908" spans="1:10">
      <c r="A908" s="5">
        <v>91058</v>
      </c>
      <c r="B908" s="5" t="s">
        <v>16</v>
      </c>
      <c r="C908" s="5" t="s">
        <v>38</v>
      </c>
      <c r="D908" s="5" t="s">
        <v>18</v>
      </c>
      <c r="E908" s="5" t="s">
        <v>13</v>
      </c>
      <c r="F908" s="5" t="s">
        <v>14</v>
      </c>
      <c r="G908" s="5" t="s">
        <v>15</v>
      </c>
      <c r="H908" s="5">
        <v>18227</v>
      </c>
      <c r="I908" s="5">
        <v>481</v>
      </c>
      <c r="J908" s="6">
        <f t="shared" si="14"/>
        <v>17746</v>
      </c>
    </row>
    <row r="909" spans="1:10">
      <c r="A909" s="5">
        <v>45215</v>
      </c>
      <c r="B909" s="5" t="s">
        <v>16</v>
      </c>
      <c r="C909" s="5" t="s">
        <v>35</v>
      </c>
      <c r="D909" s="5" t="s">
        <v>36</v>
      </c>
      <c r="E909" s="5" t="s">
        <v>13</v>
      </c>
      <c r="F909" s="5" t="s">
        <v>14</v>
      </c>
      <c r="G909" s="5" t="s">
        <v>24</v>
      </c>
      <c r="H909" s="5">
        <v>15687</v>
      </c>
      <c r="I909" s="5">
        <v>394</v>
      </c>
      <c r="J909" s="6">
        <f t="shared" si="14"/>
        <v>15293</v>
      </c>
    </row>
    <row r="910" spans="1:10">
      <c r="A910" s="5">
        <v>133960</v>
      </c>
      <c r="B910" s="5" t="s">
        <v>10</v>
      </c>
      <c r="C910" s="5" t="s">
        <v>31</v>
      </c>
      <c r="D910" s="5" t="s">
        <v>26</v>
      </c>
      <c r="E910" s="5" t="s">
        <v>19</v>
      </c>
      <c r="F910" s="5" t="s">
        <v>14</v>
      </c>
      <c r="G910" s="5" t="s">
        <v>24</v>
      </c>
      <c r="H910" s="5">
        <v>5369</v>
      </c>
      <c r="I910" s="5">
        <v>270</v>
      </c>
      <c r="J910" s="6">
        <f t="shared" si="14"/>
        <v>5099</v>
      </c>
    </row>
    <row r="911" spans="1:10">
      <c r="A911" s="5">
        <v>17674</v>
      </c>
      <c r="B911" s="5" t="s">
        <v>16</v>
      </c>
      <c r="C911" s="5" t="s">
        <v>34</v>
      </c>
      <c r="D911" s="5" t="s">
        <v>32</v>
      </c>
      <c r="E911" s="5" t="s">
        <v>19</v>
      </c>
      <c r="F911" s="5" t="s">
        <v>28</v>
      </c>
      <c r="G911" s="5" t="s">
        <v>15</v>
      </c>
      <c r="H911" s="5">
        <v>25214</v>
      </c>
      <c r="I911" s="5">
        <v>0</v>
      </c>
      <c r="J911" s="6">
        <f t="shared" si="14"/>
        <v>25214</v>
      </c>
    </row>
    <row r="912" spans="1:10">
      <c r="A912" s="5">
        <v>121669</v>
      </c>
      <c r="B912" s="5" t="s">
        <v>16</v>
      </c>
      <c r="C912" s="5" t="s">
        <v>22</v>
      </c>
      <c r="D912" s="5" t="s">
        <v>21</v>
      </c>
      <c r="E912" s="5" t="s">
        <v>13</v>
      </c>
      <c r="F912" s="5" t="s">
        <v>28</v>
      </c>
      <c r="G912" s="5" t="s">
        <v>15</v>
      </c>
      <c r="H912" s="5">
        <v>18</v>
      </c>
      <c r="I912" s="5">
        <v>0</v>
      </c>
      <c r="J912" s="6">
        <f t="shared" si="14"/>
        <v>18</v>
      </c>
    </row>
    <row r="913" spans="1:10">
      <c r="A913" s="5">
        <v>214730</v>
      </c>
      <c r="B913" s="5" t="s">
        <v>16</v>
      </c>
      <c r="C913" s="5" t="s">
        <v>34</v>
      </c>
      <c r="D913" s="5" t="s">
        <v>30</v>
      </c>
      <c r="E913" s="5" t="s">
        <v>13</v>
      </c>
      <c r="F913" s="5" t="s">
        <v>14</v>
      </c>
      <c r="G913" s="5" t="s">
        <v>15</v>
      </c>
      <c r="H913" s="5">
        <v>69307</v>
      </c>
      <c r="I913" s="5">
        <v>0</v>
      </c>
      <c r="J913" s="6">
        <f t="shared" si="14"/>
        <v>69307</v>
      </c>
    </row>
    <row r="914" spans="1:10">
      <c r="A914" s="5">
        <v>138562</v>
      </c>
      <c r="B914" s="5" t="s">
        <v>16</v>
      </c>
      <c r="C914" s="5" t="s">
        <v>22</v>
      </c>
      <c r="D914" s="5" t="s">
        <v>30</v>
      </c>
      <c r="E914" s="5" t="s">
        <v>13</v>
      </c>
      <c r="F914" s="5" t="s">
        <v>14</v>
      </c>
      <c r="G914" s="5" t="s">
        <v>15</v>
      </c>
      <c r="H914" s="5">
        <v>86371</v>
      </c>
      <c r="I914" s="5">
        <v>4503</v>
      </c>
      <c r="J914" s="6">
        <f t="shared" si="14"/>
        <v>81868</v>
      </c>
    </row>
    <row r="915" spans="1:10">
      <c r="A915" s="5">
        <v>38177</v>
      </c>
      <c r="B915" s="5" t="s">
        <v>16</v>
      </c>
      <c r="C915" s="5" t="s">
        <v>37</v>
      </c>
      <c r="D915" s="5" t="s">
        <v>26</v>
      </c>
      <c r="E915" s="5" t="s">
        <v>13</v>
      </c>
      <c r="F915" s="5" t="s">
        <v>14</v>
      </c>
      <c r="G915" s="5" t="s">
        <v>15</v>
      </c>
      <c r="H915" s="5">
        <v>21247</v>
      </c>
      <c r="I915" s="5">
        <v>568</v>
      </c>
      <c r="J915" s="6">
        <f t="shared" si="14"/>
        <v>20679</v>
      </c>
    </row>
    <row r="916" spans="1:10">
      <c r="A916" s="5">
        <v>155738</v>
      </c>
      <c r="B916" s="5" t="s">
        <v>16</v>
      </c>
      <c r="C916" s="5" t="s">
        <v>38</v>
      </c>
      <c r="D916" s="5" t="s">
        <v>30</v>
      </c>
      <c r="E916" s="5" t="s">
        <v>13</v>
      </c>
      <c r="F916" s="5" t="s">
        <v>14</v>
      </c>
      <c r="G916" s="5" t="s">
        <v>15</v>
      </c>
      <c r="H916" s="5">
        <v>13556</v>
      </c>
      <c r="I916" s="5">
        <v>0</v>
      </c>
      <c r="J916" s="6">
        <f t="shared" si="14"/>
        <v>13556</v>
      </c>
    </row>
    <row r="917" spans="1:10">
      <c r="A917" s="5">
        <v>119844</v>
      </c>
      <c r="B917" s="5" t="s">
        <v>10</v>
      </c>
      <c r="C917" s="5" t="s">
        <v>11</v>
      </c>
      <c r="D917" s="5" t="s">
        <v>30</v>
      </c>
      <c r="E917" s="5" t="s">
        <v>13</v>
      </c>
      <c r="F917" s="5" t="s">
        <v>14</v>
      </c>
      <c r="G917" s="5" t="s">
        <v>24</v>
      </c>
      <c r="H917" s="5">
        <v>65600</v>
      </c>
      <c r="I917" s="5">
        <v>2501</v>
      </c>
      <c r="J917" s="6">
        <f t="shared" si="14"/>
        <v>63099</v>
      </c>
    </row>
    <row r="918" spans="1:10">
      <c r="A918" s="5">
        <v>173864</v>
      </c>
      <c r="B918" s="5" t="s">
        <v>10</v>
      </c>
      <c r="C918" s="5" t="s">
        <v>22</v>
      </c>
      <c r="D918" s="5" t="s">
        <v>26</v>
      </c>
      <c r="E918" s="5" t="s">
        <v>19</v>
      </c>
      <c r="F918" s="5" t="s">
        <v>14</v>
      </c>
      <c r="G918" s="5" t="s">
        <v>24</v>
      </c>
      <c r="H918" s="5">
        <v>60941</v>
      </c>
      <c r="I918" s="5">
        <v>2146</v>
      </c>
      <c r="J918" s="6">
        <f t="shared" si="14"/>
        <v>58795</v>
      </c>
    </row>
    <row r="919" spans="1:10">
      <c r="A919" s="5">
        <v>216383</v>
      </c>
      <c r="B919" s="5" t="s">
        <v>10</v>
      </c>
      <c r="C919" s="5" t="s">
        <v>34</v>
      </c>
      <c r="D919" s="5" t="s">
        <v>29</v>
      </c>
      <c r="E919" s="5" t="s">
        <v>13</v>
      </c>
      <c r="F919" s="5" t="s">
        <v>14</v>
      </c>
      <c r="G919" s="5" t="s">
        <v>15</v>
      </c>
      <c r="H919" s="5">
        <v>94472</v>
      </c>
      <c r="I919" s="5">
        <v>8991</v>
      </c>
      <c r="J919" s="6">
        <f t="shared" si="14"/>
        <v>85481</v>
      </c>
    </row>
    <row r="920" spans="1:10">
      <c r="A920" s="5">
        <v>9205</v>
      </c>
      <c r="B920" s="5" t="s">
        <v>10</v>
      </c>
      <c r="C920" s="5" t="s">
        <v>34</v>
      </c>
      <c r="D920" s="5" t="s">
        <v>36</v>
      </c>
      <c r="E920" s="5" t="s">
        <v>13</v>
      </c>
      <c r="F920" s="5" t="s">
        <v>14</v>
      </c>
      <c r="G920" s="5" t="s">
        <v>15</v>
      </c>
      <c r="H920" s="5">
        <v>77297</v>
      </c>
      <c r="I920" s="5">
        <v>1271</v>
      </c>
      <c r="J920" s="6">
        <f t="shared" si="14"/>
        <v>76026</v>
      </c>
    </row>
    <row r="921" spans="1:10">
      <c r="A921" s="5">
        <v>50965</v>
      </c>
      <c r="B921" s="5" t="s">
        <v>16</v>
      </c>
      <c r="C921" s="5" t="s">
        <v>35</v>
      </c>
      <c r="D921" s="5" t="s">
        <v>33</v>
      </c>
      <c r="E921" s="5" t="s">
        <v>13</v>
      </c>
      <c r="F921" s="5" t="s">
        <v>14</v>
      </c>
      <c r="G921" s="5" t="s">
        <v>15</v>
      </c>
      <c r="H921" s="5">
        <v>32763</v>
      </c>
      <c r="I921" s="5">
        <v>283</v>
      </c>
      <c r="J921" s="6">
        <f t="shared" si="14"/>
        <v>32480</v>
      </c>
    </row>
    <row r="922" spans="1:10">
      <c r="A922" s="5">
        <v>15545</v>
      </c>
      <c r="B922" s="5" t="s">
        <v>16</v>
      </c>
      <c r="C922" s="5" t="s">
        <v>11</v>
      </c>
      <c r="D922" s="5" t="s">
        <v>30</v>
      </c>
      <c r="E922" s="5" t="s">
        <v>13</v>
      </c>
      <c r="F922" s="5" t="s">
        <v>14</v>
      </c>
      <c r="G922" s="5" t="s">
        <v>15</v>
      </c>
      <c r="H922" s="5">
        <v>38194</v>
      </c>
      <c r="I922" s="5">
        <v>8101</v>
      </c>
      <c r="J922" s="6">
        <f t="shared" si="14"/>
        <v>30093</v>
      </c>
    </row>
    <row r="923" spans="1:10">
      <c r="A923" s="5">
        <v>47458</v>
      </c>
      <c r="B923" s="5" t="s">
        <v>10</v>
      </c>
      <c r="C923" s="5" t="s">
        <v>11</v>
      </c>
      <c r="D923" s="5" t="s">
        <v>32</v>
      </c>
      <c r="E923" s="5" t="s">
        <v>19</v>
      </c>
      <c r="F923" s="5" t="s">
        <v>14</v>
      </c>
      <c r="G923" s="5" t="s">
        <v>24</v>
      </c>
      <c r="H923" s="5">
        <v>19101</v>
      </c>
      <c r="I923" s="5">
        <v>0</v>
      </c>
      <c r="J923" s="6">
        <f t="shared" si="14"/>
        <v>19101</v>
      </c>
    </row>
    <row r="924" spans="1:10">
      <c r="A924" s="5">
        <v>43154</v>
      </c>
      <c r="B924" s="5" t="s">
        <v>16</v>
      </c>
      <c r="C924" s="5" t="s">
        <v>11</v>
      </c>
      <c r="D924" s="5" t="s">
        <v>30</v>
      </c>
      <c r="E924" s="5" t="s">
        <v>19</v>
      </c>
      <c r="F924" s="5" t="s">
        <v>14</v>
      </c>
      <c r="G924" s="5" t="s">
        <v>15</v>
      </c>
      <c r="H924" s="5">
        <v>71716</v>
      </c>
      <c r="I924" s="5">
        <v>2334</v>
      </c>
      <c r="J924" s="6">
        <f t="shared" si="14"/>
        <v>69382</v>
      </c>
    </row>
    <row r="925" spans="1:10">
      <c r="A925" s="5">
        <v>141693</v>
      </c>
      <c r="B925" s="5" t="s">
        <v>10</v>
      </c>
      <c r="C925" s="5" t="s">
        <v>31</v>
      </c>
      <c r="D925" s="5" t="s">
        <v>26</v>
      </c>
      <c r="E925" s="5" t="s">
        <v>19</v>
      </c>
      <c r="F925" s="5" t="s">
        <v>14</v>
      </c>
      <c r="G925" s="5" t="s">
        <v>24</v>
      </c>
      <c r="H925" s="5">
        <v>21626</v>
      </c>
      <c r="I925" s="5">
        <v>540</v>
      </c>
      <c r="J925" s="6">
        <f t="shared" si="14"/>
        <v>21086</v>
      </c>
    </row>
    <row r="926" spans="1:10">
      <c r="A926" s="5">
        <v>248962</v>
      </c>
      <c r="B926" s="5" t="s">
        <v>16</v>
      </c>
      <c r="C926" s="5" t="s">
        <v>25</v>
      </c>
      <c r="D926" s="5" t="s">
        <v>18</v>
      </c>
      <c r="E926" s="5" t="s">
        <v>13</v>
      </c>
      <c r="F926" s="5" t="s">
        <v>14</v>
      </c>
      <c r="G926" s="5" t="s">
        <v>15</v>
      </c>
      <c r="H926" s="5">
        <v>23782</v>
      </c>
      <c r="I926" s="5">
        <v>273</v>
      </c>
      <c r="J926" s="6">
        <f t="shared" si="14"/>
        <v>23509</v>
      </c>
    </row>
    <row r="927" spans="1:10">
      <c r="A927" s="5">
        <v>35604</v>
      </c>
      <c r="B927" s="5" t="s">
        <v>16</v>
      </c>
      <c r="C927" s="5" t="s">
        <v>35</v>
      </c>
      <c r="D927" s="5" t="s">
        <v>18</v>
      </c>
      <c r="E927" s="5" t="s">
        <v>19</v>
      </c>
      <c r="F927" s="5" t="s">
        <v>14</v>
      </c>
      <c r="G927" s="5" t="s">
        <v>24</v>
      </c>
      <c r="H927" s="5">
        <v>43570</v>
      </c>
      <c r="I927" s="5">
        <v>939</v>
      </c>
      <c r="J927" s="6">
        <f t="shared" si="14"/>
        <v>42631</v>
      </c>
    </row>
    <row r="928" spans="1:10">
      <c r="A928" s="5">
        <v>234753</v>
      </c>
      <c r="B928" s="5" t="s">
        <v>16</v>
      </c>
      <c r="C928" s="5" t="s">
        <v>27</v>
      </c>
      <c r="D928" s="5" t="s">
        <v>12</v>
      </c>
      <c r="E928" s="5" t="s">
        <v>19</v>
      </c>
      <c r="F928" s="5" t="s">
        <v>14</v>
      </c>
      <c r="G928" s="5" t="s">
        <v>24</v>
      </c>
      <c r="H928" s="5">
        <v>25239</v>
      </c>
      <c r="I928" s="5">
        <v>431</v>
      </c>
      <c r="J928" s="6">
        <f t="shared" si="14"/>
        <v>24808</v>
      </c>
    </row>
    <row r="929" spans="1:10">
      <c r="A929" s="5">
        <v>221400</v>
      </c>
      <c r="B929" s="5" t="s">
        <v>16</v>
      </c>
      <c r="C929" s="5" t="s">
        <v>25</v>
      </c>
      <c r="D929" s="5" t="s">
        <v>33</v>
      </c>
      <c r="E929" s="5" t="s">
        <v>19</v>
      </c>
      <c r="F929" s="5" t="s">
        <v>14</v>
      </c>
      <c r="G929" s="5" t="s">
        <v>24</v>
      </c>
      <c r="H929" s="5">
        <v>53544</v>
      </c>
      <c r="I929" s="5">
        <v>1300</v>
      </c>
      <c r="J929" s="6">
        <f t="shared" si="14"/>
        <v>52244</v>
      </c>
    </row>
    <row r="930" spans="1:10">
      <c r="A930" s="5">
        <v>94204</v>
      </c>
      <c r="B930" s="5" t="s">
        <v>16</v>
      </c>
      <c r="C930" s="5" t="s">
        <v>37</v>
      </c>
      <c r="D930" s="5" t="s">
        <v>30</v>
      </c>
      <c r="E930" s="5" t="s">
        <v>13</v>
      </c>
      <c r="F930" s="5" t="s">
        <v>14</v>
      </c>
      <c r="G930" s="5" t="s">
        <v>15</v>
      </c>
      <c r="H930" s="5">
        <v>125466</v>
      </c>
      <c r="I930" s="5">
        <v>21075</v>
      </c>
      <c r="J930" s="6">
        <f t="shared" si="14"/>
        <v>104391</v>
      </c>
    </row>
    <row r="931" spans="1:10">
      <c r="A931" s="5">
        <v>233508</v>
      </c>
      <c r="B931" s="5" t="s">
        <v>10</v>
      </c>
      <c r="C931" s="5" t="s">
        <v>17</v>
      </c>
      <c r="D931" s="5" t="s">
        <v>30</v>
      </c>
      <c r="E931" s="5" t="s">
        <v>19</v>
      </c>
      <c r="F931" s="5" t="s">
        <v>14</v>
      </c>
      <c r="G931" s="5" t="s">
        <v>24</v>
      </c>
      <c r="H931" s="5">
        <v>54503</v>
      </c>
      <c r="I931" s="5">
        <v>3353</v>
      </c>
      <c r="J931" s="6">
        <f t="shared" si="14"/>
        <v>51150</v>
      </c>
    </row>
    <row r="932" spans="1:10">
      <c r="A932" s="5">
        <v>60482</v>
      </c>
      <c r="B932" s="5" t="s">
        <v>16</v>
      </c>
      <c r="C932" s="5" t="s">
        <v>35</v>
      </c>
      <c r="D932" s="5" t="s">
        <v>12</v>
      </c>
      <c r="E932" s="5" t="s">
        <v>19</v>
      </c>
      <c r="F932" s="5" t="s">
        <v>14</v>
      </c>
      <c r="G932" s="5" t="s">
        <v>15</v>
      </c>
      <c r="H932" s="5">
        <v>57941</v>
      </c>
      <c r="I932" s="5">
        <v>804</v>
      </c>
      <c r="J932" s="6">
        <f t="shared" si="14"/>
        <v>57137</v>
      </c>
    </row>
    <row r="933" spans="1:10">
      <c r="A933" s="5">
        <v>78884</v>
      </c>
      <c r="B933" s="5" t="s">
        <v>10</v>
      </c>
      <c r="C933" s="5" t="s">
        <v>39</v>
      </c>
      <c r="D933" s="5" t="s">
        <v>32</v>
      </c>
      <c r="E933" s="5" t="s">
        <v>13</v>
      </c>
      <c r="F933" s="5" t="s">
        <v>14</v>
      </c>
      <c r="G933" s="5" t="s">
        <v>15</v>
      </c>
      <c r="H933" s="5">
        <v>10740</v>
      </c>
      <c r="I933" s="5">
        <v>0</v>
      </c>
      <c r="J933" s="6">
        <f t="shared" si="14"/>
        <v>10740</v>
      </c>
    </row>
    <row r="934" spans="1:10">
      <c r="A934" s="5">
        <v>30831</v>
      </c>
      <c r="B934" s="5" t="s">
        <v>10</v>
      </c>
      <c r="C934" s="5" t="s">
        <v>11</v>
      </c>
      <c r="D934" s="5" t="s">
        <v>30</v>
      </c>
      <c r="E934" s="5" t="s">
        <v>13</v>
      </c>
      <c r="F934" s="5" t="s">
        <v>14</v>
      </c>
      <c r="G934" s="5" t="s">
        <v>15</v>
      </c>
      <c r="H934" s="5">
        <v>157614</v>
      </c>
      <c r="I934" s="5">
        <v>374</v>
      </c>
      <c r="J934" s="6">
        <f t="shared" si="14"/>
        <v>157240</v>
      </c>
    </row>
    <row r="935" spans="1:10">
      <c r="A935" s="5">
        <v>234758</v>
      </c>
      <c r="B935" s="5" t="s">
        <v>16</v>
      </c>
      <c r="C935" s="5" t="s">
        <v>17</v>
      </c>
      <c r="D935" s="5" t="s">
        <v>30</v>
      </c>
      <c r="E935" s="5" t="s">
        <v>19</v>
      </c>
      <c r="F935" s="5" t="s">
        <v>28</v>
      </c>
      <c r="G935" s="5" t="s">
        <v>15</v>
      </c>
      <c r="H935" s="5">
        <v>11580</v>
      </c>
      <c r="I935" s="5">
        <v>0</v>
      </c>
      <c r="J935" s="6">
        <f t="shared" si="14"/>
        <v>11580</v>
      </c>
    </row>
    <row r="936" spans="1:10">
      <c r="A936" s="5">
        <v>170323</v>
      </c>
      <c r="B936" s="5" t="s">
        <v>10</v>
      </c>
      <c r="C936" s="5" t="s">
        <v>17</v>
      </c>
      <c r="D936" s="5" t="s">
        <v>29</v>
      </c>
      <c r="E936" s="5" t="s">
        <v>19</v>
      </c>
      <c r="F936" s="5" t="s">
        <v>14</v>
      </c>
      <c r="G936" s="5" t="s">
        <v>24</v>
      </c>
      <c r="H936" s="5">
        <v>42571</v>
      </c>
      <c r="I936" s="5">
        <v>418</v>
      </c>
      <c r="J936" s="6">
        <f t="shared" si="14"/>
        <v>42153</v>
      </c>
    </row>
    <row r="937" spans="1:10">
      <c r="A937" s="5">
        <v>169245</v>
      </c>
      <c r="B937" s="5" t="s">
        <v>10</v>
      </c>
      <c r="C937" s="5" t="s">
        <v>34</v>
      </c>
      <c r="D937" s="5" t="s">
        <v>30</v>
      </c>
      <c r="E937" s="5" t="s">
        <v>13</v>
      </c>
      <c r="F937" s="5" t="s">
        <v>14</v>
      </c>
      <c r="G937" s="5" t="s">
        <v>15</v>
      </c>
      <c r="H937" s="5">
        <v>270704</v>
      </c>
      <c r="I937" s="5">
        <v>1041</v>
      </c>
      <c r="J937" s="6">
        <f t="shared" si="14"/>
        <v>269663</v>
      </c>
    </row>
    <row r="938" spans="1:10">
      <c r="A938" s="5">
        <v>251462</v>
      </c>
      <c r="B938" s="5" t="s">
        <v>16</v>
      </c>
      <c r="C938" s="5" t="s">
        <v>17</v>
      </c>
      <c r="D938" s="5" t="s">
        <v>21</v>
      </c>
      <c r="E938" s="5" t="s">
        <v>19</v>
      </c>
      <c r="F938" s="5" t="s">
        <v>14</v>
      </c>
      <c r="G938" s="5" t="s">
        <v>24</v>
      </c>
      <c r="H938" s="5">
        <v>30678</v>
      </c>
      <c r="I938" s="5">
        <v>280</v>
      </c>
      <c r="J938" s="6">
        <f t="shared" si="14"/>
        <v>30398</v>
      </c>
    </row>
    <row r="939" spans="1:10">
      <c r="A939" s="5">
        <v>164027</v>
      </c>
      <c r="B939" s="5" t="s">
        <v>10</v>
      </c>
      <c r="C939" s="5" t="s">
        <v>31</v>
      </c>
      <c r="D939" s="5" t="s">
        <v>36</v>
      </c>
      <c r="E939" s="5" t="s">
        <v>19</v>
      </c>
      <c r="F939" s="5" t="s">
        <v>14</v>
      </c>
      <c r="G939" s="5" t="s">
        <v>15</v>
      </c>
      <c r="H939" s="5">
        <v>5685</v>
      </c>
      <c r="I939" s="5">
        <v>0</v>
      </c>
      <c r="J939" s="6">
        <f t="shared" si="14"/>
        <v>5685</v>
      </c>
    </row>
    <row r="940" spans="1:10">
      <c r="A940" s="5">
        <v>101893</v>
      </c>
      <c r="B940" s="5" t="s">
        <v>16</v>
      </c>
      <c r="C940" s="5" t="s">
        <v>11</v>
      </c>
      <c r="D940" s="5" t="s">
        <v>33</v>
      </c>
      <c r="E940" s="5" t="s">
        <v>13</v>
      </c>
      <c r="F940" s="5" t="s">
        <v>28</v>
      </c>
      <c r="G940" s="5" t="s">
        <v>15</v>
      </c>
      <c r="H940" s="5">
        <v>24192</v>
      </c>
      <c r="I940" s="5">
        <v>2178</v>
      </c>
      <c r="J940" s="6">
        <f t="shared" si="14"/>
        <v>22014</v>
      </c>
    </row>
    <row r="941" spans="1:10">
      <c r="A941" s="5">
        <v>4402</v>
      </c>
      <c r="B941" s="5" t="s">
        <v>10</v>
      </c>
      <c r="C941" s="5" t="s">
        <v>37</v>
      </c>
      <c r="D941" s="5" t="s">
        <v>12</v>
      </c>
      <c r="E941" s="5" t="s">
        <v>13</v>
      </c>
      <c r="F941" s="5" t="s">
        <v>14</v>
      </c>
      <c r="G941" s="5" t="s">
        <v>15</v>
      </c>
      <c r="H941" s="5">
        <v>19208</v>
      </c>
      <c r="I941" s="5">
        <v>415</v>
      </c>
      <c r="J941" s="6">
        <f t="shared" si="14"/>
        <v>18793</v>
      </c>
    </row>
    <row r="942" spans="1:10">
      <c r="A942" s="5">
        <v>193301</v>
      </c>
      <c r="B942" s="5" t="s">
        <v>10</v>
      </c>
      <c r="C942" s="5" t="s">
        <v>34</v>
      </c>
      <c r="D942" s="5" t="s">
        <v>12</v>
      </c>
      <c r="E942" s="5" t="s">
        <v>19</v>
      </c>
      <c r="F942" s="5" t="s">
        <v>14</v>
      </c>
      <c r="G942" s="5" t="s">
        <v>15</v>
      </c>
      <c r="H942" s="5">
        <v>78412</v>
      </c>
      <c r="I942" s="5">
        <v>270</v>
      </c>
      <c r="J942" s="6">
        <f t="shared" si="14"/>
        <v>78142</v>
      </c>
    </row>
    <row r="943" spans="1:10">
      <c r="A943" s="5">
        <v>253979</v>
      </c>
      <c r="B943" s="5" t="s">
        <v>10</v>
      </c>
      <c r="C943" s="5" t="s">
        <v>17</v>
      </c>
      <c r="D943" s="5" t="s">
        <v>26</v>
      </c>
      <c r="E943" s="5" t="s">
        <v>19</v>
      </c>
      <c r="F943" s="5" t="s">
        <v>14</v>
      </c>
      <c r="G943" s="5" t="s">
        <v>24</v>
      </c>
      <c r="H943" s="5">
        <v>87780</v>
      </c>
      <c r="I943" s="5">
        <v>4598</v>
      </c>
      <c r="J943" s="6">
        <f t="shared" si="14"/>
        <v>83182</v>
      </c>
    </row>
    <row r="944" spans="1:10">
      <c r="A944" s="5">
        <v>122342</v>
      </c>
      <c r="B944" s="5" t="s">
        <v>10</v>
      </c>
      <c r="C944" s="5" t="s">
        <v>22</v>
      </c>
      <c r="D944" s="5" t="s">
        <v>23</v>
      </c>
      <c r="E944" s="5" t="s">
        <v>19</v>
      </c>
      <c r="F944" s="5" t="s">
        <v>28</v>
      </c>
      <c r="G944" s="5" t="s">
        <v>15</v>
      </c>
      <c r="H944" s="5">
        <v>82842</v>
      </c>
      <c r="I944" s="5">
        <v>22459</v>
      </c>
      <c r="J944" s="6">
        <f t="shared" si="14"/>
        <v>60383</v>
      </c>
    </row>
    <row r="945" spans="1:10">
      <c r="A945" s="5">
        <v>72789</v>
      </c>
      <c r="B945" s="5" t="s">
        <v>16</v>
      </c>
      <c r="C945" s="5" t="s">
        <v>35</v>
      </c>
      <c r="D945" s="5" t="s">
        <v>32</v>
      </c>
      <c r="E945" s="5" t="s">
        <v>19</v>
      </c>
      <c r="F945" s="5" t="s">
        <v>14</v>
      </c>
      <c r="G945" s="5" t="s">
        <v>24</v>
      </c>
      <c r="H945" s="5">
        <v>619</v>
      </c>
      <c r="I945" s="5">
        <v>0</v>
      </c>
      <c r="J945" s="6">
        <f t="shared" si="14"/>
        <v>619</v>
      </c>
    </row>
    <row r="946" spans="1:10">
      <c r="A946" s="5">
        <v>243444</v>
      </c>
      <c r="B946" s="5" t="s">
        <v>16</v>
      </c>
      <c r="C946" s="5" t="s">
        <v>17</v>
      </c>
      <c r="D946" s="5" t="s">
        <v>33</v>
      </c>
      <c r="E946" s="5" t="s">
        <v>19</v>
      </c>
      <c r="F946" s="5" t="s">
        <v>28</v>
      </c>
      <c r="G946" s="5" t="s">
        <v>24</v>
      </c>
      <c r="H946" s="5">
        <v>39749</v>
      </c>
      <c r="I946" s="5">
        <v>0</v>
      </c>
      <c r="J946" s="6">
        <f t="shared" si="14"/>
        <v>39749</v>
      </c>
    </row>
    <row r="947" spans="1:10">
      <c r="A947" s="5">
        <v>39919</v>
      </c>
      <c r="B947" s="5" t="s">
        <v>16</v>
      </c>
      <c r="C947" s="5" t="s">
        <v>35</v>
      </c>
      <c r="D947" s="5" t="s">
        <v>23</v>
      </c>
      <c r="E947" s="5" t="s">
        <v>13</v>
      </c>
      <c r="F947" s="5" t="s">
        <v>14</v>
      </c>
      <c r="G947" s="5" t="s">
        <v>15</v>
      </c>
      <c r="H947" s="5">
        <v>14397</v>
      </c>
      <c r="I947" s="5">
        <v>0</v>
      </c>
      <c r="J947" s="6">
        <f t="shared" si="14"/>
        <v>14397</v>
      </c>
    </row>
    <row r="948" spans="1:10">
      <c r="A948" s="5">
        <v>185076</v>
      </c>
      <c r="B948" s="5" t="s">
        <v>16</v>
      </c>
      <c r="C948" s="5" t="s">
        <v>11</v>
      </c>
      <c r="D948" s="5" t="s">
        <v>26</v>
      </c>
      <c r="E948" s="5" t="s">
        <v>13</v>
      </c>
      <c r="F948" s="5" t="s">
        <v>14</v>
      </c>
      <c r="G948" s="5" t="s">
        <v>24</v>
      </c>
      <c r="H948" s="5">
        <v>9974</v>
      </c>
      <c r="I948" s="5">
        <v>320</v>
      </c>
      <c r="J948" s="6">
        <f t="shared" si="14"/>
        <v>9654</v>
      </c>
    </row>
    <row r="949" spans="1:10">
      <c r="A949" s="5">
        <v>115494</v>
      </c>
      <c r="B949" s="5" t="s">
        <v>10</v>
      </c>
      <c r="C949" s="5" t="s">
        <v>25</v>
      </c>
      <c r="D949" s="5" t="s">
        <v>30</v>
      </c>
      <c r="E949" s="5" t="s">
        <v>19</v>
      </c>
      <c r="F949" s="5" t="s">
        <v>14</v>
      </c>
      <c r="G949" s="5" t="s">
        <v>15</v>
      </c>
      <c r="H949" s="5">
        <v>52533</v>
      </c>
      <c r="I949" s="5">
        <v>2855</v>
      </c>
      <c r="J949" s="6">
        <f t="shared" si="14"/>
        <v>49678</v>
      </c>
    </row>
    <row r="950" spans="1:10">
      <c r="A950" s="5">
        <v>233072</v>
      </c>
      <c r="B950" s="5" t="s">
        <v>10</v>
      </c>
      <c r="C950" s="5" t="s">
        <v>25</v>
      </c>
      <c r="D950" s="5" t="s">
        <v>32</v>
      </c>
      <c r="E950" s="5" t="s">
        <v>19</v>
      </c>
      <c r="F950" s="5" t="s">
        <v>14</v>
      </c>
      <c r="G950" s="5" t="s">
        <v>24</v>
      </c>
      <c r="H950" s="5">
        <v>7</v>
      </c>
      <c r="I950" s="5">
        <v>0</v>
      </c>
      <c r="J950" s="6">
        <f t="shared" si="14"/>
        <v>7</v>
      </c>
    </row>
    <row r="951" spans="1:10">
      <c r="A951" s="5">
        <v>110529</v>
      </c>
      <c r="B951" s="5" t="s">
        <v>16</v>
      </c>
      <c r="C951" s="5" t="s">
        <v>27</v>
      </c>
      <c r="D951" s="5" t="s">
        <v>36</v>
      </c>
      <c r="E951" s="5" t="s">
        <v>19</v>
      </c>
      <c r="F951" s="5" t="s">
        <v>14</v>
      </c>
      <c r="G951" s="5" t="s">
        <v>24</v>
      </c>
      <c r="H951" s="5">
        <v>11043</v>
      </c>
      <c r="I951" s="5">
        <v>0</v>
      </c>
      <c r="J951" s="6">
        <f t="shared" si="14"/>
        <v>11043</v>
      </c>
    </row>
    <row r="952" spans="1:10">
      <c r="A952" s="5">
        <v>13459</v>
      </c>
      <c r="B952" s="5" t="s">
        <v>16</v>
      </c>
      <c r="C952" s="5" t="s">
        <v>37</v>
      </c>
      <c r="D952" s="5" t="s">
        <v>32</v>
      </c>
      <c r="E952" s="5" t="s">
        <v>13</v>
      </c>
      <c r="F952" s="5" t="s">
        <v>14</v>
      </c>
      <c r="G952" s="5" t="s">
        <v>15</v>
      </c>
      <c r="H952" s="5">
        <v>15365</v>
      </c>
      <c r="I952" s="5">
        <v>202</v>
      </c>
      <c r="J952" s="6">
        <f t="shared" si="14"/>
        <v>15163</v>
      </c>
    </row>
    <row r="953" spans="1:10">
      <c r="A953" s="5">
        <v>201966</v>
      </c>
      <c r="B953" s="5" t="s">
        <v>10</v>
      </c>
      <c r="C953" s="5" t="s">
        <v>38</v>
      </c>
      <c r="D953" s="5" t="s">
        <v>21</v>
      </c>
      <c r="E953" s="5" t="s">
        <v>13</v>
      </c>
      <c r="F953" s="5" t="s">
        <v>14</v>
      </c>
      <c r="G953" s="5" t="s">
        <v>15</v>
      </c>
      <c r="H953" s="5">
        <v>36458</v>
      </c>
      <c r="I953" s="5">
        <v>4209</v>
      </c>
      <c r="J953" s="6">
        <f t="shared" si="14"/>
        <v>32249</v>
      </c>
    </row>
    <row r="954" spans="1:10">
      <c r="A954" s="5">
        <v>27980</v>
      </c>
      <c r="B954" s="5" t="s">
        <v>10</v>
      </c>
      <c r="C954" s="5" t="s">
        <v>11</v>
      </c>
      <c r="D954" s="5" t="s">
        <v>12</v>
      </c>
      <c r="E954" s="5" t="s">
        <v>13</v>
      </c>
      <c r="F954" s="5" t="s">
        <v>14</v>
      </c>
      <c r="G954" s="5" t="s">
        <v>15</v>
      </c>
      <c r="H954" s="5">
        <v>66395</v>
      </c>
      <c r="I954" s="5">
        <v>2319</v>
      </c>
      <c r="J954" s="6">
        <f t="shared" si="14"/>
        <v>64076</v>
      </c>
    </row>
    <row r="955" spans="1:10">
      <c r="A955" s="5">
        <v>215770</v>
      </c>
      <c r="B955" s="5" t="s">
        <v>10</v>
      </c>
      <c r="C955" s="5" t="s">
        <v>38</v>
      </c>
      <c r="D955" s="5" t="s">
        <v>23</v>
      </c>
      <c r="E955" s="5" t="s">
        <v>13</v>
      </c>
      <c r="F955" s="5" t="s">
        <v>14</v>
      </c>
      <c r="G955" s="5" t="s">
        <v>15</v>
      </c>
      <c r="H955" s="5">
        <v>50789</v>
      </c>
      <c r="I955" s="5">
        <v>587</v>
      </c>
      <c r="J955" s="6">
        <f t="shared" si="14"/>
        <v>50202</v>
      </c>
    </row>
    <row r="956" spans="1:10">
      <c r="A956" s="5">
        <v>185739</v>
      </c>
      <c r="B956" s="5" t="s">
        <v>10</v>
      </c>
      <c r="C956" s="5" t="s">
        <v>39</v>
      </c>
      <c r="D956" s="5" t="s">
        <v>36</v>
      </c>
      <c r="E956" s="5" t="s">
        <v>13</v>
      </c>
      <c r="F956" s="5" t="s">
        <v>14</v>
      </c>
      <c r="G956" s="5" t="s">
        <v>15</v>
      </c>
      <c r="H956" s="5">
        <v>53674</v>
      </c>
      <c r="I956" s="5">
        <v>4593</v>
      </c>
      <c r="J956" s="6">
        <f t="shared" si="14"/>
        <v>49081</v>
      </c>
    </row>
    <row r="957" spans="1:10">
      <c r="A957" s="5">
        <v>210154</v>
      </c>
      <c r="B957" s="5" t="s">
        <v>16</v>
      </c>
      <c r="C957" s="5" t="s">
        <v>38</v>
      </c>
      <c r="D957" s="5" t="s">
        <v>32</v>
      </c>
      <c r="E957" s="5" t="s">
        <v>13</v>
      </c>
      <c r="F957" s="5" t="s">
        <v>14</v>
      </c>
      <c r="G957" s="5" t="s">
        <v>15</v>
      </c>
      <c r="H957" s="5">
        <v>5070</v>
      </c>
      <c r="I957" s="5">
        <v>0</v>
      </c>
      <c r="J957" s="6">
        <f t="shared" si="14"/>
        <v>5070</v>
      </c>
    </row>
    <row r="958" spans="1:10">
      <c r="A958" s="5">
        <v>76736</v>
      </c>
      <c r="B958" s="5" t="s">
        <v>16</v>
      </c>
      <c r="C958" s="5" t="s">
        <v>27</v>
      </c>
      <c r="D958" s="5" t="s">
        <v>33</v>
      </c>
      <c r="E958" s="5" t="s">
        <v>13</v>
      </c>
      <c r="F958" s="5" t="s">
        <v>28</v>
      </c>
      <c r="G958" s="5" t="s">
        <v>15</v>
      </c>
      <c r="H958" s="5">
        <v>36392</v>
      </c>
      <c r="I958" s="5">
        <v>281</v>
      </c>
      <c r="J958" s="6">
        <f t="shared" si="14"/>
        <v>36111</v>
      </c>
    </row>
    <row r="959" spans="1:10">
      <c r="A959" s="5">
        <v>161231</v>
      </c>
      <c r="B959" s="5" t="s">
        <v>10</v>
      </c>
      <c r="C959" s="5" t="s">
        <v>25</v>
      </c>
      <c r="D959" s="5" t="s">
        <v>26</v>
      </c>
      <c r="E959" s="5" t="s">
        <v>19</v>
      </c>
      <c r="F959" s="5" t="s">
        <v>14</v>
      </c>
      <c r="G959" s="5" t="s">
        <v>15</v>
      </c>
      <c r="H959" s="5">
        <v>65394</v>
      </c>
      <c r="I959" s="5">
        <v>9745</v>
      </c>
      <c r="J959" s="6">
        <f t="shared" si="14"/>
        <v>55649</v>
      </c>
    </row>
    <row r="960" spans="1:10">
      <c r="A960" s="5">
        <v>140624</v>
      </c>
      <c r="B960" s="5" t="s">
        <v>16</v>
      </c>
      <c r="C960" s="5" t="s">
        <v>17</v>
      </c>
      <c r="D960" s="5" t="s">
        <v>36</v>
      </c>
      <c r="E960" s="5" t="s">
        <v>19</v>
      </c>
      <c r="F960" s="5" t="s">
        <v>14</v>
      </c>
      <c r="G960" s="5" t="s">
        <v>15</v>
      </c>
      <c r="H960" s="5">
        <v>29381</v>
      </c>
      <c r="I960" s="5">
        <v>1032</v>
      </c>
      <c r="J960" s="6">
        <f t="shared" si="14"/>
        <v>28349</v>
      </c>
    </row>
    <row r="961" spans="1:10">
      <c r="A961" s="5">
        <v>196033</v>
      </c>
      <c r="B961" s="5" t="s">
        <v>10</v>
      </c>
      <c r="C961" s="5" t="s">
        <v>11</v>
      </c>
      <c r="D961" s="5" t="s">
        <v>23</v>
      </c>
      <c r="E961" s="5" t="s">
        <v>19</v>
      </c>
      <c r="F961" s="5" t="s">
        <v>14</v>
      </c>
      <c r="G961" s="5" t="s">
        <v>24</v>
      </c>
      <c r="H961" s="5">
        <v>14066</v>
      </c>
      <c r="I961" s="5">
        <v>0</v>
      </c>
      <c r="J961" s="6">
        <f t="shared" si="14"/>
        <v>14066</v>
      </c>
    </row>
    <row r="962" spans="1:10">
      <c r="A962" s="5">
        <v>242470</v>
      </c>
      <c r="B962" s="5" t="s">
        <v>16</v>
      </c>
      <c r="C962" s="5" t="s">
        <v>25</v>
      </c>
      <c r="D962" s="5" t="s">
        <v>30</v>
      </c>
      <c r="E962" s="5" t="s">
        <v>13</v>
      </c>
      <c r="F962" s="5" t="s">
        <v>28</v>
      </c>
      <c r="G962" s="5" t="s">
        <v>24</v>
      </c>
      <c r="H962" s="5">
        <v>31108</v>
      </c>
      <c r="I962" s="5">
        <v>2557</v>
      </c>
      <c r="J962" s="6">
        <f t="shared" ref="J962:J1001" si="15">H962-I962</f>
        <v>28551</v>
      </c>
    </row>
    <row r="963" spans="1:10">
      <c r="A963" s="5">
        <v>175565</v>
      </c>
      <c r="B963" s="5" t="s">
        <v>10</v>
      </c>
      <c r="C963" s="5" t="s">
        <v>22</v>
      </c>
      <c r="D963" s="5" t="s">
        <v>12</v>
      </c>
      <c r="E963" s="5" t="s">
        <v>19</v>
      </c>
      <c r="F963" s="5" t="s">
        <v>28</v>
      </c>
      <c r="G963" s="5" t="s">
        <v>15</v>
      </c>
      <c r="H963" s="5">
        <v>133702</v>
      </c>
      <c r="I963" s="5">
        <v>1665</v>
      </c>
      <c r="J963" s="6">
        <f t="shared" si="15"/>
        <v>132037</v>
      </c>
    </row>
    <row r="964" spans="1:10">
      <c r="A964" s="5">
        <v>183468</v>
      </c>
      <c r="B964" s="5" t="s">
        <v>10</v>
      </c>
      <c r="C964" s="5" t="s">
        <v>38</v>
      </c>
      <c r="D964" s="5" t="s">
        <v>12</v>
      </c>
      <c r="E964" s="5" t="s">
        <v>13</v>
      </c>
      <c r="F964" s="5" t="s">
        <v>14</v>
      </c>
      <c r="G964" s="5" t="s">
        <v>15</v>
      </c>
      <c r="H964" s="5">
        <v>202364</v>
      </c>
      <c r="I964" s="5">
        <v>138</v>
      </c>
      <c r="J964" s="6">
        <f t="shared" si="15"/>
        <v>202226</v>
      </c>
    </row>
    <row r="965" spans="1:10">
      <c r="A965" s="5">
        <v>47868</v>
      </c>
      <c r="B965" s="5" t="s">
        <v>16</v>
      </c>
      <c r="C965" s="5" t="s">
        <v>35</v>
      </c>
      <c r="D965" s="5" t="s">
        <v>30</v>
      </c>
      <c r="E965" s="5" t="s">
        <v>19</v>
      </c>
      <c r="F965" s="5" t="s">
        <v>14</v>
      </c>
      <c r="G965" s="5" t="s">
        <v>15</v>
      </c>
      <c r="H965" s="5">
        <v>200292</v>
      </c>
      <c r="I965" s="5">
        <v>9151</v>
      </c>
      <c r="J965" s="6">
        <f t="shared" si="15"/>
        <v>191141</v>
      </c>
    </row>
    <row r="966" spans="1:10">
      <c r="A966" s="5">
        <v>76988</v>
      </c>
      <c r="B966" s="5" t="s">
        <v>10</v>
      </c>
      <c r="C966" s="5" t="s">
        <v>35</v>
      </c>
      <c r="D966" s="5" t="s">
        <v>32</v>
      </c>
      <c r="E966" s="5" t="s">
        <v>13</v>
      </c>
      <c r="F966" s="5" t="s">
        <v>14</v>
      </c>
      <c r="G966" s="5" t="s">
        <v>15</v>
      </c>
      <c r="H966" s="5">
        <v>31504</v>
      </c>
      <c r="I966" s="5">
        <v>0</v>
      </c>
      <c r="J966" s="6">
        <f t="shared" si="15"/>
        <v>31504</v>
      </c>
    </row>
    <row r="967" spans="1:10">
      <c r="A967" s="5">
        <v>200631</v>
      </c>
      <c r="B967" s="5" t="s">
        <v>16</v>
      </c>
      <c r="C967" s="5" t="s">
        <v>37</v>
      </c>
      <c r="D967" s="5" t="s">
        <v>33</v>
      </c>
      <c r="E967" s="5" t="s">
        <v>13</v>
      </c>
      <c r="F967" s="5" t="s">
        <v>14</v>
      </c>
      <c r="G967" s="5" t="s">
        <v>15</v>
      </c>
      <c r="H967" s="5">
        <v>57207</v>
      </c>
      <c r="I967" s="5">
        <v>243</v>
      </c>
      <c r="J967" s="6">
        <f t="shared" si="15"/>
        <v>56964</v>
      </c>
    </row>
    <row r="968" spans="1:10">
      <c r="A968" s="5">
        <v>73388</v>
      </c>
      <c r="B968" s="5" t="s">
        <v>10</v>
      </c>
      <c r="C968" s="5" t="s">
        <v>27</v>
      </c>
      <c r="D968" s="5" t="s">
        <v>23</v>
      </c>
      <c r="E968" s="5" t="s">
        <v>13</v>
      </c>
      <c r="F968" s="5" t="s">
        <v>14</v>
      </c>
      <c r="G968" s="5" t="s">
        <v>15</v>
      </c>
      <c r="H968" s="5">
        <v>146765</v>
      </c>
      <c r="I968" s="5">
        <v>17627</v>
      </c>
      <c r="J968" s="6">
        <f t="shared" si="15"/>
        <v>129138</v>
      </c>
    </row>
    <row r="969" spans="1:10">
      <c r="A969" s="5">
        <v>216692</v>
      </c>
      <c r="B969" s="5" t="s">
        <v>10</v>
      </c>
      <c r="C969" s="5" t="s">
        <v>34</v>
      </c>
      <c r="D969" s="5" t="s">
        <v>36</v>
      </c>
      <c r="E969" s="5" t="s">
        <v>13</v>
      </c>
      <c r="F969" s="5" t="s">
        <v>14</v>
      </c>
      <c r="G969" s="5" t="s">
        <v>15</v>
      </c>
      <c r="H969" s="5">
        <v>36998</v>
      </c>
      <c r="I969" s="5">
        <v>2000</v>
      </c>
      <c r="J969" s="6">
        <f t="shared" si="15"/>
        <v>34998</v>
      </c>
    </row>
    <row r="970" spans="1:10">
      <c r="A970" s="5">
        <v>119195</v>
      </c>
      <c r="B970" s="5" t="s">
        <v>10</v>
      </c>
      <c r="C970" s="5" t="s">
        <v>31</v>
      </c>
      <c r="D970" s="5" t="s">
        <v>12</v>
      </c>
      <c r="E970" s="5" t="s">
        <v>19</v>
      </c>
      <c r="F970" s="5" t="s">
        <v>14</v>
      </c>
      <c r="G970" s="5" t="s">
        <v>24</v>
      </c>
      <c r="H970" s="5">
        <v>1096</v>
      </c>
      <c r="I970" s="5">
        <v>136</v>
      </c>
      <c r="J970" s="6">
        <f t="shared" si="15"/>
        <v>960</v>
      </c>
    </row>
    <row r="971" spans="1:10">
      <c r="A971" s="5">
        <v>92716</v>
      </c>
      <c r="B971" s="5" t="s">
        <v>10</v>
      </c>
      <c r="C971" s="5" t="s">
        <v>20</v>
      </c>
      <c r="D971" s="5" t="s">
        <v>32</v>
      </c>
      <c r="E971" s="5" t="s">
        <v>13</v>
      </c>
      <c r="F971" s="5" t="s">
        <v>14</v>
      </c>
      <c r="G971" s="5" t="s">
        <v>15</v>
      </c>
      <c r="H971" s="5">
        <v>14242</v>
      </c>
      <c r="I971" s="5">
        <v>0</v>
      </c>
      <c r="J971" s="6">
        <f t="shared" si="15"/>
        <v>14242</v>
      </c>
    </row>
    <row r="972" spans="1:10">
      <c r="A972" s="5">
        <v>54541</v>
      </c>
      <c r="B972" s="5" t="s">
        <v>16</v>
      </c>
      <c r="C972" s="5" t="s">
        <v>35</v>
      </c>
      <c r="D972" s="5" t="s">
        <v>32</v>
      </c>
      <c r="E972" s="5" t="s">
        <v>13</v>
      </c>
      <c r="F972" s="5" t="s">
        <v>14</v>
      </c>
      <c r="G972" s="5" t="s">
        <v>15</v>
      </c>
      <c r="H972" s="5">
        <v>32368</v>
      </c>
      <c r="I972" s="5">
        <v>9</v>
      </c>
      <c r="J972" s="6">
        <f t="shared" si="15"/>
        <v>32359</v>
      </c>
    </row>
    <row r="973" spans="1:10">
      <c r="A973" s="5">
        <v>31739</v>
      </c>
      <c r="B973" s="5" t="s">
        <v>10</v>
      </c>
      <c r="C973" s="5" t="s">
        <v>35</v>
      </c>
      <c r="D973" s="5" t="s">
        <v>32</v>
      </c>
      <c r="E973" s="5" t="s">
        <v>19</v>
      </c>
      <c r="F973" s="5" t="s">
        <v>14</v>
      </c>
      <c r="G973" s="5" t="s">
        <v>24</v>
      </c>
      <c r="H973" s="5">
        <v>107291</v>
      </c>
      <c r="I973" s="5">
        <v>145</v>
      </c>
      <c r="J973" s="6">
        <f t="shared" si="15"/>
        <v>107146</v>
      </c>
    </row>
    <row r="974" spans="1:10">
      <c r="A974" s="5">
        <v>225950</v>
      </c>
      <c r="B974" s="5" t="s">
        <v>10</v>
      </c>
      <c r="C974" s="5" t="s">
        <v>22</v>
      </c>
      <c r="D974" s="5" t="s">
        <v>12</v>
      </c>
      <c r="E974" s="5" t="s">
        <v>19</v>
      </c>
      <c r="F974" s="5" t="s">
        <v>14</v>
      </c>
      <c r="G974" s="5" t="s">
        <v>15</v>
      </c>
      <c r="H974" s="5">
        <v>56592</v>
      </c>
      <c r="I974" s="5">
        <v>5715</v>
      </c>
      <c r="J974" s="6">
        <f t="shared" si="15"/>
        <v>50877</v>
      </c>
    </row>
    <row r="975" spans="1:10">
      <c r="A975" s="5">
        <v>83242</v>
      </c>
      <c r="B975" s="5" t="s">
        <v>10</v>
      </c>
      <c r="C975" s="5" t="s">
        <v>34</v>
      </c>
      <c r="D975" s="5" t="s">
        <v>33</v>
      </c>
      <c r="E975" s="5" t="s">
        <v>13</v>
      </c>
      <c r="F975" s="5" t="s">
        <v>14</v>
      </c>
      <c r="G975" s="5" t="s">
        <v>15</v>
      </c>
      <c r="H975" s="5">
        <v>114378</v>
      </c>
      <c r="I975" s="5">
        <v>123</v>
      </c>
      <c r="J975" s="6">
        <f t="shared" si="15"/>
        <v>114255</v>
      </c>
    </row>
    <row r="976" spans="1:10">
      <c r="A976" s="5">
        <v>214200</v>
      </c>
      <c r="B976" s="5" t="s">
        <v>10</v>
      </c>
      <c r="C976" s="5" t="s">
        <v>11</v>
      </c>
      <c r="D976" s="5" t="s">
        <v>32</v>
      </c>
      <c r="E976" s="5" t="s">
        <v>13</v>
      </c>
      <c r="F976" s="5" t="s">
        <v>14</v>
      </c>
      <c r="G976" s="5" t="s">
        <v>15</v>
      </c>
      <c r="H976" s="5">
        <v>106685</v>
      </c>
      <c r="I976" s="5">
        <v>2672</v>
      </c>
      <c r="J976" s="6">
        <f t="shared" si="15"/>
        <v>104013</v>
      </c>
    </row>
    <row r="977" spans="1:10">
      <c r="A977" s="5">
        <v>122898</v>
      </c>
      <c r="B977" s="5" t="s">
        <v>10</v>
      </c>
      <c r="C977" s="5" t="s">
        <v>25</v>
      </c>
      <c r="D977" s="5" t="s">
        <v>18</v>
      </c>
      <c r="E977" s="5" t="s">
        <v>13</v>
      </c>
      <c r="F977" s="5" t="s">
        <v>14</v>
      </c>
      <c r="G977" s="5" t="s">
        <v>24</v>
      </c>
      <c r="H977" s="5">
        <v>116064</v>
      </c>
      <c r="I977" s="5">
        <v>2123</v>
      </c>
      <c r="J977" s="6">
        <f t="shared" si="15"/>
        <v>113941</v>
      </c>
    </row>
    <row r="978" spans="1:10">
      <c r="A978" s="5">
        <v>54483</v>
      </c>
      <c r="B978" s="5" t="s">
        <v>16</v>
      </c>
      <c r="C978" s="5" t="s">
        <v>27</v>
      </c>
      <c r="D978" s="5" t="s">
        <v>12</v>
      </c>
      <c r="E978" s="5" t="s">
        <v>19</v>
      </c>
      <c r="F978" s="5" t="s">
        <v>14</v>
      </c>
      <c r="G978" s="5" t="s">
        <v>15</v>
      </c>
      <c r="H978" s="5">
        <v>161245</v>
      </c>
      <c r="I978" s="5">
        <v>21631</v>
      </c>
      <c r="J978" s="6">
        <f t="shared" si="15"/>
        <v>139614</v>
      </c>
    </row>
    <row r="979" spans="1:10">
      <c r="A979" s="5">
        <v>242401</v>
      </c>
      <c r="B979" s="5" t="s">
        <v>16</v>
      </c>
      <c r="C979" s="5" t="s">
        <v>17</v>
      </c>
      <c r="D979" s="5" t="s">
        <v>21</v>
      </c>
      <c r="E979" s="5" t="s">
        <v>13</v>
      </c>
      <c r="F979" s="5" t="s">
        <v>28</v>
      </c>
      <c r="G979" s="5" t="s">
        <v>15</v>
      </c>
      <c r="H979" s="5">
        <v>24171</v>
      </c>
      <c r="I979" s="5">
        <v>256</v>
      </c>
      <c r="J979" s="6">
        <f t="shared" si="15"/>
        <v>23915</v>
      </c>
    </row>
    <row r="980" spans="1:10">
      <c r="A980" s="5">
        <v>41384</v>
      </c>
      <c r="B980" s="5" t="s">
        <v>16</v>
      </c>
      <c r="C980" s="5" t="s">
        <v>34</v>
      </c>
      <c r="D980" s="5" t="s">
        <v>12</v>
      </c>
      <c r="E980" s="5" t="s">
        <v>13</v>
      </c>
      <c r="F980" s="5" t="s">
        <v>14</v>
      </c>
      <c r="G980" s="5" t="s">
        <v>15</v>
      </c>
      <c r="H980" s="5">
        <v>97322</v>
      </c>
      <c r="I980" s="5">
        <v>1931</v>
      </c>
      <c r="J980" s="6">
        <f t="shared" si="15"/>
        <v>95391</v>
      </c>
    </row>
    <row r="981" spans="1:10">
      <c r="A981" s="5">
        <v>182979</v>
      </c>
      <c r="B981" s="5" t="s">
        <v>10</v>
      </c>
      <c r="C981" s="5" t="s">
        <v>20</v>
      </c>
      <c r="D981" s="5" t="s">
        <v>32</v>
      </c>
      <c r="E981" s="5" t="s">
        <v>13</v>
      </c>
      <c r="F981" s="5" t="s">
        <v>14</v>
      </c>
      <c r="G981" s="5" t="s">
        <v>15</v>
      </c>
      <c r="H981" s="5">
        <v>13719</v>
      </c>
      <c r="I981" s="5">
        <v>704</v>
      </c>
      <c r="J981" s="6">
        <f t="shared" si="15"/>
        <v>13015</v>
      </c>
    </row>
    <row r="982" spans="1:10">
      <c r="A982" s="5">
        <v>127799</v>
      </c>
      <c r="B982" s="5" t="s">
        <v>16</v>
      </c>
      <c r="C982" s="5" t="s">
        <v>22</v>
      </c>
      <c r="D982" s="5" t="s">
        <v>33</v>
      </c>
      <c r="E982" s="5" t="s">
        <v>19</v>
      </c>
      <c r="F982" s="5" t="s">
        <v>14</v>
      </c>
      <c r="G982" s="5" t="s">
        <v>15</v>
      </c>
      <c r="H982" s="5">
        <v>81435</v>
      </c>
      <c r="I982" s="5">
        <v>897</v>
      </c>
      <c r="J982" s="6">
        <f t="shared" si="15"/>
        <v>80538</v>
      </c>
    </row>
    <row r="983" spans="1:10">
      <c r="A983" s="5">
        <v>50703</v>
      </c>
      <c r="B983" s="5" t="s">
        <v>16</v>
      </c>
      <c r="C983" s="5" t="s">
        <v>35</v>
      </c>
      <c r="D983" s="5" t="s">
        <v>32</v>
      </c>
      <c r="E983" s="5" t="s">
        <v>13</v>
      </c>
      <c r="F983" s="5" t="s">
        <v>28</v>
      </c>
      <c r="G983" s="5" t="s">
        <v>15</v>
      </c>
      <c r="H983" s="5">
        <v>5</v>
      </c>
      <c r="I983" s="5">
        <v>0</v>
      </c>
      <c r="J983" s="6">
        <f t="shared" si="15"/>
        <v>5</v>
      </c>
    </row>
    <row r="984" spans="1:10">
      <c r="A984" s="5">
        <v>68215</v>
      </c>
      <c r="B984" s="5" t="s">
        <v>16</v>
      </c>
      <c r="C984" s="5" t="s">
        <v>37</v>
      </c>
      <c r="D984" s="5" t="s">
        <v>33</v>
      </c>
      <c r="E984" s="5" t="s">
        <v>13</v>
      </c>
      <c r="F984" s="5" t="s">
        <v>14</v>
      </c>
      <c r="G984" s="5" t="s">
        <v>24</v>
      </c>
      <c r="H984" s="5">
        <v>21780</v>
      </c>
      <c r="I984" s="5">
        <v>578</v>
      </c>
      <c r="J984" s="6">
        <f t="shared" si="15"/>
        <v>21202</v>
      </c>
    </row>
    <row r="985" spans="1:10">
      <c r="A985" s="5">
        <v>13552</v>
      </c>
      <c r="B985" s="5" t="s">
        <v>16</v>
      </c>
      <c r="C985" s="5" t="s">
        <v>34</v>
      </c>
      <c r="D985" s="5" t="s">
        <v>30</v>
      </c>
      <c r="E985" s="5" t="s">
        <v>13</v>
      </c>
      <c r="F985" s="5" t="s">
        <v>14</v>
      </c>
      <c r="G985" s="5" t="s">
        <v>15</v>
      </c>
      <c r="H985" s="5">
        <v>155773</v>
      </c>
      <c r="I985" s="5">
        <v>0</v>
      </c>
      <c r="J985" s="6">
        <f t="shared" si="15"/>
        <v>155773</v>
      </c>
    </row>
    <row r="986" spans="1:10">
      <c r="A986" s="5">
        <v>8636</v>
      </c>
      <c r="B986" s="5" t="s">
        <v>10</v>
      </c>
      <c r="C986" s="5" t="s">
        <v>37</v>
      </c>
      <c r="D986" s="5" t="s">
        <v>30</v>
      </c>
      <c r="E986" s="5" t="s">
        <v>13</v>
      </c>
      <c r="F986" s="5" t="s">
        <v>28</v>
      </c>
      <c r="G986" s="5" t="s">
        <v>15</v>
      </c>
      <c r="H986" s="5">
        <v>227040</v>
      </c>
      <c r="I986" s="5">
        <v>731</v>
      </c>
      <c r="J986" s="6">
        <f t="shared" si="15"/>
        <v>226309</v>
      </c>
    </row>
    <row r="987" spans="1:10">
      <c r="A987" s="5">
        <v>131274</v>
      </c>
      <c r="B987" s="5" t="s">
        <v>16</v>
      </c>
      <c r="C987" s="5" t="s">
        <v>25</v>
      </c>
      <c r="D987" s="5" t="s">
        <v>30</v>
      </c>
      <c r="E987" s="5" t="s">
        <v>19</v>
      </c>
      <c r="F987" s="5" t="s">
        <v>28</v>
      </c>
      <c r="G987" s="5" t="s">
        <v>24</v>
      </c>
      <c r="H987" s="5">
        <v>22081</v>
      </c>
      <c r="I987" s="5">
        <v>0</v>
      </c>
      <c r="J987" s="6">
        <f t="shared" si="15"/>
        <v>22081</v>
      </c>
    </row>
    <row r="988" spans="1:10">
      <c r="A988" s="5">
        <v>65269</v>
      </c>
      <c r="B988" s="5" t="s">
        <v>10</v>
      </c>
      <c r="C988" s="5" t="s">
        <v>27</v>
      </c>
      <c r="D988" s="5" t="s">
        <v>29</v>
      </c>
      <c r="E988" s="5" t="s">
        <v>13</v>
      </c>
      <c r="F988" s="5" t="s">
        <v>28</v>
      </c>
      <c r="G988" s="5" t="s">
        <v>24</v>
      </c>
      <c r="H988" s="5">
        <v>114363</v>
      </c>
      <c r="I988" s="5">
        <v>5524</v>
      </c>
      <c r="J988" s="6">
        <f t="shared" si="15"/>
        <v>108839</v>
      </c>
    </row>
    <row r="989" spans="1:10">
      <c r="A989" s="5">
        <v>120004</v>
      </c>
      <c r="B989" s="5" t="s">
        <v>16</v>
      </c>
      <c r="C989" s="5" t="s">
        <v>22</v>
      </c>
      <c r="D989" s="5" t="s">
        <v>12</v>
      </c>
      <c r="E989" s="5" t="s">
        <v>13</v>
      </c>
      <c r="F989" s="5" t="s">
        <v>14</v>
      </c>
      <c r="G989" s="5" t="s">
        <v>15</v>
      </c>
      <c r="H989" s="5">
        <v>48062</v>
      </c>
      <c r="I989" s="5">
        <v>1027</v>
      </c>
      <c r="J989" s="6">
        <f t="shared" si="15"/>
        <v>47035</v>
      </c>
    </row>
    <row r="990" spans="1:10">
      <c r="A990" s="5">
        <v>147138</v>
      </c>
      <c r="B990" s="5" t="s">
        <v>16</v>
      </c>
      <c r="C990" s="5" t="s">
        <v>22</v>
      </c>
      <c r="D990" s="5" t="s">
        <v>33</v>
      </c>
      <c r="E990" s="5" t="s">
        <v>19</v>
      </c>
      <c r="F990" s="5" t="s">
        <v>14</v>
      </c>
      <c r="G990" s="5" t="s">
        <v>24</v>
      </c>
      <c r="H990" s="5">
        <v>21838</v>
      </c>
      <c r="I990" s="5">
        <v>0</v>
      </c>
      <c r="J990" s="6">
        <f t="shared" si="15"/>
        <v>21838</v>
      </c>
    </row>
    <row r="991" spans="1:10">
      <c r="A991" s="5">
        <v>139546</v>
      </c>
      <c r="B991" s="5" t="s">
        <v>16</v>
      </c>
      <c r="C991" s="5" t="s">
        <v>25</v>
      </c>
      <c r="D991" s="5" t="s">
        <v>30</v>
      </c>
      <c r="E991" s="5" t="s">
        <v>19</v>
      </c>
      <c r="F991" s="5" t="s">
        <v>28</v>
      </c>
      <c r="G991" s="5" t="s">
        <v>15</v>
      </c>
      <c r="H991" s="5">
        <v>60370</v>
      </c>
      <c r="I991" s="5">
        <v>920</v>
      </c>
      <c r="J991" s="6">
        <f t="shared" si="15"/>
        <v>59450</v>
      </c>
    </row>
    <row r="992" spans="1:10">
      <c r="A992" s="5">
        <v>122451</v>
      </c>
      <c r="B992" s="5" t="s">
        <v>16</v>
      </c>
      <c r="C992" s="5" t="s">
        <v>25</v>
      </c>
      <c r="D992" s="5" t="s">
        <v>21</v>
      </c>
      <c r="E992" s="5" t="s">
        <v>13</v>
      </c>
      <c r="F992" s="5" t="s">
        <v>28</v>
      </c>
      <c r="G992" s="5" t="s">
        <v>24</v>
      </c>
      <c r="H992" s="5">
        <v>38440</v>
      </c>
      <c r="I992" s="5">
        <v>2328</v>
      </c>
      <c r="J992" s="6">
        <f t="shared" si="15"/>
        <v>36112</v>
      </c>
    </row>
    <row r="993" spans="1:10">
      <c r="A993" s="5">
        <v>237604</v>
      </c>
      <c r="B993" s="5" t="s">
        <v>10</v>
      </c>
      <c r="C993" s="5" t="s">
        <v>25</v>
      </c>
      <c r="D993" s="5" t="s">
        <v>18</v>
      </c>
      <c r="E993" s="5" t="s">
        <v>19</v>
      </c>
      <c r="F993" s="5" t="s">
        <v>14</v>
      </c>
      <c r="G993" s="5" t="s">
        <v>24</v>
      </c>
      <c r="H993" s="5">
        <v>25872</v>
      </c>
      <c r="I993" s="5">
        <v>382</v>
      </c>
      <c r="J993" s="6">
        <f t="shared" si="15"/>
        <v>25490</v>
      </c>
    </row>
    <row r="994" spans="1:10">
      <c r="A994" s="5">
        <v>181935</v>
      </c>
      <c r="B994" s="5" t="s">
        <v>10</v>
      </c>
      <c r="C994" s="5" t="s">
        <v>38</v>
      </c>
      <c r="D994" s="5" t="s">
        <v>29</v>
      </c>
      <c r="E994" s="5" t="s">
        <v>13</v>
      </c>
      <c r="F994" s="5" t="s">
        <v>14</v>
      </c>
      <c r="G994" s="5" t="s">
        <v>24</v>
      </c>
      <c r="H994" s="5">
        <v>81954</v>
      </c>
      <c r="I994" s="5">
        <v>1890</v>
      </c>
      <c r="J994" s="6">
        <f t="shared" si="15"/>
        <v>80064</v>
      </c>
    </row>
    <row r="995" spans="1:10">
      <c r="A995" s="5">
        <v>198332</v>
      </c>
      <c r="B995" s="5" t="s">
        <v>10</v>
      </c>
      <c r="C995" s="5" t="s">
        <v>37</v>
      </c>
      <c r="D995" s="5" t="s">
        <v>30</v>
      </c>
      <c r="E995" s="5" t="s">
        <v>13</v>
      </c>
      <c r="F995" s="5" t="s">
        <v>28</v>
      </c>
      <c r="G995" s="5" t="s">
        <v>15</v>
      </c>
      <c r="H995" s="5">
        <v>145954</v>
      </c>
      <c r="I995" s="5">
        <v>2851</v>
      </c>
      <c r="J995" s="6">
        <f t="shared" si="15"/>
        <v>143103</v>
      </c>
    </row>
    <row r="996" spans="1:10">
      <c r="A996" s="5">
        <v>99748</v>
      </c>
      <c r="B996" s="5" t="s">
        <v>16</v>
      </c>
      <c r="C996" s="5" t="s">
        <v>27</v>
      </c>
      <c r="D996" s="5" t="s">
        <v>32</v>
      </c>
      <c r="E996" s="5" t="s">
        <v>13</v>
      </c>
      <c r="F996" s="5" t="s">
        <v>14</v>
      </c>
      <c r="G996" s="5" t="s">
        <v>15</v>
      </c>
      <c r="H996" s="5">
        <v>39366</v>
      </c>
      <c r="I996" s="5">
        <v>0</v>
      </c>
      <c r="J996" s="6">
        <f t="shared" si="15"/>
        <v>39366</v>
      </c>
    </row>
    <row r="997" spans="1:10">
      <c r="A997" s="5">
        <v>99754</v>
      </c>
      <c r="B997" s="5" t="s">
        <v>10</v>
      </c>
      <c r="C997" s="5" t="s">
        <v>34</v>
      </c>
      <c r="D997" s="5" t="s">
        <v>26</v>
      </c>
      <c r="E997" s="5" t="s">
        <v>13</v>
      </c>
      <c r="F997" s="5" t="s">
        <v>14</v>
      </c>
      <c r="G997" s="5" t="s">
        <v>24</v>
      </c>
      <c r="H997" s="5">
        <v>25115</v>
      </c>
      <c r="I997" s="5">
        <v>3060</v>
      </c>
      <c r="J997" s="6">
        <f t="shared" si="15"/>
        <v>22055</v>
      </c>
    </row>
    <row r="998" spans="1:10">
      <c r="A998" s="5">
        <v>109876</v>
      </c>
      <c r="B998" s="5" t="s">
        <v>10</v>
      </c>
      <c r="C998" s="5" t="s">
        <v>11</v>
      </c>
      <c r="D998" s="5" t="s">
        <v>32</v>
      </c>
      <c r="E998" s="5" t="s">
        <v>13</v>
      </c>
      <c r="F998" s="5" t="s">
        <v>14</v>
      </c>
      <c r="G998" s="5" t="s">
        <v>15</v>
      </c>
      <c r="H998" s="5">
        <v>3745</v>
      </c>
      <c r="I998" s="5">
        <v>110</v>
      </c>
      <c r="J998" s="6">
        <f t="shared" si="15"/>
        <v>3635</v>
      </c>
    </row>
    <row r="999" spans="1:10">
      <c r="A999" s="5">
        <v>90820</v>
      </c>
      <c r="B999" s="5" t="s">
        <v>16</v>
      </c>
      <c r="C999" s="5" t="s">
        <v>38</v>
      </c>
      <c r="D999" s="5" t="s">
        <v>33</v>
      </c>
      <c r="E999" s="5" t="s">
        <v>13</v>
      </c>
      <c r="F999" s="5" t="s">
        <v>14</v>
      </c>
      <c r="G999" s="5" t="s">
        <v>15</v>
      </c>
      <c r="H999" s="5">
        <v>4582</v>
      </c>
      <c r="I999" s="5">
        <v>210</v>
      </c>
      <c r="J999" s="6">
        <f t="shared" si="15"/>
        <v>4372</v>
      </c>
    </row>
    <row r="1000" spans="1:10">
      <c r="A1000" s="5">
        <v>108536</v>
      </c>
      <c r="B1000" s="5" t="s">
        <v>10</v>
      </c>
      <c r="C1000" s="5" t="s">
        <v>25</v>
      </c>
      <c r="D1000" s="5" t="s">
        <v>23</v>
      </c>
      <c r="E1000" s="5" t="s">
        <v>19</v>
      </c>
      <c r="F1000" s="5" t="s">
        <v>14</v>
      </c>
      <c r="G1000" s="5" t="s">
        <v>24</v>
      </c>
      <c r="H1000" s="5">
        <v>64752</v>
      </c>
      <c r="I1000" s="5">
        <v>6029</v>
      </c>
      <c r="J1000" s="6">
        <f t="shared" si="15"/>
        <v>58723</v>
      </c>
    </row>
    <row r="1001" spans="1:10">
      <c r="A1001" s="5">
        <v>37585</v>
      </c>
      <c r="B1001" s="5" t="s">
        <v>16</v>
      </c>
      <c r="C1001" s="5" t="s">
        <v>35</v>
      </c>
      <c r="D1001" s="5" t="s">
        <v>18</v>
      </c>
      <c r="E1001" s="5" t="s">
        <v>19</v>
      </c>
      <c r="F1001" s="5" t="s">
        <v>14</v>
      </c>
      <c r="G1001" s="5" t="s">
        <v>24</v>
      </c>
      <c r="H1001" s="5">
        <v>47072</v>
      </c>
      <c r="I1001" s="5">
        <v>892</v>
      </c>
      <c r="J1001" s="6">
        <f t="shared" si="15"/>
        <v>46180</v>
      </c>
    </row>
  </sheetData>
  <sortState xmlns:xlrd2="http://schemas.microsoft.com/office/spreadsheetml/2017/richdata2" ref="M125:M135">
    <sortCondition ref="M125"/>
  </sortState>
  <pageMargins left="0.7" right="0.7" top="0.75" bottom="0.75" header="0.3" footer="0.3"/>
  <pageSetup paperSize="9" orientation="portrait" horizontalDpi="0" verticalDpi="0"/>
  <drawing r:id="rId10"/>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7D48A-336C-374B-AA2A-A4A8410A3464}">
  <sheetPr codeName="Sheet3"/>
  <dimension ref="A1:R3"/>
  <sheetViews>
    <sheetView showGridLines="0" tabSelected="1" zoomScaleNormal="100" workbookViewId="0"/>
  </sheetViews>
  <sheetFormatPr defaultColWidth="10.6640625" defaultRowHeight="15.95"/>
  <cols>
    <col min="16" max="16" width="15" customWidth="1"/>
    <col min="18" max="18" width="14.109375" customWidth="1"/>
    <col min="19" max="19" width="9.88671875" customWidth="1"/>
    <col min="22" max="22" width="24.6640625" customWidth="1"/>
  </cols>
  <sheetData>
    <row r="1" spans="1:18">
      <c r="A1" s="13"/>
      <c r="B1" s="13"/>
      <c r="C1" s="13"/>
      <c r="D1" s="13"/>
      <c r="E1" s="13"/>
      <c r="F1" s="13"/>
      <c r="G1" s="13"/>
      <c r="H1" s="13"/>
      <c r="I1" s="13"/>
      <c r="J1" s="13"/>
      <c r="K1" s="13"/>
      <c r="L1" s="13"/>
      <c r="M1" s="13"/>
      <c r="N1" s="13"/>
      <c r="O1" s="13"/>
      <c r="P1" s="13"/>
      <c r="Q1" s="13"/>
      <c r="R1" s="13"/>
    </row>
    <row r="2" spans="1:18" ht="33">
      <c r="A2" s="13"/>
      <c r="B2" s="14" t="s">
        <v>90</v>
      </c>
      <c r="C2" s="13"/>
      <c r="D2" s="13"/>
      <c r="E2" s="13"/>
      <c r="F2" s="13"/>
      <c r="G2" s="13"/>
      <c r="H2" s="13"/>
      <c r="I2" s="13"/>
      <c r="J2" s="13"/>
      <c r="K2" s="13"/>
      <c r="L2" s="13"/>
      <c r="M2" s="13"/>
      <c r="N2" s="13"/>
      <c r="O2" s="13"/>
      <c r="P2" s="13"/>
      <c r="Q2" s="13"/>
      <c r="R2" s="13"/>
    </row>
    <row r="3" spans="1:18">
      <c r="A3" s="13"/>
      <c r="B3" s="13"/>
      <c r="C3" s="13"/>
      <c r="D3" s="13"/>
      <c r="E3" s="13"/>
      <c r="F3" s="13"/>
      <c r="G3" s="13"/>
      <c r="H3" s="13"/>
      <c r="I3" s="13"/>
      <c r="J3" s="13"/>
      <c r="K3" s="13"/>
      <c r="L3" s="13"/>
      <c r="M3" s="13"/>
      <c r="N3" s="13"/>
      <c r="O3" s="13"/>
      <c r="P3" s="13"/>
      <c r="Q3" s="13"/>
      <c r="R3" s="13"/>
    </row>
  </sheetData>
  <sheetProtection sheet="1" objects="1" scenarios="1" pivotTables="0"/>
  <pageMargins left="0.25" right="0.25" top="0.75" bottom="0.75" header="0.3" footer="0.3"/>
  <pageSetup paperSize="9" scale="60" fitToWidth="0" fitToHeight="0" orientation="landscape" horizontalDpi="0" verticalDpi="0"/>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D9AE-7793-334B-B16C-15C960E45451}">
  <sheetPr codeName="Sheet4"/>
  <dimension ref="A3:B16"/>
  <sheetViews>
    <sheetView workbookViewId="0">
      <selection activeCell="B7" sqref="B7"/>
    </sheetView>
  </sheetViews>
  <sheetFormatPr defaultColWidth="11.5546875" defaultRowHeight="15.95"/>
  <cols>
    <col min="1" max="1" width="13.21875" bestFit="1" customWidth="1"/>
    <col min="2" max="2" width="21" bestFit="1" customWidth="1"/>
    <col min="3" max="3" width="6.5546875" bestFit="1" customWidth="1"/>
    <col min="4" max="5" width="4.5546875" bestFit="1" customWidth="1"/>
    <col min="6" max="9" width="2" bestFit="1" customWidth="1"/>
    <col min="10" max="12" width="3" bestFit="1" customWidth="1"/>
    <col min="13" max="32" width="4" bestFit="1" customWidth="1"/>
    <col min="33" max="89" width="5" bestFit="1" customWidth="1"/>
    <col min="90" max="846" width="6" bestFit="1" customWidth="1"/>
    <col min="847" max="990" width="7" bestFit="1" customWidth="1"/>
    <col min="991" max="991" width="10.44140625" bestFit="1" customWidth="1"/>
  </cols>
  <sheetData>
    <row r="3" spans="1:2">
      <c r="A3" s="1" t="s">
        <v>91</v>
      </c>
      <c r="B3" t="s">
        <v>92</v>
      </c>
    </row>
    <row r="4" spans="1:2">
      <c r="A4" s="2" t="s">
        <v>31</v>
      </c>
      <c r="B4" s="11">
        <v>22403.759999999998</v>
      </c>
    </row>
    <row r="5" spans="1:2">
      <c r="A5" s="2" t="s">
        <v>17</v>
      </c>
      <c r="B5" s="11">
        <v>39940.585858585859</v>
      </c>
    </row>
    <row r="6" spans="1:2">
      <c r="A6" s="2" t="s">
        <v>25</v>
      </c>
      <c r="B6" s="11">
        <v>54398.560747663549</v>
      </c>
    </row>
    <row r="7" spans="1:2">
      <c r="A7" s="2" t="s">
        <v>22</v>
      </c>
      <c r="B7" s="11">
        <v>60878.696969696968</v>
      </c>
    </row>
    <row r="8" spans="1:2">
      <c r="A8" s="2" t="s">
        <v>27</v>
      </c>
      <c r="B8" s="11">
        <v>67884.282352941183</v>
      </c>
    </row>
    <row r="9" spans="1:2">
      <c r="A9" s="2" t="s">
        <v>35</v>
      </c>
      <c r="B9" s="11">
        <v>67952.944444444438</v>
      </c>
    </row>
    <row r="10" spans="1:2">
      <c r="A10" s="2" t="s">
        <v>11</v>
      </c>
      <c r="B10" s="11">
        <v>70666.574074074073</v>
      </c>
    </row>
    <row r="11" spans="1:2">
      <c r="A11" s="2" t="s">
        <v>34</v>
      </c>
      <c r="B11" s="11">
        <v>65486.436363636363</v>
      </c>
    </row>
    <row r="12" spans="1:2">
      <c r="A12" s="2" t="s">
        <v>37</v>
      </c>
      <c r="B12" s="11">
        <v>83080.421686746995</v>
      </c>
    </row>
    <row r="13" spans="1:2">
      <c r="A13" s="2" t="s">
        <v>38</v>
      </c>
      <c r="B13" s="11">
        <v>56460.973333333335</v>
      </c>
    </row>
    <row r="14" spans="1:2">
      <c r="A14" s="2" t="s">
        <v>39</v>
      </c>
      <c r="B14" s="11">
        <v>51097.631578947367</v>
      </c>
    </row>
    <row r="15" spans="1:2">
      <c r="A15" s="2" t="s">
        <v>20</v>
      </c>
      <c r="B15" s="11">
        <v>37699.111111111109</v>
      </c>
    </row>
    <row r="16" spans="1:2">
      <c r="A16" s="2" t="s">
        <v>93</v>
      </c>
      <c r="B16" s="11">
        <v>59753.430999999997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DA3AC-AC65-0949-830E-A2A634299A2C}">
  <sheetPr codeName="Sheet5"/>
  <dimension ref="A3:B6"/>
  <sheetViews>
    <sheetView workbookViewId="0">
      <selection activeCell="B5" sqref="B5"/>
    </sheetView>
  </sheetViews>
  <sheetFormatPr defaultColWidth="11.5546875" defaultRowHeight="15.95"/>
  <cols>
    <col min="1" max="1" width="13.21875" bestFit="1" customWidth="1"/>
    <col min="2" max="2" width="15.109375" bestFit="1" customWidth="1"/>
  </cols>
  <sheetData>
    <row r="3" spans="1:2">
      <c r="A3" s="1" t="s">
        <v>91</v>
      </c>
      <c r="B3" t="s">
        <v>94</v>
      </c>
    </row>
    <row r="4" spans="1:2">
      <c r="A4" s="2" t="s">
        <v>16</v>
      </c>
      <c r="B4" s="7">
        <v>0.49099999999999999</v>
      </c>
    </row>
    <row r="5" spans="1:2">
      <c r="A5" s="2" t="s">
        <v>10</v>
      </c>
      <c r="B5" s="9">
        <v>0.50900000000000001</v>
      </c>
    </row>
    <row r="6" spans="1:2">
      <c r="A6" s="2" t="s">
        <v>93</v>
      </c>
      <c r="B6" s="9">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1BA-66F3-8542-8280-AEE278374504}">
  <sheetPr codeName="Sheet6"/>
  <dimension ref="A3:D17"/>
  <sheetViews>
    <sheetView topLeftCell="B1" workbookViewId="0">
      <selection activeCell="B7" sqref="B7"/>
    </sheetView>
  </sheetViews>
  <sheetFormatPr defaultColWidth="11.5546875" defaultRowHeight="15.95"/>
  <cols>
    <col min="1" max="1" width="21.77734375" bestFit="1" customWidth="1"/>
    <col min="2" max="2" width="11.44140625" bestFit="1" customWidth="1"/>
    <col min="3" max="3" width="5.21875" bestFit="1" customWidth="1"/>
    <col min="4" max="4" width="9.6640625" bestFit="1" customWidth="1"/>
  </cols>
  <sheetData>
    <row r="3" spans="1:4">
      <c r="A3" s="1" t="s">
        <v>95</v>
      </c>
      <c r="B3" s="1" t="s">
        <v>96</v>
      </c>
    </row>
    <row r="4" spans="1:4">
      <c r="A4" s="1" t="s">
        <v>91</v>
      </c>
      <c r="B4" t="s">
        <v>16</v>
      </c>
      <c r="C4" t="s">
        <v>10</v>
      </c>
      <c r="D4" t="s">
        <v>93</v>
      </c>
    </row>
    <row r="5" spans="1:4">
      <c r="A5" s="2" t="s">
        <v>31</v>
      </c>
      <c r="B5" s="11">
        <v>49.714285714285715</v>
      </c>
      <c r="C5" s="11">
        <v>431.66666666666669</v>
      </c>
      <c r="D5" s="11">
        <v>324.72000000000003</v>
      </c>
    </row>
    <row r="6" spans="1:4">
      <c r="A6" s="2" t="s">
        <v>17</v>
      </c>
      <c r="B6" s="11">
        <v>832.25531914893622</v>
      </c>
      <c r="C6" s="11">
        <v>2308.5192307692309</v>
      </c>
      <c r="D6" s="11">
        <v>1607.6666666666667</v>
      </c>
    </row>
    <row r="7" spans="1:4">
      <c r="A7" s="2" t="s">
        <v>25</v>
      </c>
      <c r="B7" s="11">
        <v>1674.9830508474577</v>
      </c>
      <c r="C7" s="11">
        <v>3637.0833333333335</v>
      </c>
      <c r="D7" s="11">
        <v>2555.1775700934581</v>
      </c>
    </row>
    <row r="8" spans="1:4">
      <c r="A8" s="2" t="s">
        <v>22</v>
      </c>
      <c r="B8" s="11">
        <v>1514.408163265306</v>
      </c>
      <c r="C8" s="11">
        <v>2881.28</v>
      </c>
      <c r="D8" s="11">
        <v>2204.7474747474748</v>
      </c>
    </row>
    <row r="9" spans="1:4">
      <c r="A9" s="2" t="s">
        <v>27</v>
      </c>
      <c r="B9" s="11">
        <v>2354.7948717948716</v>
      </c>
      <c r="C9" s="11">
        <v>3882.6304347826085</v>
      </c>
      <c r="D9" s="11">
        <v>3181.6235294117646</v>
      </c>
    </row>
    <row r="10" spans="1:4">
      <c r="A10" s="2" t="s">
        <v>35</v>
      </c>
      <c r="B10" s="11">
        <v>2296.6727272727271</v>
      </c>
      <c r="C10" s="11">
        <v>4807.3396226415098</v>
      </c>
      <c r="D10" s="11">
        <v>3528.7592592592591</v>
      </c>
    </row>
    <row r="11" spans="1:4">
      <c r="A11" s="2" t="s">
        <v>11</v>
      </c>
      <c r="B11" s="11">
        <v>1869.7818181818182</v>
      </c>
      <c r="C11" s="11">
        <v>4195.3018867924529</v>
      </c>
      <c r="D11" s="11">
        <v>3011.0092592592591</v>
      </c>
    </row>
    <row r="12" spans="1:4">
      <c r="A12" s="2" t="s">
        <v>34</v>
      </c>
      <c r="B12" s="11">
        <v>1266.1803278688524</v>
      </c>
      <c r="C12" s="11">
        <v>3257.1632653061224</v>
      </c>
      <c r="D12" s="11">
        <v>2153.0727272727272</v>
      </c>
    </row>
    <row r="13" spans="1:4">
      <c r="A13" s="2" t="s">
        <v>37</v>
      </c>
      <c r="B13" s="11">
        <v>1781.3695652173913</v>
      </c>
      <c r="C13" s="11">
        <v>5454.1081081081084</v>
      </c>
      <c r="D13" s="11">
        <v>3418.6144578313251</v>
      </c>
    </row>
    <row r="14" spans="1:4">
      <c r="A14" s="2" t="s">
        <v>38</v>
      </c>
      <c r="B14" s="11">
        <v>2389.212121212121</v>
      </c>
      <c r="C14" s="11">
        <v>1539.5952380952381</v>
      </c>
      <c r="D14" s="11">
        <v>1913.4266666666667</v>
      </c>
    </row>
    <row r="15" spans="1:4">
      <c r="A15" s="2" t="s">
        <v>39</v>
      </c>
      <c r="B15" s="11">
        <v>1529.3636363636363</v>
      </c>
      <c r="C15" s="11">
        <v>3373.8148148148148</v>
      </c>
      <c r="D15" s="11">
        <v>2839.8947368421054</v>
      </c>
    </row>
    <row r="16" spans="1:4">
      <c r="A16" s="2" t="s">
        <v>20</v>
      </c>
      <c r="B16" s="11">
        <v>447.34482758620692</v>
      </c>
      <c r="C16" s="11">
        <v>868.02941176470586</v>
      </c>
      <c r="D16" s="11">
        <v>674.38095238095241</v>
      </c>
    </row>
    <row r="17" spans="1:4">
      <c r="A17" s="2" t="s">
        <v>93</v>
      </c>
      <c r="B17" s="11">
        <v>1631.9877800407332</v>
      </c>
      <c r="C17" s="11">
        <v>3239.4302554027504</v>
      </c>
      <c r="D17" s="11">
        <v>2450.1759999999999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1FDFC-3B03-7547-AC8D-5F3ABA0C9E40}">
  <sheetPr codeName="Sheet7"/>
  <dimension ref="A3:D15"/>
  <sheetViews>
    <sheetView topLeftCell="A8" zoomScale="117" workbookViewId="0">
      <selection activeCell="A11" sqref="A11"/>
    </sheetView>
  </sheetViews>
  <sheetFormatPr defaultColWidth="11.5546875" defaultRowHeight="15.95"/>
  <cols>
    <col min="1" max="1" width="49.21875" bestFit="1" customWidth="1"/>
    <col min="2" max="2" width="11.44140625" bestFit="1" customWidth="1"/>
    <col min="3" max="3" width="6.21875" bestFit="1" customWidth="1"/>
    <col min="4" max="4" width="9.6640625" bestFit="1" customWidth="1"/>
  </cols>
  <sheetData>
    <row r="3" spans="1:4">
      <c r="A3" s="1" t="s">
        <v>97</v>
      </c>
      <c r="B3" s="1" t="s">
        <v>96</v>
      </c>
    </row>
    <row r="4" spans="1:4">
      <c r="A4" s="1" t="s">
        <v>91</v>
      </c>
      <c r="B4" t="s">
        <v>13</v>
      </c>
      <c r="C4" t="s">
        <v>19</v>
      </c>
      <c r="D4" t="s">
        <v>93</v>
      </c>
    </row>
    <row r="5" spans="1:4">
      <c r="A5" s="2" t="s">
        <v>33</v>
      </c>
      <c r="B5" s="11">
        <v>52584.971830985916</v>
      </c>
      <c r="C5" s="11">
        <v>54068.07547169811</v>
      </c>
      <c r="D5" s="11">
        <v>53218.879032258068</v>
      </c>
    </row>
    <row r="6" spans="1:4">
      <c r="A6" s="2" t="s">
        <v>36</v>
      </c>
      <c r="B6" s="11">
        <v>44549.275000000001</v>
      </c>
      <c r="C6" s="11">
        <v>35791.634146341465</v>
      </c>
      <c r="D6" s="11">
        <v>40116.395061728392</v>
      </c>
    </row>
    <row r="7" spans="1:4">
      <c r="A7" s="2" t="s">
        <v>21</v>
      </c>
      <c r="B7" s="11">
        <v>40279.695652173912</v>
      </c>
      <c r="C7" s="11">
        <v>37090.216216216213</v>
      </c>
      <c r="D7" s="11">
        <v>38312.85</v>
      </c>
    </row>
    <row r="8" spans="1:4">
      <c r="A8" s="2" t="s">
        <v>26</v>
      </c>
      <c r="B8" s="11">
        <v>48515.9375</v>
      </c>
      <c r="C8" s="11">
        <v>36977.472222222219</v>
      </c>
      <c r="D8" s="11">
        <v>42407.338235294119</v>
      </c>
    </row>
    <row r="9" spans="1:4">
      <c r="A9" s="2" t="s">
        <v>29</v>
      </c>
      <c r="B9" s="11">
        <v>73717</v>
      </c>
      <c r="C9" s="11">
        <v>55093.428571428572</v>
      </c>
      <c r="D9" s="11">
        <v>66048.470588235301</v>
      </c>
    </row>
    <row r="10" spans="1:4">
      <c r="A10" s="2" t="s">
        <v>12</v>
      </c>
      <c r="B10" s="11">
        <v>100707.32894736843</v>
      </c>
      <c r="C10" s="11">
        <v>60456.705882352944</v>
      </c>
      <c r="D10" s="11">
        <v>88266.227272727279</v>
      </c>
    </row>
    <row r="11" spans="1:4">
      <c r="A11" s="2" t="s">
        <v>32</v>
      </c>
      <c r="B11" s="11">
        <v>39923.7578125</v>
      </c>
      <c r="C11" s="11">
        <v>37765.43076923077</v>
      </c>
      <c r="D11" s="11">
        <v>39196.860103626947</v>
      </c>
    </row>
    <row r="12" spans="1:4">
      <c r="A12" s="2" t="s">
        <v>30</v>
      </c>
      <c r="B12" s="11">
        <v>86899.675438596489</v>
      </c>
      <c r="C12" s="11">
        <v>72109.854166666672</v>
      </c>
      <c r="D12" s="11">
        <v>82517.506172839509</v>
      </c>
    </row>
    <row r="13" spans="1:4">
      <c r="A13" s="2" t="s">
        <v>18</v>
      </c>
      <c r="B13" s="11">
        <v>43058.15</v>
      </c>
      <c r="C13" s="11">
        <v>30030.837837837837</v>
      </c>
      <c r="D13" s="11">
        <v>34601.824561403511</v>
      </c>
    </row>
    <row r="14" spans="1:4">
      <c r="A14" s="2" t="s">
        <v>23</v>
      </c>
      <c r="B14" s="11">
        <v>71113.277777777781</v>
      </c>
      <c r="C14" s="11">
        <v>61230.2</v>
      </c>
      <c r="D14" s="11">
        <v>66907.712765957447</v>
      </c>
    </row>
    <row r="15" spans="1:4">
      <c r="A15" s="2" t="s">
        <v>93</v>
      </c>
      <c r="B15" s="11">
        <v>63907.819727891154</v>
      </c>
      <c r="C15" s="11">
        <v>47877.322815533982</v>
      </c>
      <c r="D15" s="11">
        <v>57303.254999999997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EABAB-0AE1-1A48-8DA6-CF5871B24C72}">
  <sheetPr codeName="Sheet8"/>
  <dimension ref="A3:B34"/>
  <sheetViews>
    <sheetView topLeftCell="A21" workbookViewId="0">
      <selection activeCell="A29" sqref="A29"/>
    </sheetView>
  </sheetViews>
  <sheetFormatPr defaultColWidth="11.5546875" defaultRowHeight="15.95"/>
  <cols>
    <col min="1" max="1" width="54.33203125" bestFit="1" customWidth="1"/>
    <col min="2" max="2" width="24.5546875" bestFit="1" customWidth="1"/>
    <col min="3" max="3" width="9" bestFit="1" customWidth="1"/>
    <col min="4" max="4" width="10.44140625" bestFit="1" customWidth="1"/>
    <col min="5" max="5" width="38.109375" bestFit="1" customWidth="1"/>
    <col min="6" max="6" width="8" bestFit="1" customWidth="1"/>
    <col min="7" max="7" width="40.88671875" bestFit="1" customWidth="1"/>
    <col min="8" max="8" width="52.5546875" bestFit="1" customWidth="1"/>
    <col min="9" max="9" width="8" bestFit="1" customWidth="1"/>
    <col min="10" max="10" width="55.33203125" bestFit="1" customWidth="1"/>
    <col min="11" max="11" width="11.33203125" bestFit="1" customWidth="1"/>
    <col min="12" max="12" width="7" bestFit="1" customWidth="1"/>
    <col min="13" max="13" width="13.88671875" bestFit="1" customWidth="1"/>
    <col min="14" max="14" width="30" bestFit="1" customWidth="1"/>
    <col min="15" max="15" width="8" bestFit="1" customWidth="1"/>
    <col min="16" max="16" width="32.6640625" bestFit="1" customWidth="1"/>
    <col min="17" max="17" width="11" bestFit="1" customWidth="1"/>
    <col min="18" max="18" width="8" bestFit="1" customWidth="1"/>
    <col min="19" max="19" width="13.5546875" bestFit="1" customWidth="1"/>
    <col min="20" max="20" width="41.6640625" bestFit="1" customWidth="1"/>
    <col min="21" max="21" width="8" bestFit="1" customWidth="1"/>
    <col min="22" max="22" width="44.44140625" bestFit="1" customWidth="1"/>
    <col min="23" max="23" width="14.109375" bestFit="1" customWidth="1"/>
    <col min="24" max="24" width="9" bestFit="1" customWidth="1"/>
    <col min="25" max="25" width="16.88671875" bestFit="1" customWidth="1"/>
    <col min="26" max="26" width="14.5546875" bestFit="1" customWidth="1"/>
    <col min="27" max="27" width="7" bestFit="1" customWidth="1"/>
    <col min="28" max="28" width="17.33203125" bestFit="1" customWidth="1"/>
    <col min="29" max="29" width="30.109375" bestFit="1" customWidth="1"/>
    <col min="30" max="30" width="8" bestFit="1" customWidth="1"/>
    <col min="31" max="31" width="32.88671875" bestFit="1" customWidth="1"/>
    <col min="32" max="32" width="10.44140625" bestFit="1" customWidth="1"/>
  </cols>
  <sheetData>
    <row r="3" spans="1:2">
      <c r="B3" t="s">
        <v>97</v>
      </c>
    </row>
    <row r="4" spans="1:2">
      <c r="A4" s="2" t="s">
        <v>33</v>
      </c>
      <c r="B4" s="12">
        <v>53218.879032258068</v>
      </c>
    </row>
    <row r="5" spans="1:2">
      <c r="A5" s="10" t="s">
        <v>24</v>
      </c>
      <c r="B5" s="12">
        <v>43382.6</v>
      </c>
    </row>
    <row r="6" spans="1:2">
      <c r="A6" s="10" t="s">
        <v>15</v>
      </c>
      <c r="B6" s="12">
        <v>57902.821428571428</v>
      </c>
    </row>
    <row r="7" spans="1:2">
      <c r="A7" s="2" t="s">
        <v>36</v>
      </c>
      <c r="B7" s="12">
        <v>40116.395061728392</v>
      </c>
    </row>
    <row r="8" spans="1:2">
      <c r="A8" s="10" t="s">
        <v>24</v>
      </c>
      <c r="B8" s="12">
        <v>35250.607843137252</v>
      </c>
    </row>
    <row r="9" spans="1:2">
      <c r="A9" s="10" t="s">
        <v>15</v>
      </c>
      <c r="B9" s="12">
        <v>48388.23333333333</v>
      </c>
    </row>
    <row r="10" spans="1:2">
      <c r="A10" s="2" t="s">
        <v>21</v>
      </c>
      <c r="B10" s="12">
        <v>38312.85</v>
      </c>
    </row>
    <row r="11" spans="1:2">
      <c r="A11" s="10" t="s">
        <v>24</v>
      </c>
      <c r="B11" s="12">
        <v>35550.942857142858</v>
      </c>
    </row>
    <row r="12" spans="1:2">
      <c r="A12" s="10" t="s">
        <v>15</v>
      </c>
      <c r="B12" s="12">
        <v>42179.519999999997</v>
      </c>
    </row>
    <row r="13" spans="1:2">
      <c r="A13" s="2" t="s">
        <v>26</v>
      </c>
      <c r="B13" s="12">
        <v>42407.338235294119</v>
      </c>
    </row>
    <row r="14" spans="1:2">
      <c r="A14" s="10" t="s">
        <v>24</v>
      </c>
      <c r="B14" s="12">
        <v>39263.654545454548</v>
      </c>
    </row>
    <row r="15" spans="1:2">
      <c r="A15" s="10" t="s">
        <v>15</v>
      </c>
      <c r="B15" s="12">
        <v>55707.538461538461</v>
      </c>
    </row>
    <row r="16" spans="1:2">
      <c r="A16" s="2" t="s">
        <v>29</v>
      </c>
      <c r="B16" s="12">
        <v>66048.470588235301</v>
      </c>
    </row>
    <row r="17" spans="1:2">
      <c r="A17" s="10" t="s">
        <v>24</v>
      </c>
      <c r="B17" s="12">
        <v>53335.241379310348</v>
      </c>
    </row>
    <row r="18" spans="1:2">
      <c r="A18" s="10" t="s">
        <v>15</v>
      </c>
      <c r="B18" s="12">
        <v>82806.818181818177</v>
      </c>
    </row>
    <row r="19" spans="1:2">
      <c r="A19" s="2" t="s">
        <v>12</v>
      </c>
      <c r="B19" s="12">
        <v>88266.227272727279</v>
      </c>
    </row>
    <row r="20" spans="1:2">
      <c r="A20" s="10" t="s">
        <v>24</v>
      </c>
      <c r="B20" s="12">
        <v>47824.5</v>
      </c>
    </row>
    <row r="21" spans="1:2">
      <c r="A21" s="10" t="s">
        <v>15</v>
      </c>
      <c r="B21" s="12">
        <v>99552.290697674413</v>
      </c>
    </row>
    <row r="22" spans="1:2">
      <c r="A22" s="2" t="s">
        <v>32</v>
      </c>
      <c r="B22" s="12">
        <v>39196.860103626947</v>
      </c>
    </row>
    <row r="23" spans="1:2">
      <c r="A23" s="10" t="s">
        <v>24</v>
      </c>
      <c r="B23" s="12">
        <v>29476.57894736842</v>
      </c>
    </row>
    <row r="24" spans="1:2">
      <c r="A24" s="10" t="s">
        <v>15</v>
      </c>
      <c r="B24" s="12">
        <v>45510.888888888891</v>
      </c>
    </row>
    <row r="25" spans="1:2">
      <c r="A25" s="2" t="s">
        <v>30</v>
      </c>
      <c r="B25" s="12">
        <v>82517.506172839509</v>
      </c>
    </row>
    <row r="26" spans="1:2">
      <c r="A26" s="10" t="s">
        <v>24</v>
      </c>
      <c r="B26" s="12">
        <v>54742.65</v>
      </c>
    </row>
    <row r="27" spans="1:2">
      <c r="A27" s="10" t="s">
        <v>15</v>
      </c>
      <c r="B27" s="12">
        <v>91624.016393442624</v>
      </c>
    </row>
    <row r="28" spans="1:2">
      <c r="A28" s="2" t="s">
        <v>18</v>
      </c>
      <c r="B28" s="12">
        <v>34601.824561403511</v>
      </c>
    </row>
    <row r="29" spans="1:2">
      <c r="A29" s="10" t="s">
        <v>24</v>
      </c>
      <c r="B29" s="12">
        <v>32638.533333333333</v>
      </c>
    </row>
    <row r="30" spans="1:2">
      <c r="A30" s="10" t="s">
        <v>15</v>
      </c>
      <c r="B30" s="12">
        <v>36783.259259259263</v>
      </c>
    </row>
    <row r="31" spans="1:2">
      <c r="A31" s="2" t="s">
        <v>23</v>
      </c>
      <c r="B31" s="12">
        <v>66907.712765957447</v>
      </c>
    </row>
    <row r="32" spans="1:2">
      <c r="A32" s="10" t="s">
        <v>24</v>
      </c>
      <c r="B32" s="12">
        <v>59530.071428571428</v>
      </c>
    </row>
    <row r="33" spans="1:2">
      <c r="A33" s="10" t="s">
        <v>15</v>
      </c>
      <c r="B33" s="12">
        <v>72866.576923076922</v>
      </c>
    </row>
    <row r="34" spans="1:2">
      <c r="A34" s="2" t="s">
        <v>93</v>
      </c>
      <c r="B34" s="12">
        <v>57303.254999999997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DD58C-9A42-1D4D-BBAC-A6D32AB47139}">
  <sheetPr codeName="Sheet9"/>
  <dimension ref="A1:AA1001"/>
  <sheetViews>
    <sheetView showGridLines="0" topLeftCell="T1" zoomScale="80" zoomScaleNormal="80" workbookViewId="0">
      <selection activeCell="Z34" sqref="Z34"/>
    </sheetView>
  </sheetViews>
  <sheetFormatPr defaultColWidth="11.5546875" defaultRowHeight="15.95"/>
  <cols>
    <col min="3" max="3" width="11.6640625" customWidth="1"/>
    <col min="4" max="4" width="24.5546875" customWidth="1"/>
    <col min="5" max="5" width="15.33203125" customWidth="1"/>
    <col min="6" max="6" width="18.33203125" customWidth="1"/>
    <col min="8" max="8" width="13.109375" customWidth="1"/>
    <col min="9" max="9" width="13.6640625" customWidth="1"/>
    <col min="10" max="10" width="16.44140625" customWidth="1"/>
    <col min="11" max="11" width="7.88671875" customWidth="1"/>
    <col min="16" max="16" width="14.109375" customWidth="1"/>
    <col min="17" max="17" width="17.5546875" customWidth="1"/>
    <col min="19" max="19" width="12.6640625" customWidth="1"/>
    <col min="20" max="20" width="13.33203125" customWidth="1"/>
    <col min="21" max="21" width="15.6640625" customWidth="1"/>
    <col min="23" max="23" width="31.109375" customWidth="1"/>
    <col min="24" max="24" width="26" bestFit="1" customWidth="1"/>
    <col min="25" max="25" width="3.88671875" customWidth="1"/>
    <col min="26" max="26" width="28.6640625" bestFit="1" customWidth="1"/>
    <col min="27" max="27" width="26" bestFit="1" customWidth="1"/>
  </cols>
  <sheetData>
    <row r="1" spans="1:27" ht="35.25" customHeight="1">
      <c r="A1" s="3" t="s">
        <v>0</v>
      </c>
      <c r="B1" s="3" t="s">
        <v>1</v>
      </c>
      <c r="C1" s="3" t="s">
        <v>2</v>
      </c>
      <c r="D1" s="3" t="s">
        <v>3</v>
      </c>
      <c r="E1" s="3" t="s">
        <v>4</v>
      </c>
      <c r="F1" s="3" t="s">
        <v>5</v>
      </c>
      <c r="G1" s="3" t="s">
        <v>6</v>
      </c>
      <c r="H1" s="3" t="s">
        <v>7</v>
      </c>
      <c r="I1" s="3" t="s">
        <v>8</v>
      </c>
      <c r="J1" s="4" t="s">
        <v>9</v>
      </c>
      <c r="L1" s="100" t="s">
        <v>98</v>
      </c>
      <c r="M1" s="100"/>
      <c r="N1" s="100"/>
      <c r="O1" s="100"/>
      <c r="P1" s="100"/>
      <c r="Q1" s="100"/>
      <c r="R1" s="100"/>
      <c r="S1" s="100"/>
      <c r="T1" s="100"/>
      <c r="U1" s="100"/>
    </row>
    <row r="2" spans="1:27">
      <c r="A2" s="5">
        <v>27057</v>
      </c>
      <c r="B2" s="5" t="s">
        <v>10</v>
      </c>
      <c r="C2" s="5" t="s">
        <v>11</v>
      </c>
      <c r="D2" s="5" t="s">
        <v>12</v>
      </c>
      <c r="E2" s="5" t="s">
        <v>13</v>
      </c>
      <c r="F2" s="5" t="s">
        <v>14</v>
      </c>
      <c r="G2" s="5" t="s">
        <v>15</v>
      </c>
      <c r="H2" s="5">
        <v>86368</v>
      </c>
      <c r="I2" s="5">
        <v>1060</v>
      </c>
      <c r="J2" s="6">
        <f t="shared" ref="J2:J65" si="0">H2-I2</f>
        <v>85308</v>
      </c>
      <c r="L2" s="24" t="s">
        <v>0</v>
      </c>
      <c r="M2" s="24" t="s">
        <v>1</v>
      </c>
      <c r="N2" s="24" t="s">
        <v>2</v>
      </c>
      <c r="O2" s="24" t="s">
        <v>3</v>
      </c>
      <c r="P2" s="24" t="s">
        <v>4</v>
      </c>
      <c r="Q2" s="24" t="s">
        <v>5</v>
      </c>
      <c r="R2" s="24" t="s">
        <v>6</v>
      </c>
      <c r="S2" s="24" t="s">
        <v>7</v>
      </c>
      <c r="T2" s="24" t="s">
        <v>8</v>
      </c>
      <c r="U2" s="24" t="s">
        <v>9</v>
      </c>
    </row>
    <row r="3" spans="1:27" ht="18.95" thickBot="1">
      <c r="A3" s="5">
        <v>138235</v>
      </c>
      <c r="B3" s="5" t="s">
        <v>16</v>
      </c>
      <c r="C3" s="5" t="s">
        <v>17</v>
      </c>
      <c r="D3" s="5" t="s">
        <v>18</v>
      </c>
      <c r="E3" s="5" t="s">
        <v>19</v>
      </c>
      <c r="F3" s="5" t="s">
        <v>14</v>
      </c>
      <c r="G3" s="5" t="s">
        <v>15</v>
      </c>
      <c r="H3" s="5">
        <v>62342</v>
      </c>
      <c r="I3" s="5">
        <v>337</v>
      </c>
      <c r="J3" s="6">
        <f t="shared" si="0"/>
        <v>62005</v>
      </c>
      <c r="L3" s="19">
        <v>156707</v>
      </c>
      <c r="M3" s="19" t="s">
        <v>10</v>
      </c>
      <c r="N3" s="19" t="s">
        <v>22</v>
      </c>
      <c r="O3" s="19" t="s">
        <v>23</v>
      </c>
      <c r="P3" s="19" t="s">
        <v>19</v>
      </c>
      <c r="Q3" s="19" t="s">
        <v>14</v>
      </c>
      <c r="R3" s="19" t="s">
        <v>24</v>
      </c>
      <c r="S3" s="19">
        <v>70672</v>
      </c>
      <c r="T3" s="19">
        <v>4732</v>
      </c>
      <c r="U3" s="19">
        <v>65940</v>
      </c>
      <c r="W3" s="62" t="s">
        <v>99</v>
      </c>
      <c r="X3" s="63"/>
      <c r="Z3" s="64" t="s">
        <v>100</v>
      </c>
      <c r="AA3" s="65"/>
    </row>
    <row r="4" spans="1:27">
      <c r="A4" s="5">
        <v>57573</v>
      </c>
      <c r="B4" s="5" t="s">
        <v>10</v>
      </c>
      <c r="C4" s="5" t="s">
        <v>20</v>
      </c>
      <c r="D4" s="5" t="s">
        <v>21</v>
      </c>
      <c r="E4" s="5" t="s">
        <v>13</v>
      </c>
      <c r="F4" s="5" t="s">
        <v>14</v>
      </c>
      <c r="G4" s="5" t="s">
        <v>15</v>
      </c>
      <c r="H4" s="5">
        <v>19046</v>
      </c>
      <c r="I4" s="5">
        <v>0</v>
      </c>
      <c r="J4" s="6">
        <f t="shared" si="0"/>
        <v>19046</v>
      </c>
      <c r="L4" s="22">
        <v>251518</v>
      </c>
      <c r="M4" s="22" t="s">
        <v>10</v>
      </c>
      <c r="N4" s="22" t="s">
        <v>17</v>
      </c>
      <c r="O4" s="22" t="s">
        <v>23</v>
      </c>
      <c r="P4" s="22" t="s">
        <v>13</v>
      </c>
      <c r="Q4" s="22" t="s">
        <v>14</v>
      </c>
      <c r="R4" s="22" t="s">
        <v>24</v>
      </c>
      <c r="S4" s="22">
        <v>43127</v>
      </c>
      <c r="T4" s="22">
        <v>136</v>
      </c>
      <c r="U4" s="22">
        <v>42991</v>
      </c>
      <c r="W4" s="58" t="s">
        <v>9</v>
      </c>
      <c r="X4" s="59"/>
      <c r="Z4" s="55" t="s">
        <v>101</v>
      </c>
      <c r="AA4" s="56" t="s">
        <v>97</v>
      </c>
    </row>
    <row r="5" spans="1:27">
      <c r="A5" s="5">
        <v>156707</v>
      </c>
      <c r="B5" s="5" t="s">
        <v>10</v>
      </c>
      <c r="C5" s="5" t="s">
        <v>22</v>
      </c>
      <c r="D5" s="5" t="s">
        <v>23</v>
      </c>
      <c r="E5" s="5" t="s">
        <v>19</v>
      </c>
      <c r="F5" s="5" t="s">
        <v>14</v>
      </c>
      <c r="G5" s="5" t="s">
        <v>24</v>
      </c>
      <c r="H5" s="5">
        <v>70672</v>
      </c>
      <c r="I5" s="5">
        <v>4732</v>
      </c>
      <c r="J5" s="6">
        <f t="shared" si="0"/>
        <v>65940</v>
      </c>
      <c r="L5" s="19">
        <v>109650</v>
      </c>
      <c r="M5" s="19" t="s">
        <v>10</v>
      </c>
      <c r="N5" s="19" t="s">
        <v>22</v>
      </c>
      <c r="O5" s="19" t="s">
        <v>23</v>
      </c>
      <c r="P5" s="19" t="s">
        <v>19</v>
      </c>
      <c r="Q5" s="19" t="s">
        <v>28</v>
      </c>
      <c r="R5" s="19" t="s">
        <v>15</v>
      </c>
      <c r="S5" s="19">
        <v>120743</v>
      </c>
      <c r="T5" s="19">
        <v>4363</v>
      </c>
      <c r="U5" s="19">
        <v>116380</v>
      </c>
      <c r="W5" s="60"/>
      <c r="X5" s="61"/>
      <c r="Z5" s="57" t="s">
        <v>23</v>
      </c>
      <c r="AA5" s="73">
        <v>63384.046567899102</v>
      </c>
    </row>
    <row r="6" spans="1:27">
      <c r="A6" s="5">
        <v>177311</v>
      </c>
      <c r="B6" s="5" t="s">
        <v>10</v>
      </c>
      <c r="C6" s="5" t="s">
        <v>25</v>
      </c>
      <c r="D6" s="5" t="s">
        <v>26</v>
      </c>
      <c r="E6" s="5" t="s">
        <v>13</v>
      </c>
      <c r="F6" s="5" t="s">
        <v>14</v>
      </c>
      <c r="G6" s="5" t="s">
        <v>24</v>
      </c>
      <c r="H6" s="5">
        <v>49168</v>
      </c>
      <c r="I6" s="5">
        <v>7787</v>
      </c>
      <c r="J6" s="6">
        <f t="shared" si="0"/>
        <v>41381</v>
      </c>
      <c r="L6" s="22">
        <v>242762</v>
      </c>
      <c r="M6" s="22" t="s">
        <v>10</v>
      </c>
      <c r="N6" s="22" t="s">
        <v>17</v>
      </c>
      <c r="O6" s="22" t="s">
        <v>23</v>
      </c>
      <c r="P6" s="22" t="s">
        <v>19</v>
      </c>
      <c r="Q6" s="22" t="s">
        <v>14</v>
      </c>
      <c r="R6" s="22" t="s">
        <v>15</v>
      </c>
      <c r="S6" s="22">
        <v>144244</v>
      </c>
      <c r="T6" s="22">
        <v>17669</v>
      </c>
      <c r="U6" s="22">
        <v>126575</v>
      </c>
      <c r="W6" s="68" t="s">
        <v>58</v>
      </c>
      <c r="X6" s="69">
        <v>66907.712765957447</v>
      </c>
    </row>
    <row r="7" spans="1:27">
      <c r="A7" s="5">
        <v>166315</v>
      </c>
      <c r="B7" s="5" t="s">
        <v>10</v>
      </c>
      <c r="C7" s="5" t="s">
        <v>22</v>
      </c>
      <c r="D7" s="5" t="s">
        <v>18</v>
      </c>
      <c r="E7" s="5" t="s">
        <v>13</v>
      </c>
      <c r="F7" s="5" t="s">
        <v>14</v>
      </c>
      <c r="G7" s="5" t="s">
        <v>15</v>
      </c>
      <c r="H7" s="5">
        <v>69092</v>
      </c>
      <c r="I7" s="5">
        <v>5472</v>
      </c>
      <c r="J7" s="6">
        <f t="shared" si="0"/>
        <v>63620</v>
      </c>
      <c r="L7" s="19">
        <v>238600</v>
      </c>
      <c r="M7" s="19" t="s">
        <v>10</v>
      </c>
      <c r="N7" s="19" t="s">
        <v>17</v>
      </c>
      <c r="O7" s="19" t="s">
        <v>23</v>
      </c>
      <c r="P7" s="19" t="s">
        <v>19</v>
      </c>
      <c r="Q7" s="19" t="s">
        <v>14</v>
      </c>
      <c r="R7" s="19" t="s">
        <v>15</v>
      </c>
      <c r="S7" s="19">
        <v>106932</v>
      </c>
      <c r="T7" s="19">
        <v>5285</v>
      </c>
      <c r="U7" s="19">
        <v>101647</v>
      </c>
      <c r="W7" s="60" t="s">
        <v>60</v>
      </c>
      <c r="X7" s="61">
        <v>3964.7812020926508</v>
      </c>
    </row>
    <row r="8" spans="1:27">
      <c r="A8" s="5">
        <v>60300</v>
      </c>
      <c r="B8" s="5" t="s">
        <v>10</v>
      </c>
      <c r="C8" s="5" t="s">
        <v>27</v>
      </c>
      <c r="D8" s="5" t="s">
        <v>12</v>
      </c>
      <c r="E8" s="5" t="s">
        <v>13</v>
      </c>
      <c r="F8" s="5" t="s">
        <v>28</v>
      </c>
      <c r="G8" s="5" t="s">
        <v>15</v>
      </c>
      <c r="H8" s="5">
        <v>94769</v>
      </c>
      <c r="I8" s="5">
        <v>838</v>
      </c>
      <c r="J8" s="6">
        <f t="shared" si="0"/>
        <v>93931</v>
      </c>
      <c r="L8" s="22">
        <v>86621</v>
      </c>
      <c r="M8" s="22" t="s">
        <v>10</v>
      </c>
      <c r="N8" s="22" t="s">
        <v>39</v>
      </c>
      <c r="O8" s="22" t="s">
        <v>23</v>
      </c>
      <c r="P8" s="22" t="s">
        <v>19</v>
      </c>
      <c r="Q8" s="22" t="s">
        <v>14</v>
      </c>
      <c r="R8" s="22" t="s">
        <v>24</v>
      </c>
      <c r="S8" s="22">
        <v>45319</v>
      </c>
      <c r="T8" s="22">
        <v>4715</v>
      </c>
      <c r="U8" s="22">
        <v>40604</v>
      </c>
      <c r="W8" s="60" t="s">
        <v>62</v>
      </c>
      <c r="X8" s="61">
        <v>60826</v>
      </c>
    </row>
    <row r="9" spans="1:27">
      <c r="A9" s="5">
        <v>251518</v>
      </c>
      <c r="B9" s="5" t="s">
        <v>10</v>
      </c>
      <c r="C9" s="5" t="s">
        <v>17</v>
      </c>
      <c r="D9" s="5" t="s">
        <v>23</v>
      </c>
      <c r="E9" s="5" t="s">
        <v>13</v>
      </c>
      <c r="F9" s="5" t="s">
        <v>14</v>
      </c>
      <c r="G9" s="5" t="s">
        <v>24</v>
      </c>
      <c r="H9" s="5">
        <v>43127</v>
      </c>
      <c r="I9" s="5">
        <v>136</v>
      </c>
      <c r="J9" s="6">
        <f t="shared" si="0"/>
        <v>42991</v>
      </c>
      <c r="L9" s="19">
        <v>98602</v>
      </c>
      <c r="M9" s="19" t="s">
        <v>10</v>
      </c>
      <c r="N9" s="19" t="s">
        <v>34</v>
      </c>
      <c r="O9" s="19" t="s">
        <v>23</v>
      </c>
      <c r="P9" s="19" t="s">
        <v>13</v>
      </c>
      <c r="Q9" s="19" t="s">
        <v>28</v>
      </c>
      <c r="R9" s="19" t="s">
        <v>24</v>
      </c>
      <c r="S9" s="19">
        <v>61386</v>
      </c>
      <c r="T9" s="19">
        <v>1007</v>
      </c>
      <c r="U9" s="19">
        <v>60379</v>
      </c>
      <c r="W9" s="60" t="s">
        <v>64</v>
      </c>
      <c r="X9" s="61"/>
    </row>
    <row r="10" spans="1:27">
      <c r="A10" s="5">
        <v>109650</v>
      </c>
      <c r="B10" s="5" t="s">
        <v>10</v>
      </c>
      <c r="C10" s="5" t="s">
        <v>22</v>
      </c>
      <c r="D10" s="5" t="s">
        <v>23</v>
      </c>
      <c r="E10" s="5" t="s">
        <v>19</v>
      </c>
      <c r="F10" s="5" t="s">
        <v>28</v>
      </c>
      <c r="G10" s="5" t="s">
        <v>15</v>
      </c>
      <c r="H10" s="5">
        <v>120743</v>
      </c>
      <c r="I10" s="5">
        <v>4363</v>
      </c>
      <c r="J10" s="6">
        <f t="shared" si="0"/>
        <v>116380</v>
      </c>
      <c r="L10" s="22">
        <v>41926</v>
      </c>
      <c r="M10" s="22" t="s">
        <v>10</v>
      </c>
      <c r="N10" s="22" t="s">
        <v>35</v>
      </c>
      <c r="O10" s="22" t="s">
        <v>23</v>
      </c>
      <c r="P10" s="22" t="s">
        <v>13</v>
      </c>
      <c r="Q10" s="22" t="s">
        <v>14</v>
      </c>
      <c r="R10" s="22" t="s">
        <v>15</v>
      </c>
      <c r="S10" s="22">
        <v>37523</v>
      </c>
      <c r="T10" s="22">
        <v>0</v>
      </c>
      <c r="U10" s="22">
        <v>37523</v>
      </c>
      <c r="W10" s="60" t="s">
        <v>66</v>
      </c>
      <c r="X10" s="61">
        <v>38439.979944894891</v>
      </c>
    </row>
    <row r="11" spans="1:27">
      <c r="A11" s="5">
        <v>67127</v>
      </c>
      <c r="B11" s="5" t="s">
        <v>10</v>
      </c>
      <c r="C11" s="5" t="s">
        <v>27</v>
      </c>
      <c r="D11" s="5" t="s">
        <v>29</v>
      </c>
      <c r="E11" s="5" t="s">
        <v>13</v>
      </c>
      <c r="F11" s="5" t="s">
        <v>14</v>
      </c>
      <c r="G11" s="5" t="s">
        <v>15</v>
      </c>
      <c r="H11" s="5">
        <v>105006</v>
      </c>
      <c r="I11" s="5">
        <v>891</v>
      </c>
      <c r="J11" s="6">
        <f t="shared" si="0"/>
        <v>104115</v>
      </c>
      <c r="L11" s="19">
        <v>228625</v>
      </c>
      <c r="M11" s="19" t="s">
        <v>10</v>
      </c>
      <c r="N11" s="19" t="s">
        <v>22</v>
      </c>
      <c r="O11" s="19" t="s">
        <v>23</v>
      </c>
      <c r="P11" s="19" t="s">
        <v>19</v>
      </c>
      <c r="Q11" s="19" t="s">
        <v>14</v>
      </c>
      <c r="R11" s="19" t="s">
        <v>15</v>
      </c>
      <c r="S11" s="19">
        <v>13399</v>
      </c>
      <c r="T11" s="19">
        <v>903</v>
      </c>
      <c r="U11" s="19">
        <v>12496</v>
      </c>
      <c r="W11" s="60" t="s">
        <v>68</v>
      </c>
      <c r="X11" s="61">
        <v>1477632058.1639214</v>
      </c>
    </row>
    <row r="12" spans="1:27">
      <c r="A12" s="5">
        <v>231743</v>
      </c>
      <c r="B12" s="5" t="s">
        <v>16</v>
      </c>
      <c r="C12" s="5" t="s">
        <v>17</v>
      </c>
      <c r="D12" s="5" t="s">
        <v>30</v>
      </c>
      <c r="E12" s="5" t="s">
        <v>13</v>
      </c>
      <c r="F12" s="5" t="s">
        <v>14</v>
      </c>
      <c r="G12" s="5" t="s">
        <v>24</v>
      </c>
      <c r="H12" s="5">
        <v>17427</v>
      </c>
      <c r="I12" s="5">
        <v>2405</v>
      </c>
      <c r="J12" s="6">
        <f t="shared" si="0"/>
        <v>15022</v>
      </c>
      <c r="L12" s="22">
        <v>3282</v>
      </c>
      <c r="M12" s="22" t="s">
        <v>10</v>
      </c>
      <c r="N12" s="22" t="s">
        <v>37</v>
      </c>
      <c r="O12" s="22" t="s">
        <v>23</v>
      </c>
      <c r="P12" s="22" t="s">
        <v>13</v>
      </c>
      <c r="Q12" s="22" t="s">
        <v>14</v>
      </c>
      <c r="R12" s="22" t="s">
        <v>15</v>
      </c>
      <c r="S12" s="22">
        <v>65209</v>
      </c>
      <c r="T12" s="22">
        <v>5368</v>
      </c>
      <c r="U12" s="22">
        <v>59841</v>
      </c>
      <c r="W12" s="60" t="s">
        <v>70</v>
      </c>
      <c r="X12" s="61">
        <v>1.1158696782520861</v>
      </c>
    </row>
    <row r="13" spans="1:27">
      <c r="A13" s="5">
        <v>179791</v>
      </c>
      <c r="B13" s="5" t="s">
        <v>10</v>
      </c>
      <c r="C13" s="5" t="s">
        <v>31</v>
      </c>
      <c r="D13" s="5" t="s">
        <v>32</v>
      </c>
      <c r="E13" s="5" t="s">
        <v>19</v>
      </c>
      <c r="F13" s="5" t="s">
        <v>14</v>
      </c>
      <c r="G13" s="5" t="s">
        <v>15</v>
      </c>
      <c r="H13" s="5">
        <v>329</v>
      </c>
      <c r="I13" s="5">
        <v>0</v>
      </c>
      <c r="J13" s="6">
        <f t="shared" si="0"/>
        <v>329</v>
      </c>
      <c r="L13" s="19">
        <v>162247</v>
      </c>
      <c r="M13" s="19" t="s">
        <v>10</v>
      </c>
      <c r="N13" s="19" t="s">
        <v>34</v>
      </c>
      <c r="O13" s="19" t="s">
        <v>23</v>
      </c>
      <c r="P13" s="19" t="s">
        <v>13</v>
      </c>
      <c r="Q13" s="19" t="s">
        <v>14</v>
      </c>
      <c r="R13" s="19" t="s">
        <v>15</v>
      </c>
      <c r="S13" s="19">
        <v>50419</v>
      </c>
      <c r="T13" s="19">
        <v>1508</v>
      </c>
      <c r="U13" s="19">
        <v>48911</v>
      </c>
      <c r="W13" s="60" t="s">
        <v>72</v>
      </c>
      <c r="X13" s="61">
        <v>0.93833234088327055</v>
      </c>
    </row>
    <row r="14" spans="1:27">
      <c r="A14" s="5">
        <v>167286</v>
      </c>
      <c r="B14" s="5" t="s">
        <v>10</v>
      </c>
      <c r="C14" s="5" t="s">
        <v>22</v>
      </c>
      <c r="D14" s="5" t="s">
        <v>26</v>
      </c>
      <c r="E14" s="5" t="s">
        <v>13</v>
      </c>
      <c r="F14" s="5" t="s">
        <v>14</v>
      </c>
      <c r="G14" s="5" t="s">
        <v>15</v>
      </c>
      <c r="H14" s="5">
        <v>90156</v>
      </c>
      <c r="I14" s="5">
        <v>159</v>
      </c>
      <c r="J14" s="6">
        <f t="shared" si="0"/>
        <v>89997</v>
      </c>
      <c r="L14" s="22">
        <v>66360</v>
      </c>
      <c r="M14" s="22" t="s">
        <v>10</v>
      </c>
      <c r="N14" s="22" t="s">
        <v>27</v>
      </c>
      <c r="O14" s="22" t="s">
        <v>23</v>
      </c>
      <c r="P14" s="22" t="s">
        <v>13</v>
      </c>
      <c r="Q14" s="22" t="s">
        <v>14</v>
      </c>
      <c r="R14" s="22" t="s">
        <v>24</v>
      </c>
      <c r="S14" s="22">
        <v>88783</v>
      </c>
      <c r="T14" s="22">
        <v>6099</v>
      </c>
      <c r="U14" s="22">
        <v>82684</v>
      </c>
      <c r="W14" s="60" t="s">
        <v>74</v>
      </c>
      <c r="X14" s="61">
        <v>191285</v>
      </c>
    </row>
    <row r="15" spans="1:27">
      <c r="A15" s="5">
        <v>242762</v>
      </c>
      <c r="B15" s="5" t="s">
        <v>10</v>
      </c>
      <c r="C15" s="5" t="s">
        <v>17</v>
      </c>
      <c r="D15" s="5" t="s">
        <v>23</v>
      </c>
      <c r="E15" s="5" t="s">
        <v>19</v>
      </c>
      <c r="F15" s="5" t="s">
        <v>14</v>
      </c>
      <c r="G15" s="5" t="s">
        <v>15</v>
      </c>
      <c r="H15" s="5">
        <v>144244</v>
      </c>
      <c r="I15" s="5">
        <v>17669</v>
      </c>
      <c r="J15" s="6">
        <f t="shared" si="0"/>
        <v>126575</v>
      </c>
      <c r="L15" s="19">
        <v>61572</v>
      </c>
      <c r="M15" s="19" t="s">
        <v>10</v>
      </c>
      <c r="N15" s="19" t="s">
        <v>27</v>
      </c>
      <c r="O15" s="19" t="s">
        <v>23</v>
      </c>
      <c r="P15" s="19" t="s">
        <v>13</v>
      </c>
      <c r="Q15" s="19" t="s">
        <v>14</v>
      </c>
      <c r="R15" s="19" t="s">
        <v>15</v>
      </c>
      <c r="S15" s="19">
        <v>111777</v>
      </c>
      <c r="T15" s="19">
        <v>10223</v>
      </c>
      <c r="U15" s="19">
        <v>101554</v>
      </c>
      <c r="W15" s="60" t="s">
        <v>75</v>
      </c>
      <c r="X15" s="61">
        <v>12195</v>
      </c>
    </row>
    <row r="16" spans="1:27">
      <c r="A16" s="5">
        <v>59709</v>
      </c>
      <c r="B16" s="5" t="s">
        <v>16</v>
      </c>
      <c r="C16" s="5" t="s">
        <v>27</v>
      </c>
      <c r="D16" s="5" t="s">
        <v>33</v>
      </c>
      <c r="E16" s="5" t="s">
        <v>13</v>
      </c>
      <c r="F16" s="5" t="s">
        <v>14</v>
      </c>
      <c r="G16" s="5" t="s">
        <v>15</v>
      </c>
      <c r="H16" s="5">
        <v>51006</v>
      </c>
      <c r="I16" s="5">
        <v>2868</v>
      </c>
      <c r="J16" s="6">
        <f t="shared" si="0"/>
        <v>48138</v>
      </c>
      <c r="L16" s="22">
        <v>247583</v>
      </c>
      <c r="M16" s="22" t="s">
        <v>16</v>
      </c>
      <c r="N16" s="22" t="s">
        <v>17</v>
      </c>
      <c r="O16" s="22" t="s">
        <v>23</v>
      </c>
      <c r="P16" s="22" t="s">
        <v>19</v>
      </c>
      <c r="Q16" s="22" t="s">
        <v>28</v>
      </c>
      <c r="R16" s="22" t="s">
        <v>15</v>
      </c>
      <c r="S16" s="22">
        <v>26704</v>
      </c>
      <c r="T16" s="22">
        <v>286</v>
      </c>
      <c r="U16" s="22">
        <v>26418</v>
      </c>
      <c r="W16" s="60" t="s">
        <v>76</v>
      </c>
      <c r="X16" s="61">
        <v>203480</v>
      </c>
    </row>
    <row r="17" spans="1:26">
      <c r="A17" s="5">
        <v>100739</v>
      </c>
      <c r="B17" s="5" t="s">
        <v>16</v>
      </c>
      <c r="C17" s="5" t="s">
        <v>34</v>
      </c>
      <c r="D17" s="5" t="s">
        <v>26</v>
      </c>
      <c r="E17" s="5" t="s">
        <v>13</v>
      </c>
      <c r="F17" s="5" t="s">
        <v>14</v>
      </c>
      <c r="G17" s="5" t="s">
        <v>24</v>
      </c>
      <c r="H17" s="5">
        <v>28047</v>
      </c>
      <c r="I17" s="5">
        <v>2486</v>
      </c>
      <c r="J17" s="6">
        <f t="shared" si="0"/>
        <v>25561</v>
      </c>
      <c r="L17" s="19">
        <v>100428</v>
      </c>
      <c r="M17" s="19" t="s">
        <v>10</v>
      </c>
      <c r="N17" s="19" t="s">
        <v>11</v>
      </c>
      <c r="O17" s="19" t="s">
        <v>23</v>
      </c>
      <c r="P17" s="19" t="s">
        <v>19</v>
      </c>
      <c r="Q17" s="19" t="s">
        <v>14</v>
      </c>
      <c r="R17" s="19" t="s">
        <v>24</v>
      </c>
      <c r="S17" s="19">
        <v>44018</v>
      </c>
      <c r="T17" s="19">
        <v>805</v>
      </c>
      <c r="U17" s="19">
        <v>43213</v>
      </c>
      <c r="W17" s="60" t="s">
        <v>77</v>
      </c>
      <c r="X17" s="61">
        <v>6289325</v>
      </c>
    </row>
    <row r="18" spans="1:26">
      <c r="A18" s="5">
        <v>246052</v>
      </c>
      <c r="B18" s="5" t="s">
        <v>16</v>
      </c>
      <c r="C18" s="5" t="s">
        <v>25</v>
      </c>
      <c r="D18" s="5" t="s">
        <v>21</v>
      </c>
      <c r="E18" s="5" t="s">
        <v>19</v>
      </c>
      <c r="F18" s="5" t="s">
        <v>14</v>
      </c>
      <c r="G18" s="5" t="s">
        <v>15</v>
      </c>
      <c r="H18" s="5">
        <v>58304</v>
      </c>
      <c r="I18" s="5">
        <v>5581</v>
      </c>
      <c r="J18" s="6">
        <f t="shared" si="0"/>
        <v>52723</v>
      </c>
      <c r="L18" s="22">
        <v>106184</v>
      </c>
      <c r="M18" s="22" t="s">
        <v>16</v>
      </c>
      <c r="N18" s="22" t="s">
        <v>22</v>
      </c>
      <c r="O18" s="22" t="s">
        <v>23</v>
      </c>
      <c r="P18" s="22" t="s">
        <v>13</v>
      </c>
      <c r="Q18" s="22" t="s">
        <v>14</v>
      </c>
      <c r="R18" s="22" t="s">
        <v>15</v>
      </c>
      <c r="S18" s="22">
        <v>61574</v>
      </c>
      <c r="T18" s="22">
        <v>305</v>
      </c>
      <c r="U18" s="22">
        <v>61269</v>
      </c>
      <c r="W18" s="60" t="s">
        <v>78</v>
      </c>
      <c r="X18" s="61">
        <v>94</v>
      </c>
    </row>
    <row r="19" spans="1:26">
      <c r="A19" s="5">
        <v>177001</v>
      </c>
      <c r="B19" s="5" t="s">
        <v>16</v>
      </c>
      <c r="C19" s="5" t="s">
        <v>25</v>
      </c>
      <c r="D19" s="5" t="s">
        <v>30</v>
      </c>
      <c r="E19" s="5" t="s">
        <v>19</v>
      </c>
      <c r="F19" s="5" t="s">
        <v>28</v>
      </c>
      <c r="G19" s="5" t="s">
        <v>15</v>
      </c>
      <c r="H19" s="5">
        <v>25172</v>
      </c>
      <c r="I19" s="5">
        <v>7850</v>
      </c>
      <c r="J19" s="6">
        <f t="shared" si="0"/>
        <v>17322</v>
      </c>
      <c r="L19" s="19">
        <v>114266</v>
      </c>
      <c r="M19" s="19" t="s">
        <v>10</v>
      </c>
      <c r="N19" s="19" t="s">
        <v>22</v>
      </c>
      <c r="O19" s="19" t="s">
        <v>23</v>
      </c>
      <c r="P19" s="19" t="s">
        <v>19</v>
      </c>
      <c r="Q19" s="19" t="s">
        <v>14</v>
      </c>
      <c r="R19" s="19" t="s">
        <v>15</v>
      </c>
      <c r="S19" s="19">
        <v>103899</v>
      </c>
      <c r="T19" s="19">
        <v>4277</v>
      </c>
      <c r="U19" s="19">
        <v>99622</v>
      </c>
      <c r="W19" s="75" t="s">
        <v>102</v>
      </c>
      <c r="X19" s="76">
        <v>7873.2697045997938</v>
      </c>
      <c r="Y19" t="s">
        <v>103</v>
      </c>
    </row>
    <row r="20" spans="1:26">
      <c r="A20" s="5">
        <v>45835</v>
      </c>
      <c r="B20" s="5" t="s">
        <v>10</v>
      </c>
      <c r="C20" s="5" t="s">
        <v>35</v>
      </c>
      <c r="D20" s="5" t="s">
        <v>36</v>
      </c>
      <c r="E20" s="5" t="s">
        <v>13</v>
      </c>
      <c r="F20" s="5" t="s">
        <v>14</v>
      </c>
      <c r="G20" s="5" t="s">
        <v>15</v>
      </c>
      <c r="H20" s="5">
        <v>51530</v>
      </c>
      <c r="I20" s="5">
        <v>10087</v>
      </c>
      <c r="J20" s="6">
        <f t="shared" si="0"/>
        <v>41443</v>
      </c>
      <c r="L20" s="22">
        <v>10357</v>
      </c>
      <c r="M20" s="22" t="s">
        <v>10</v>
      </c>
      <c r="N20" s="22" t="s">
        <v>11</v>
      </c>
      <c r="O20" s="22" t="s">
        <v>23</v>
      </c>
      <c r="P20" s="22" t="s">
        <v>19</v>
      </c>
      <c r="Q20" s="22" t="s">
        <v>14</v>
      </c>
      <c r="R20" s="22" t="s">
        <v>15</v>
      </c>
      <c r="S20" s="22">
        <v>81088</v>
      </c>
      <c r="T20" s="22">
        <v>1995</v>
      </c>
      <c r="U20" s="22">
        <v>79093</v>
      </c>
      <c r="W20" s="71" t="s">
        <v>104</v>
      </c>
      <c r="X20" s="72">
        <f>X6+X19</f>
        <v>74780.982470557239</v>
      </c>
      <c r="Y20" t="str">
        <f ca="1">_xlfn.FORMULATEXT(X20)</f>
        <v>=X6+X19</v>
      </c>
    </row>
    <row r="21" spans="1:26">
      <c r="A21" s="5">
        <v>189155</v>
      </c>
      <c r="B21" s="5" t="s">
        <v>10</v>
      </c>
      <c r="C21" s="5" t="s">
        <v>37</v>
      </c>
      <c r="D21" s="5" t="s">
        <v>32</v>
      </c>
      <c r="E21" s="5" t="s">
        <v>19</v>
      </c>
      <c r="F21" s="5" t="s">
        <v>14</v>
      </c>
      <c r="G21" s="5" t="s">
        <v>15</v>
      </c>
      <c r="H21" s="5">
        <v>201030</v>
      </c>
      <c r="I21" s="5">
        <v>7536</v>
      </c>
      <c r="J21" s="6">
        <f t="shared" si="0"/>
        <v>193494</v>
      </c>
      <c r="L21" s="19">
        <v>25227</v>
      </c>
      <c r="M21" s="19" t="s">
        <v>10</v>
      </c>
      <c r="N21" s="19" t="s">
        <v>35</v>
      </c>
      <c r="O21" s="19" t="s">
        <v>23</v>
      </c>
      <c r="P21" s="19" t="s">
        <v>13</v>
      </c>
      <c r="Q21" s="19" t="s">
        <v>14</v>
      </c>
      <c r="R21" s="19" t="s">
        <v>15</v>
      </c>
      <c r="S21" s="19">
        <v>81360</v>
      </c>
      <c r="T21" s="19">
        <v>2869</v>
      </c>
      <c r="U21" s="19">
        <v>78491</v>
      </c>
      <c r="W21" s="71" t="s">
        <v>105</v>
      </c>
      <c r="X21" s="72">
        <f>X6-X19</f>
        <v>59034.443061357655</v>
      </c>
      <c r="Y21" t="str">
        <f ca="1">_xlfn.FORMULATEXT(X21)</f>
        <v>=X6-X19</v>
      </c>
    </row>
    <row r="22" spans="1:26">
      <c r="A22" s="5">
        <v>7156</v>
      </c>
      <c r="B22" s="5" t="s">
        <v>10</v>
      </c>
      <c r="C22" s="5" t="s">
        <v>38</v>
      </c>
      <c r="D22" s="5" t="s">
        <v>30</v>
      </c>
      <c r="E22" s="5" t="s">
        <v>13</v>
      </c>
      <c r="F22" s="5" t="s">
        <v>14</v>
      </c>
      <c r="G22" s="5" t="s">
        <v>15</v>
      </c>
      <c r="H22" s="5">
        <v>106667</v>
      </c>
      <c r="I22" s="5">
        <v>1418</v>
      </c>
      <c r="J22" s="6">
        <f t="shared" si="0"/>
        <v>105249</v>
      </c>
      <c r="L22" s="22">
        <v>108698</v>
      </c>
      <c r="M22" s="22" t="s">
        <v>10</v>
      </c>
      <c r="N22" s="22" t="s">
        <v>39</v>
      </c>
      <c r="O22" s="22" t="s">
        <v>23</v>
      </c>
      <c r="P22" s="22" t="s">
        <v>13</v>
      </c>
      <c r="Q22" s="22" t="s">
        <v>14</v>
      </c>
      <c r="R22" s="22" t="s">
        <v>24</v>
      </c>
      <c r="S22" s="22">
        <v>81081</v>
      </c>
      <c r="T22" s="22">
        <v>5429</v>
      </c>
      <c r="U22" s="22">
        <v>75652</v>
      </c>
    </row>
    <row r="23" spans="1:26">
      <c r="A23" s="5">
        <v>238600</v>
      </c>
      <c r="B23" s="5" t="s">
        <v>10</v>
      </c>
      <c r="C23" s="5" t="s">
        <v>17</v>
      </c>
      <c r="D23" s="5" t="s">
        <v>23</v>
      </c>
      <c r="E23" s="5" t="s">
        <v>19</v>
      </c>
      <c r="F23" s="5" t="s">
        <v>14</v>
      </c>
      <c r="G23" s="5" t="s">
        <v>15</v>
      </c>
      <c r="H23" s="5">
        <v>106932</v>
      </c>
      <c r="I23" s="5">
        <v>5285</v>
      </c>
      <c r="J23" s="6">
        <f t="shared" si="0"/>
        <v>101647</v>
      </c>
      <c r="L23" s="19">
        <v>92139</v>
      </c>
      <c r="M23" s="19" t="s">
        <v>10</v>
      </c>
      <c r="N23" s="19" t="s">
        <v>34</v>
      </c>
      <c r="O23" s="19" t="s">
        <v>23</v>
      </c>
      <c r="P23" s="19" t="s">
        <v>13</v>
      </c>
      <c r="Q23" s="19" t="s">
        <v>14</v>
      </c>
      <c r="R23" s="19" t="s">
        <v>15</v>
      </c>
      <c r="S23" s="19">
        <v>204950</v>
      </c>
      <c r="T23" s="19">
        <v>1470</v>
      </c>
      <c r="U23" s="19">
        <v>203480</v>
      </c>
    </row>
    <row r="24" spans="1:26">
      <c r="A24" s="5">
        <v>28041</v>
      </c>
      <c r="B24" s="5" t="s">
        <v>16</v>
      </c>
      <c r="C24" s="5" t="s">
        <v>11</v>
      </c>
      <c r="D24" s="5" t="s">
        <v>33</v>
      </c>
      <c r="E24" s="5" t="s">
        <v>13</v>
      </c>
      <c r="F24" s="5" t="s">
        <v>28</v>
      </c>
      <c r="G24" s="5" t="s">
        <v>15</v>
      </c>
      <c r="H24" s="5">
        <v>71962</v>
      </c>
      <c r="I24" s="5">
        <v>344</v>
      </c>
      <c r="J24" s="6">
        <f t="shared" si="0"/>
        <v>71618</v>
      </c>
      <c r="L24" s="22">
        <v>124344</v>
      </c>
      <c r="M24" s="22" t="s">
        <v>10</v>
      </c>
      <c r="N24" s="22" t="s">
        <v>35</v>
      </c>
      <c r="O24" s="22" t="s">
        <v>23</v>
      </c>
      <c r="P24" s="22" t="s">
        <v>13</v>
      </c>
      <c r="Q24" s="22" t="s">
        <v>14</v>
      </c>
      <c r="R24" s="22" t="s">
        <v>24</v>
      </c>
      <c r="S24" s="22">
        <v>99883</v>
      </c>
      <c r="T24" s="22">
        <v>10904</v>
      </c>
      <c r="U24" s="22">
        <v>88979</v>
      </c>
    </row>
    <row r="25" spans="1:26" ht="18.95" thickBot="1">
      <c r="A25" s="5">
        <v>203234</v>
      </c>
      <c r="B25" s="5" t="s">
        <v>10</v>
      </c>
      <c r="C25" s="5" t="s">
        <v>39</v>
      </c>
      <c r="D25" s="5" t="s">
        <v>32</v>
      </c>
      <c r="E25" s="5" t="s">
        <v>13</v>
      </c>
      <c r="F25" s="5" t="s">
        <v>14</v>
      </c>
      <c r="G25" s="5" t="s">
        <v>15</v>
      </c>
      <c r="H25" s="5">
        <v>26386</v>
      </c>
      <c r="I25" s="5">
        <v>6624</v>
      </c>
      <c r="J25" s="6">
        <f t="shared" si="0"/>
        <v>19762</v>
      </c>
      <c r="L25" s="19">
        <v>197070</v>
      </c>
      <c r="M25" s="19" t="s">
        <v>10</v>
      </c>
      <c r="N25" s="19" t="s">
        <v>35</v>
      </c>
      <c r="O25" s="19" t="s">
        <v>23</v>
      </c>
      <c r="P25" s="19" t="s">
        <v>13</v>
      </c>
      <c r="Q25" s="19" t="s">
        <v>14</v>
      </c>
      <c r="R25" s="19" t="s">
        <v>15</v>
      </c>
      <c r="S25" s="19">
        <v>67726</v>
      </c>
      <c r="T25" s="19">
        <v>3212</v>
      </c>
      <c r="U25" s="19">
        <v>64514</v>
      </c>
      <c r="W25" s="62" t="s">
        <v>106</v>
      </c>
      <c r="X25" s="63"/>
      <c r="Z25" s="66" t="s">
        <v>100</v>
      </c>
    </row>
    <row r="26" spans="1:26">
      <c r="A26" s="5">
        <v>122913</v>
      </c>
      <c r="B26" s="5" t="s">
        <v>16</v>
      </c>
      <c r="C26" s="5" t="s">
        <v>25</v>
      </c>
      <c r="D26" s="5" t="s">
        <v>21</v>
      </c>
      <c r="E26" s="5" t="s">
        <v>19</v>
      </c>
      <c r="F26" s="5" t="s">
        <v>28</v>
      </c>
      <c r="G26" s="5" t="s">
        <v>24</v>
      </c>
      <c r="H26" s="5">
        <v>7089</v>
      </c>
      <c r="I26" s="5">
        <v>0</v>
      </c>
      <c r="J26" s="6">
        <f t="shared" si="0"/>
        <v>7089</v>
      </c>
      <c r="L26" s="22">
        <v>230492</v>
      </c>
      <c r="M26" s="22" t="s">
        <v>10</v>
      </c>
      <c r="N26" s="22" t="s">
        <v>22</v>
      </c>
      <c r="O26" s="22" t="s">
        <v>23</v>
      </c>
      <c r="P26" s="22" t="s">
        <v>13</v>
      </c>
      <c r="Q26" s="22" t="s">
        <v>14</v>
      </c>
      <c r="R26" s="22" t="s">
        <v>24</v>
      </c>
      <c r="S26" s="22">
        <v>44467</v>
      </c>
      <c r="T26" s="22">
        <v>4635</v>
      </c>
      <c r="U26" s="22">
        <v>39832</v>
      </c>
      <c r="W26" s="27" t="s">
        <v>8</v>
      </c>
      <c r="X26" s="27"/>
      <c r="Z26" s="67" t="s">
        <v>95</v>
      </c>
    </row>
    <row r="27" spans="1:26">
      <c r="A27" s="5">
        <v>163859</v>
      </c>
      <c r="B27" s="5" t="s">
        <v>10</v>
      </c>
      <c r="C27" s="5" t="s">
        <v>22</v>
      </c>
      <c r="D27" s="5" t="s">
        <v>26</v>
      </c>
      <c r="E27" s="5" t="s">
        <v>13</v>
      </c>
      <c r="F27" s="5" t="s">
        <v>14</v>
      </c>
      <c r="G27" s="5" t="s">
        <v>24</v>
      </c>
      <c r="H27" s="5">
        <v>53285</v>
      </c>
      <c r="I27" s="5">
        <v>5265</v>
      </c>
      <c r="J27" s="6">
        <f t="shared" si="0"/>
        <v>48020</v>
      </c>
      <c r="L27" s="19">
        <v>129487</v>
      </c>
      <c r="M27" s="19" t="s">
        <v>10</v>
      </c>
      <c r="N27" s="19" t="s">
        <v>22</v>
      </c>
      <c r="O27" s="19" t="s">
        <v>23</v>
      </c>
      <c r="P27" s="19" t="s">
        <v>13</v>
      </c>
      <c r="Q27" s="19" t="s">
        <v>14</v>
      </c>
      <c r="R27" s="19" t="s">
        <v>24</v>
      </c>
      <c r="S27" s="19">
        <v>75608</v>
      </c>
      <c r="T27" s="19">
        <v>0</v>
      </c>
      <c r="U27" s="19">
        <v>75608</v>
      </c>
      <c r="Z27" s="74">
        <v>2594.1454898869283</v>
      </c>
    </row>
    <row r="28" spans="1:26">
      <c r="A28" s="5">
        <v>86621</v>
      </c>
      <c r="B28" s="5" t="s">
        <v>10</v>
      </c>
      <c r="C28" s="5" t="s">
        <v>39</v>
      </c>
      <c r="D28" s="5" t="s">
        <v>23</v>
      </c>
      <c r="E28" s="5" t="s">
        <v>19</v>
      </c>
      <c r="F28" s="5" t="s">
        <v>14</v>
      </c>
      <c r="G28" s="5" t="s">
        <v>24</v>
      </c>
      <c r="H28" s="5">
        <v>45319</v>
      </c>
      <c r="I28" s="5">
        <v>4715</v>
      </c>
      <c r="J28" s="6">
        <f t="shared" si="0"/>
        <v>40604</v>
      </c>
      <c r="L28" s="22">
        <v>59619</v>
      </c>
      <c r="M28" s="22" t="s">
        <v>10</v>
      </c>
      <c r="N28" s="22" t="s">
        <v>27</v>
      </c>
      <c r="O28" s="22" t="s">
        <v>23</v>
      </c>
      <c r="P28" s="22" t="s">
        <v>13</v>
      </c>
      <c r="Q28" s="22" t="s">
        <v>28</v>
      </c>
      <c r="R28" s="22" t="s">
        <v>15</v>
      </c>
      <c r="S28" s="22">
        <v>31422</v>
      </c>
      <c r="T28" s="22">
        <v>3236</v>
      </c>
      <c r="U28" s="22">
        <v>28186</v>
      </c>
      <c r="W28" s="52" t="s">
        <v>58</v>
      </c>
      <c r="X28" s="52">
        <v>2450.1759999999999</v>
      </c>
    </row>
    <row r="29" spans="1:26">
      <c r="A29" s="5">
        <v>176823</v>
      </c>
      <c r="B29" s="5" t="s">
        <v>16</v>
      </c>
      <c r="C29" s="5" t="s">
        <v>25</v>
      </c>
      <c r="D29" s="5" t="s">
        <v>30</v>
      </c>
      <c r="E29" s="5" t="s">
        <v>13</v>
      </c>
      <c r="F29" s="5" t="s">
        <v>14</v>
      </c>
      <c r="G29" s="5" t="s">
        <v>15</v>
      </c>
      <c r="H29" s="5">
        <v>34603</v>
      </c>
      <c r="I29" s="5">
        <v>3567</v>
      </c>
      <c r="J29" s="6">
        <f t="shared" si="0"/>
        <v>31036</v>
      </c>
      <c r="L29" s="19">
        <v>181976</v>
      </c>
      <c r="M29" s="19" t="s">
        <v>10</v>
      </c>
      <c r="N29" s="19" t="s">
        <v>38</v>
      </c>
      <c r="O29" s="19" t="s">
        <v>23</v>
      </c>
      <c r="P29" s="19" t="s">
        <v>13</v>
      </c>
      <c r="Q29" s="19" t="s">
        <v>14</v>
      </c>
      <c r="R29" s="19" t="s">
        <v>15</v>
      </c>
      <c r="S29" s="19">
        <v>108891</v>
      </c>
      <c r="T29" s="19">
        <v>323</v>
      </c>
      <c r="U29" s="19">
        <v>108568</v>
      </c>
      <c r="W29" t="s">
        <v>60</v>
      </c>
      <c r="X29">
        <v>156.73446570478288</v>
      </c>
    </row>
    <row r="30" spans="1:26">
      <c r="A30" s="5">
        <v>27050</v>
      </c>
      <c r="B30" s="5" t="s">
        <v>16</v>
      </c>
      <c r="C30" s="5" t="s">
        <v>35</v>
      </c>
      <c r="D30" s="5" t="s">
        <v>33</v>
      </c>
      <c r="E30" s="5" t="s">
        <v>13</v>
      </c>
      <c r="F30" s="5" t="s">
        <v>14</v>
      </c>
      <c r="G30" s="5" t="s">
        <v>15</v>
      </c>
      <c r="H30" s="5">
        <v>18824</v>
      </c>
      <c r="I30" s="5">
        <v>371</v>
      </c>
      <c r="J30" s="6">
        <f t="shared" si="0"/>
        <v>18453</v>
      </c>
      <c r="L30" s="22">
        <v>225301</v>
      </c>
      <c r="M30" s="22" t="s">
        <v>10</v>
      </c>
      <c r="N30" s="22" t="s">
        <v>17</v>
      </c>
      <c r="O30" s="22" t="s">
        <v>23</v>
      </c>
      <c r="P30" s="22" t="s">
        <v>19</v>
      </c>
      <c r="Q30" s="22" t="s">
        <v>14</v>
      </c>
      <c r="R30" s="22" t="s">
        <v>24</v>
      </c>
      <c r="S30" s="22">
        <v>58779</v>
      </c>
      <c r="T30" s="22">
        <v>6053</v>
      </c>
      <c r="U30" s="22">
        <v>52726</v>
      </c>
      <c r="W30" t="s">
        <v>62</v>
      </c>
      <c r="X30">
        <v>751</v>
      </c>
    </row>
    <row r="31" spans="1:26">
      <c r="A31" s="5">
        <v>94969</v>
      </c>
      <c r="B31" s="5" t="s">
        <v>10</v>
      </c>
      <c r="C31" s="5" t="s">
        <v>39</v>
      </c>
      <c r="D31" s="5" t="s">
        <v>32</v>
      </c>
      <c r="E31" s="5" t="s">
        <v>19</v>
      </c>
      <c r="F31" s="5" t="s">
        <v>14</v>
      </c>
      <c r="G31" s="5" t="s">
        <v>24</v>
      </c>
      <c r="H31" s="5">
        <v>25568</v>
      </c>
      <c r="I31" s="5">
        <v>0</v>
      </c>
      <c r="J31" s="6">
        <f t="shared" si="0"/>
        <v>25568</v>
      </c>
      <c r="L31" s="19">
        <v>255464</v>
      </c>
      <c r="M31" s="19" t="s">
        <v>10</v>
      </c>
      <c r="N31" s="19" t="s">
        <v>25</v>
      </c>
      <c r="O31" s="19" t="s">
        <v>23</v>
      </c>
      <c r="P31" s="19" t="s">
        <v>19</v>
      </c>
      <c r="Q31" s="19" t="s">
        <v>14</v>
      </c>
      <c r="R31" s="19" t="s">
        <v>24</v>
      </c>
      <c r="S31" s="19">
        <v>53378</v>
      </c>
      <c r="T31" s="19">
        <v>1391</v>
      </c>
      <c r="U31" s="19">
        <v>51987</v>
      </c>
      <c r="W31" t="s">
        <v>64</v>
      </c>
      <c r="X31">
        <v>0</v>
      </c>
    </row>
    <row r="32" spans="1:26">
      <c r="A32" s="5">
        <v>26499</v>
      </c>
      <c r="B32" s="5" t="s">
        <v>16</v>
      </c>
      <c r="C32" s="5" t="s">
        <v>34</v>
      </c>
      <c r="D32" s="5" t="s">
        <v>12</v>
      </c>
      <c r="E32" s="5" t="s">
        <v>19</v>
      </c>
      <c r="F32" s="5" t="s">
        <v>14</v>
      </c>
      <c r="G32" s="5" t="s">
        <v>15</v>
      </c>
      <c r="H32" s="5">
        <v>80751</v>
      </c>
      <c r="I32" s="5">
        <v>160</v>
      </c>
      <c r="J32" s="6">
        <f t="shared" si="0"/>
        <v>80591</v>
      </c>
      <c r="L32" s="22">
        <v>106980</v>
      </c>
      <c r="M32" s="22" t="s">
        <v>10</v>
      </c>
      <c r="N32" s="22" t="s">
        <v>25</v>
      </c>
      <c r="O32" s="22" t="s">
        <v>23</v>
      </c>
      <c r="P32" s="22" t="s">
        <v>13</v>
      </c>
      <c r="Q32" s="22" t="s">
        <v>14</v>
      </c>
      <c r="R32" s="22" t="s">
        <v>24</v>
      </c>
      <c r="S32" s="22">
        <v>92204</v>
      </c>
      <c r="T32" s="22">
        <v>0</v>
      </c>
      <c r="U32" s="22">
        <v>92204</v>
      </c>
      <c r="W32" t="s">
        <v>66</v>
      </c>
      <c r="X32">
        <v>4956.3789947666191</v>
      </c>
    </row>
    <row r="33" spans="1:25">
      <c r="A33" s="5">
        <v>118096</v>
      </c>
      <c r="B33" s="5" t="s">
        <v>10</v>
      </c>
      <c r="C33" s="5" t="s">
        <v>31</v>
      </c>
      <c r="D33" s="5" t="s">
        <v>36</v>
      </c>
      <c r="E33" s="5" t="s">
        <v>19</v>
      </c>
      <c r="F33" s="5" t="s">
        <v>14</v>
      </c>
      <c r="G33" s="5" t="s">
        <v>24</v>
      </c>
      <c r="H33" s="5">
        <v>32117</v>
      </c>
      <c r="I33" s="5">
        <v>1063</v>
      </c>
      <c r="J33" s="6">
        <f t="shared" si="0"/>
        <v>31054</v>
      </c>
      <c r="L33" s="19">
        <v>119636</v>
      </c>
      <c r="M33" s="19" t="s">
        <v>10</v>
      </c>
      <c r="N33" s="19" t="s">
        <v>27</v>
      </c>
      <c r="O33" s="19" t="s">
        <v>23</v>
      </c>
      <c r="P33" s="19" t="s">
        <v>19</v>
      </c>
      <c r="Q33" s="19" t="s">
        <v>28</v>
      </c>
      <c r="R33" s="19" t="s">
        <v>15</v>
      </c>
      <c r="S33" s="19">
        <v>87820</v>
      </c>
      <c r="T33" s="19">
        <v>0</v>
      </c>
      <c r="U33" s="19">
        <v>87820</v>
      </c>
      <c r="W33" t="s">
        <v>68</v>
      </c>
      <c r="X33">
        <v>24565692.739763767</v>
      </c>
    </row>
    <row r="34" spans="1:25">
      <c r="A34" s="5">
        <v>179586</v>
      </c>
      <c r="B34" s="5" t="s">
        <v>16</v>
      </c>
      <c r="C34" s="5" t="s">
        <v>17</v>
      </c>
      <c r="D34" s="5" t="s">
        <v>36</v>
      </c>
      <c r="E34" s="5" t="s">
        <v>19</v>
      </c>
      <c r="F34" s="5" t="s">
        <v>14</v>
      </c>
      <c r="G34" s="5" t="s">
        <v>24</v>
      </c>
      <c r="H34" s="5">
        <v>42233</v>
      </c>
      <c r="I34" s="5">
        <v>1607</v>
      </c>
      <c r="J34" s="6">
        <f t="shared" si="0"/>
        <v>40626</v>
      </c>
      <c r="L34" s="22">
        <v>93846</v>
      </c>
      <c r="M34" s="22" t="s">
        <v>10</v>
      </c>
      <c r="N34" s="22" t="s">
        <v>39</v>
      </c>
      <c r="O34" s="22" t="s">
        <v>23</v>
      </c>
      <c r="P34" s="22" t="s">
        <v>13</v>
      </c>
      <c r="Q34" s="22" t="s">
        <v>14</v>
      </c>
      <c r="R34" s="22" t="s">
        <v>15</v>
      </c>
      <c r="S34" s="22">
        <v>45731</v>
      </c>
      <c r="T34" s="22">
        <v>243</v>
      </c>
      <c r="U34" s="22">
        <v>45488</v>
      </c>
      <c r="W34" t="s">
        <v>70</v>
      </c>
      <c r="X34">
        <v>34.236863965951898</v>
      </c>
    </row>
    <row r="35" spans="1:25">
      <c r="A35" s="5">
        <v>139323</v>
      </c>
      <c r="B35" s="5" t="s">
        <v>10</v>
      </c>
      <c r="C35" s="5" t="s">
        <v>25</v>
      </c>
      <c r="D35" s="5" t="s">
        <v>32</v>
      </c>
      <c r="E35" s="5" t="s">
        <v>19</v>
      </c>
      <c r="F35" s="5" t="s">
        <v>14</v>
      </c>
      <c r="G35" s="5" t="s">
        <v>24</v>
      </c>
      <c r="H35" s="5">
        <v>25564</v>
      </c>
      <c r="I35" s="5">
        <v>0</v>
      </c>
      <c r="J35" s="6">
        <f t="shared" si="0"/>
        <v>25564</v>
      </c>
      <c r="L35" s="19">
        <v>15439</v>
      </c>
      <c r="M35" s="19" t="s">
        <v>10</v>
      </c>
      <c r="N35" s="19" t="s">
        <v>11</v>
      </c>
      <c r="O35" s="19" t="s">
        <v>23</v>
      </c>
      <c r="P35" s="19" t="s">
        <v>13</v>
      </c>
      <c r="Q35" s="19" t="s">
        <v>14</v>
      </c>
      <c r="R35" s="19" t="s">
        <v>24</v>
      </c>
      <c r="S35" s="19">
        <v>68022</v>
      </c>
      <c r="T35" s="19">
        <v>553</v>
      </c>
      <c r="U35" s="19">
        <v>67469</v>
      </c>
      <c r="W35" t="s">
        <v>72</v>
      </c>
      <c r="X35">
        <v>4.9566857820920589</v>
      </c>
    </row>
    <row r="36" spans="1:25">
      <c r="A36" s="5">
        <v>125391</v>
      </c>
      <c r="B36" s="5" t="s">
        <v>10</v>
      </c>
      <c r="C36" s="5" t="s">
        <v>31</v>
      </c>
      <c r="D36" s="5" t="s">
        <v>18</v>
      </c>
      <c r="E36" s="5" t="s">
        <v>19</v>
      </c>
      <c r="F36" s="5" t="s">
        <v>14</v>
      </c>
      <c r="G36" s="5" t="s">
        <v>15</v>
      </c>
      <c r="H36" s="5">
        <v>25716</v>
      </c>
      <c r="I36" s="5">
        <v>2608</v>
      </c>
      <c r="J36" s="6">
        <f t="shared" si="0"/>
        <v>23108</v>
      </c>
      <c r="L36" s="22">
        <v>138220</v>
      </c>
      <c r="M36" s="22" t="s">
        <v>16</v>
      </c>
      <c r="N36" s="22" t="s">
        <v>25</v>
      </c>
      <c r="O36" s="22" t="s">
        <v>23</v>
      </c>
      <c r="P36" s="22" t="s">
        <v>19</v>
      </c>
      <c r="Q36" s="22" t="s">
        <v>14</v>
      </c>
      <c r="R36" s="22" t="s">
        <v>15</v>
      </c>
      <c r="S36" s="22">
        <v>50117</v>
      </c>
      <c r="T36" s="22">
        <v>1579</v>
      </c>
      <c r="U36" s="22">
        <v>48538</v>
      </c>
      <c r="W36" t="s">
        <v>74</v>
      </c>
      <c r="X36">
        <v>56551</v>
      </c>
    </row>
    <row r="37" spans="1:25">
      <c r="A37" s="5">
        <v>196524</v>
      </c>
      <c r="B37" s="5" t="s">
        <v>10</v>
      </c>
      <c r="C37" s="5" t="s">
        <v>11</v>
      </c>
      <c r="D37" s="5" t="s">
        <v>12</v>
      </c>
      <c r="E37" s="5" t="s">
        <v>13</v>
      </c>
      <c r="F37" s="5" t="s">
        <v>14</v>
      </c>
      <c r="G37" s="5" t="s">
        <v>15</v>
      </c>
      <c r="H37" s="5">
        <v>50038</v>
      </c>
      <c r="I37" s="5">
        <v>282</v>
      </c>
      <c r="J37" s="6">
        <f t="shared" si="0"/>
        <v>49756</v>
      </c>
      <c r="L37" s="19">
        <v>225363</v>
      </c>
      <c r="M37" s="19" t="s">
        <v>10</v>
      </c>
      <c r="N37" s="19" t="s">
        <v>25</v>
      </c>
      <c r="O37" s="19" t="s">
        <v>23</v>
      </c>
      <c r="P37" s="19" t="s">
        <v>13</v>
      </c>
      <c r="Q37" s="19" t="s">
        <v>28</v>
      </c>
      <c r="R37" s="19" t="s">
        <v>24</v>
      </c>
      <c r="S37" s="19">
        <v>52404</v>
      </c>
      <c r="T37" s="19">
        <v>2907</v>
      </c>
      <c r="U37" s="19">
        <v>49497</v>
      </c>
      <c r="W37" t="s">
        <v>75</v>
      </c>
      <c r="X37">
        <v>0</v>
      </c>
    </row>
    <row r="38" spans="1:25">
      <c r="A38" s="5">
        <v>240294</v>
      </c>
      <c r="B38" s="5" t="s">
        <v>10</v>
      </c>
      <c r="C38" s="5" t="s">
        <v>25</v>
      </c>
      <c r="D38" s="5" t="s">
        <v>36</v>
      </c>
      <c r="E38" s="5" t="s">
        <v>19</v>
      </c>
      <c r="F38" s="5" t="s">
        <v>28</v>
      </c>
      <c r="G38" s="5" t="s">
        <v>24</v>
      </c>
      <c r="H38" s="5">
        <v>19124</v>
      </c>
      <c r="I38" s="5">
        <v>0</v>
      </c>
      <c r="J38" s="6">
        <f t="shared" si="0"/>
        <v>19124</v>
      </c>
      <c r="L38" s="22">
        <v>5070</v>
      </c>
      <c r="M38" s="22" t="s">
        <v>16</v>
      </c>
      <c r="N38" s="22" t="s">
        <v>37</v>
      </c>
      <c r="O38" s="22" t="s">
        <v>23</v>
      </c>
      <c r="P38" s="22" t="s">
        <v>13</v>
      </c>
      <c r="Q38" s="22" t="s">
        <v>14</v>
      </c>
      <c r="R38" s="22" t="s">
        <v>24</v>
      </c>
      <c r="S38" s="22">
        <v>15171</v>
      </c>
      <c r="T38" s="22">
        <v>1358</v>
      </c>
      <c r="U38" s="22">
        <v>13813</v>
      </c>
      <c r="W38" t="s">
        <v>76</v>
      </c>
      <c r="X38">
        <v>56551</v>
      </c>
    </row>
    <row r="39" spans="1:25">
      <c r="A39" s="5">
        <v>189610</v>
      </c>
      <c r="B39" s="5" t="s">
        <v>10</v>
      </c>
      <c r="C39" s="5" t="s">
        <v>37</v>
      </c>
      <c r="D39" s="5" t="s">
        <v>30</v>
      </c>
      <c r="E39" s="5" t="s">
        <v>13</v>
      </c>
      <c r="F39" s="5" t="s">
        <v>14</v>
      </c>
      <c r="G39" s="5" t="s">
        <v>15</v>
      </c>
      <c r="H39" s="5">
        <v>665612</v>
      </c>
      <c r="I39" s="5">
        <v>1952</v>
      </c>
      <c r="J39" s="6">
        <f t="shared" si="0"/>
        <v>663660</v>
      </c>
      <c r="L39" s="19">
        <v>228842</v>
      </c>
      <c r="M39" s="19" t="s">
        <v>10</v>
      </c>
      <c r="N39" s="19" t="s">
        <v>22</v>
      </c>
      <c r="O39" s="19" t="s">
        <v>23</v>
      </c>
      <c r="P39" s="19" t="s">
        <v>19</v>
      </c>
      <c r="Q39" s="19" t="s">
        <v>14</v>
      </c>
      <c r="R39" s="19" t="s">
        <v>24</v>
      </c>
      <c r="S39" s="19">
        <v>76166</v>
      </c>
      <c r="T39" s="19">
        <v>1318</v>
      </c>
      <c r="U39" s="19">
        <v>74848</v>
      </c>
      <c r="W39" t="s">
        <v>77</v>
      </c>
      <c r="X39">
        <v>2450176</v>
      </c>
    </row>
    <row r="40" spans="1:25">
      <c r="A40" s="5">
        <v>256331</v>
      </c>
      <c r="B40" s="5" t="s">
        <v>16</v>
      </c>
      <c r="C40" s="5" t="s">
        <v>17</v>
      </c>
      <c r="D40" s="5" t="s">
        <v>18</v>
      </c>
      <c r="E40" s="5" t="s">
        <v>19</v>
      </c>
      <c r="F40" s="5" t="s">
        <v>14</v>
      </c>
      <c r="G40" s="5" t="s">
        <v>24</v>
      </c>
      <c r="H40" s="5">
        <v>17386</v>
      </c>
      <c r="I40" s="5">
        <v>716</v>
      </c>
      <c r="J40" s="6">
        <f t="shared" si="0"/>
        <v>16670</v>
      </c>
      <c r="L40" s="22">
        <v>29172</v>
      </c>
      <c r="M40" s="22" t="s">
        <v>10</v>
      </c>
      <c r="N40" s="22" t="s">
        <v>11</v>
      </c>
      <c r="O40" s="22" t="s">
        <v>23</v>
      </c>
      <c r="P40" s="22" t="s">
        <v>13</v>
      </c>
      <c r="Q40" s="22" t="s">
        <v>14</v>
      </c>
      <c r="R40" s="22" t="s">
        <v>15</v>
      </c>
      <c r="S40" s="22">
        <v>59928</v>
      </c>
      <c r="T40" s="22">
        <v>8756</v>
      </c>
      <c r="U40" s="22">
        <v>51172</v>
      </c>
      <c r="W40" t="s">
        <v>78</v>
      </c>
      <c r="X40">
        <v>1000</v>
      </c>
    </row>
    <row r="41" spans="1:25" ht="17.100000000000001" thickBot="1">
      <c r="A41" s="5">
        <v>64176</v>
      </c>
      <c r="B41" s="5" t="s">
        <v>10</v>
      </c>
      <c r="C41" s="5" t="s">
        <v>27</v>
      </c>
      <c r="D41" s="5" t="s">
        <v>30</v>
      </c>
      <c r="E41" s="5" t="s">
        <v>13</v>
      </c>
      <c r="F41" s="5" t="s">
        <v>14</v>
      </c>
      <c r="G41" s="5" t="s">
        <v>15</v>
      </c>
      <c r="H41" s="5">
        <v>84178</v>
      </c>
      <c r="I41" s="5">
        <v>760</v>
      </c>
      <c r="J41" s="6">
        <f t="shared" si="0"/>
        <v>83418</v>
      </c>
      <c r="L41" s="19">
        <v>216782</v>
      </c>
      <c r="M41" s="19" t="s">
        <v>10</v>
      </c>
      <c r="N41" s="19" t="s">
        <v>34</v>
      </c>
      <c r="O41" s="19" t="s">
        <v>23</v>
      </c>
      <c r="P41" s="19" t="s">
        <v>19</v>
      </c>
      <c r="Q41" s="19" t="s">
        <v>14</v>
      </c>
      <c r="R41" s="19" t="s">
        <v>15</v>
      </c>
      <c r="S41" s="19">
        <v>37766</v>
      </c>
      <c r="T41" s="19">
        <v>2634</v>
      </c>
      <c r="U41" s="19">
        <v>35132</v>
      </c>
      <c r="W41" s="70" t="s">
        <v>102</v>
      </c>
      <c r="X41" s="70">
        <v>307.56654044109621</v>
      </c>
      <c r="Y41" t="s">
        <v>103</v>
      </c>
    </row>
    <row r="42" spans="1:25">
      <c r="A42" s="5">
        <v>92976</v>
      </c>
      <c r="B42" s="5" t="s">
        <v>10</v>
      </c>
      <c r="C42" s="5" t="s">
        <v>37</v>
      </c>
      <c r="D42" s="5" t="s">
        <v>32</v>
      </c>
      <c r="E42" s="5" t="s">
        <v>19</v>
      </c>
      <c r="F42" s="5" t="s">
        <v>14</v>
      </c>
      <c r="G42" s="5" t="s">
        <v>24</v>
      </c>
      <c r="H42" s="5">
        <v>49236</v>
      </c>
      <c r="I42" s="5">
        <v>162</v>
      </c>
      <c r="J42" s="6">
        <f t="shared" si="0"/>
        <v>49074</v>
      </c>
      <c r="L42" s="22">
        <v>225887</v>
      </c>
      <c r="M42" s="22" t="s">
        <v>16</v>
      </c>
      <c r="N42" s="22" t="s">
        <v>27</v>
      </c>
      <c r="O42" s="22" t="s">
        <v>23</v>
      </c>
      <c r="P42" s="22" t="s">
        <v>13</v>
      </c>
      <c r="Q42" s="22" t="s">
        <v>28</v>
      </c>
      <c r="R42" s="22" t="s">
        <v>24</v>
      </c>
      <c r="S42" s="22">
        <v>18363</v>
      </c>
      <c r="T42" s="22">
        <v>0</v>
      </c>
      <c r="U42" s="22">
        <v>18363</v>
      </c>
      <c r="W42" s="71" t="s">
        <v>104</v>
      </c>
      <c r="X42" s="72">
        <f>X28+X41</f>
        <v>2757.742540441096</v>
      </c>
      <c r="Y42" t="str">
        <f ca="1">_xlfn.FORMULATEXT(X42)</f>
        <v>=X28+X41</v>
      </c>
    </row>
    <row r="43" spans="1:25">
      <c r="A43" s="5">
        <v>252207</v>
      </c>
      <c r="B43" s="5" t="s">
        <v>10</v>
      </c>
      <c r="C43" s="5" t="s">
        <v>35</v>
      </c>
      <c r="D43" s="5" t="s">
        <v>32</v>
      </c>
      <c r="E43" s="5" t="s">
        <v>13</v>
      </c>
      <c r="F43" s="5" t="s">
        <v>28</v>
      </c>
      <c r="G43" s="5" t="s">
        <v>24</v>
      </c>
      <c r="H43" s="5">
        <v>9527</v>
      </c>
      <c r="I43" s="5">
        <v>0</v>
      </c>
      <c r="J43" s="6">
        <f t="shared" si="0"/>
        <v>9527</v>
      </c>
      <c r="L43" s="19">
        <v>39222</v>
      </c>
      <c r="M43" s="19" t="s">
        <v>10</v>
      </c>
      <c r="N43" s="19" t="s">
        <v>35</v>
      </c>
      <c r="O43" s="19" t="s">
        <v>23</v>
      </c>
      <c r="P43" s="19" t="s">
        <v>19</v>
      </c>
      <c r="Q43" s="19" t="s">
        <v>14</v>
      </c>
      <c r="R43" s="19" t="s">
        <v>15</v>
      </c>
      <c r="S43" s="19">
        <v>181275</v>
      </c>
      <c r="T43" s="19">
        <v>25183</v>
      </c>
      <c r="U43" s="19">
        <v>156092</v>
      </c>
      <c r="W43" s="71" t="s">
        <v>105</v>
      </c>
      <c r="X43" s="72">
        <f>X28-X41</f>
        <v>2142.6094595589038</v>
      </c>
      <c r="Y43" t="str">
        <f ca="1">_xlfn.FORMULATEXT(X43)</f>
        <v>=X28-X41</v>
      </c>
    </row>
    <row r="44" spans="1:25">
      <c r="A44" s="5">
        <v>99780</v>
      </c>
      <c r="B44" s="5" t="s">
        <v>10</v>
      </c>
      <c r="C44" s="5" t="s">
        <v>34</v>
      </c>
      <c r="D44" s="5" t="s">
        <v>32</v>
      </c>
      <c r="E44" s="5" t="s">
        <v>19</v>
      </c>
      <c r="F44" s="5" t="s">
        <v>14</v>
      </c>
      <c r="G44" s="5" t="s">
        <v>24</v>
      </c>
      <c r="H44" s="5">
        <v>66500</v>
      </c>
      <c r="I44" s="5">
        <v>0</v>
      </c>
      <c r="J44" s="6">
        <f t="shared" si="0"/>
        <v>66500</v>
      </c>
      <c r="L44" s="22">
        <v>136594</v>
      </c>
      <c r="M44" s="22" t="s">
        <v>10</v>
      </c>
      <c r="N44" s="22" t="s">
        <v>34</v>
      </c>
      <c r="O44" s="22" t="s">
        <v>23</v>
      </c>
      <c r="P44" s="22" t="s">
        <v>13</v>
      </c>
      <c r="Q44" s="22" t="s">
        <v>14</v>
      </c>
      <c r="R44" s="22" t="s">
        <v>15</v>
      </c>
      <c r="S44" s="22">
        <v>41389</v>
      </c>
      <c r="T44" s="22">
        <v>2307</v>
      </c>
      <c r="U44" s="22">
        <v>39082</v>
      </c>
    </row>
    <row r="45" spans="1:25">
      <c r="A45" s="5">
        <v>98602</v>
      </c>
      <c r="B45" s="5" t="s">
        <v>10</v>
      </c>
      <c r="C45" s="5" t="s">
        <v>34</v>
      </c>
      <c r="D45" s="5" t="s">
        <v>23</v>
      </c>
      <c r="E45" s="5" t="s">
        <v>13</v>
      </c>
      <c r="F45" s="5" t="s">
        <v>28</v>
      </c>
      <c r="G45" s="5" t="s">
        <v>24</v>
      </c>
      <c r="H45" s="5">
        <v>61386</v>
      </c>
      <c r="I45" s="5">
        <v>1007</v>
      </c>
      <c r="J45" s="6">
        <f t="shared" si="0"/>
        <v>60379</v>
      </c>
      <c r="L45" s="19">
        <v>105731</v>
      </c>
      <c r="M45" s="19" t="s">
        <v>10</v>
      </c>
      <c r="N45" s="19" t="s">
        <v>22</v>
      </c>
      <c r="O45" s="19" t="s">
        <v>23</v>
      </c>
      <c r="P45" s="19" t="s">
        <v>13</v>
      </c>
      <c r="Q45" s="19" t="s">
        <v>14</v>
      </c>
      <c r="R45" s="19" t="s">
        <v>15</v>
      </c>
      <c r="S45" s="19">
        <v>85896</v>
      </c>
      <c r="T45" s="19">
        <v>6278</v>
      </c>
      <c r="U45" s="19">
        <v>79618</v>
      </c>
    </row>
    <row r="46" spans="1:25">
      <c r="A46" s="5">
        <v>219950</v>
      </c>
      <c r="B46" s="5" t="s">
        <v>10</v>
      </c>
      <c r="C46" s="5" t="s">
        <v>27</v>
      </c>
      <c r="D46" s="5" t="s">
        <v>12</v>
      </c>
      <c r="E46" s="5" t="s">
        <v>13</v>
      </c>
      <c r="F46" s="5" t="s">
        <v>14</v>
      </c>
      <c r="G46" s="5" t="s">
        <v>15</v>
      </c>
      <c r="H46" s="5">
        <v>83925</v>
      </c>
      <c r="I46" s="5">
        <v>1109</v>
      </c>
      <c r="J46" s="6">
        <f t="shared" si="0"/>
        <v>82816</v>
      </c>
      <c r="L46" s="22">
        <v>150676</v>
      </c>
      <c r="M46" s="22" t="s">
        <v>10</v>
      </c>
      <c r="N46" s="22" t="s">
        <v>27</v>
      </c>
      <c r="O46" s="22" t="s">
        <v>23</v>
      </c>
      <c r="P46" s="22" t="s">
        <v>13</v>
      </c>
      <c r="Q46" s="22" t="s">
        <v>14</v>
      </c>
      <c r="R46" s="22" t="s">
        <v>24</v>
      </c>
      <c r="S46" s="22">
        <v>50304</v>
      </c>
      <c r="T46" s="22">
        <v>8420</v>
      </c>
      <c r="U46" s="22">
        <v>41884</v>
      </c>
    </row>
    <row r="47" spans="1:25">
      <c r="A47" s="5">
        <v>11162</v>
      </c>
      <c r="B47" s="5" t="s">
        <v>16</v>
      </c>
      <c r="C47" s="5" t="s">
        <v>37</v>
      </c>
      <c r="D47" s="5" t="s">
        <v>33</v>
      </c>
      <c r="E47" s="5" t="s">
        <v>13</v>
      </c>
      <c r="F47" s="5" t="s">
        <v>14</v>
      </c>
      <c r="G47" s="5" t="s">
        <v>15</v>
      </c>
      <c r="H47" s="5">
        <v>60311</v>
      </c>
      <c r="I47" s="5">
        <v>321</v>
      </c>
      <c r="J47" s="6">
        <f t="shared" si="0"/>
        <v>59990</v>
      </c>
      <c r="L47" s="19">
        <v>130432</v>
      </c>
      <c r="M47" s="19" t="s">
        <v>10</v>
      </c>
      <c r="N47" s="19" t="s">
        <v>25</v>
      </c>
      <c r="O47" s="19" t="s">
        <v>23</v>
      </c>
      <c r="P47" s="19" t="s">
        <v>19</v>
      </c>
      <c r="Q47" s="19" t="s">
        <v>28</v>
      </c>
      <c r="R47" s="19" t="s">
        <v>15</v>
      </c>
      <c r="S47" s="19">
        <v>57408</v>
      </c>
      <c r="T47" s="19">
        <v>2133</v>
      </c>
      <c r="U47" s="19">
        <v>55275</v>
      </c>
    </row>
    <row r="48" spans="1:25">
      <c r="A48" s="5">
        <v>41926</v>
      </c>
      <c r="B48" s="5" t="s">
        <v>10</v>
      </c>
      <c r="C48" s="5" t="s">
        <v>35</v>
      </c>
      <c r="D48" s="5" t="s">
        <v>23</v>
      </c>
      <c r="E48" s="5" t="s">
        <v>13</v>
      </c>
      <c r="F48" s="5" t="s">
        <v>14</v>
      </c>
      <c r="G48" s="5" t="s">
        <v>15</v>
      </c>
      <c r="H48" s="5">
        <v>37523</v>
      </c>
      <c r="I48" s="5">
        <v>0</v>
      </c>
      <c r="J48" s="6">
        <f t="shared" si="0"/>
        <v>37523</v>
      </c>
      <c r="L48" s="22">
        <v>17240</v>
      </c>
      <c r="M48" s="22" t="s">
        <v>10</v>
      </c>
      <c r="N48" s="22" t="s">
        <v>34</v>
      </c>
      <c r="O48" s="22" t="s">
        <v>23</v>
      </c>
      <c r="P48" s="22" t="s">
        <v>19</v>
      </c>
      <c r="Q48" s="22" t="s">
        <v>14</v>
      </c>
      <c r="R48" s="22" t="s">
        <v>15</v>
      </c>
      <c r="S48" s="22">
        <v>19372</v>
      </c>
      <c r="T48" s="22">
        <v>285</v>
      </c>
      <c r="U48" s="22">
        <v>19087</v>
      </c>
    </row>
    <row r="49" spans="1:21">
      <c r="A49" s="5">
        <v>89197</v>
      </c>
      <c r="B49" s="5" t="s">
        <v>10</v>
      </c>
      <c r="C49" s="5" t="s">
        <v>20</v>
      </c>
      <c r="D49" s="5" t="s">
        <v>32</v>
      </c>
      <c r="E49" s="5" t="s">
        <v>13</v>
      </c>
      <c r="F49" s="5" t="s">
        <v>28</v>
      </c>
      <c r="G49" s="5" t="s">
        <v>15</v>
      </c>
      <c r="H49" s="5">
        <v>59910</v>
      </c>
      <c r="I49" s="5">
        <v>21</v>
      </c>
      <c r="J49" s="6">
        <f t="shared" si="0"/>
        <v>59889</v>
      </c>
      <c r="L49" s="19">
        <v>166089</v>
      </c>
      <c r="M49" s="19" t="s">
        <v>10</v>
      </c>
      <c r="N49" s="19" t="s">
        <v>27</v>
      </c>
      <c r="O49" s="19" t="s">
        <v>23</v>
      </c>
      <c r="P49" s="19" t="s">
        <v>19</v>
      </c>
      <c r="Q49" s="19" t="s">
        <v>28</v>
      </c>
      <c r="R49" s="19" t="s">
        <v>15</v>
      </c>
      <c r="S49" s="19">
        <v>49826</v>
      </c>
      <c r="T49" s="19">
        <v>257</v>
      </c>
      <c r="U49" s="19">
        <v>49569</v>
      </c>
    </row>
    <row r="50" spans="1:21">
      <c r="A50" s="5">
        <v>224846</v>
      </c>
      <c r="B50" s="5" t="s">
        <v>16</v>
      </c>
      <c r="C50" s="5" t="s">
        <v>17</v>
      </c>
      <c r="D50" s="5" t="s">
        <v>30</v>
      </c>
      <c r="E50" s="5" t="s">
        <v>13</v>
      </c>
      <c r="F50" s="5" t="s">
        <v>28</v>
      </c>
      <c r="G50" s="5" t="s">
        <v>24</v>
      </c>
      <c r="H50" s="5">
        <v>66457</v>
      </c>
      <c r="I50" s="5">
        <v>822</v>
      </c>
      <c r="J50" s="6">
        <f t="shared" si="0"/>
        <v>65635</v>
      </c>
      <c r="L50" s="22">
        <v>72779</v>
      </c>
      <c r="M50" s="22" t="s">
        <v>10</v>
      </c>
      <c r="N50" s="22" t="s">
        <v>27</v>
      </c>
      <c r="O50" s="22" t="s">
        <v>23</v>
      </c>
      <c r="P50" s="22" t="s">
        <v>13</v>
      </c>
      <c r="Q50" s="22" t="s">
        <v>14</v>
      </c>
      <c r="R50" s="22" t="s">
        <v>15</v>
      </c>
      <c r="S50" s="22">
        <v>68475</v>
      </c>
      <c r="T50" s="22">
        <v>1263</v>
      </c>
      <c r="U50" s="22">
        <v>67212</v>
      </c>
    </row>
    <row r="51" spans="1:21">
      <c r="A51" s="5">
        <v>80813</v>
      </c>
      <c r="B51" s="5" t="s">
        <v>10</v>
      </c>
      <c r="C51" s="5" t="s">
        <v>38</v>
      </c>
      <c r="D51" s="5" t="s">
        <v>32</v>
      </c>
      <c r="E51" s="5" t="s">
        <v>13</v>
      </c>
      <c r="F51" s="5" t="s">
        <v>14</v>
      </c>
      <c r="G51" s="5" t="s">
        <v>15</v>
      </c>
      <c r="H51" s="5">
        <v>10439</v>
      </c>
      <c r="I51" s="5">
        <v>0</v>
      </c>
      <c r="J51" s="6">
        <f t="shared" si="0"/>
        <v>10439</v>
      </c>
      <c r="L51" s="19">
        <v>37325</v>
      </c>
      <c r="M51" s="19" t="s">
        <v>10</v>
      </c>
      <c r="N51" s="19" t="s">
        <v>35</v>
      </c>
      <c r="O51" s="19" t="s">
        <v>23</v>
      </c>
      <c r="P51" s="19" t="s">
        <v>13</v>
      </c>
      <c r="Q51" s="19" t="s">
        <v>14</v>
      </c>
      <c r="R51" s="19" t="s">
        <v>15</v>
      </c>
      <c r="S51" s="19">
        <v>81639</v>
      </c>
      <c r="T51" s="19">
        <v>3385</v>
      </c>
      <c r="U51" s="19">
        <v>78254</v>
      </c>
    </row>
    <row r="52" spans="1:21">
      <c r="A52" s="5">
        <v>226711</v>
      </c>
      <c r="B52" s="5" t="s">
        <v>16</v>
      </c>
      <c r="C52" s="5" t="s">
        <v>25</v>
      </c>
      <c r="D52" s="5" t="s">
        <v>12</v>
      </c>
      <c r="E52" s="5" t="s">
        <v>13</v>
      </c>
      <c r="F52" s="5" t="s">
        <v>28</v>
      </c>
      <c r="G52" s="5" t="s">
        <v>15</v>
      </c>
      <c r="H52" s="5">
        <v>21969</v>
      </c>
      <c r="I52" s="5">
        <v>8136</v>
      </c>
      <c r="J52" s="6">
        <f t="shared" si="0"/>
        <v>13833</v>
      </c>
      <c r="L52" s="22">
        <v>139387</v>
      </c>
      <c r="M52" s="22" t="s">
        <v>10</v>
      </c>
      <c r="N52" s="22" t="s">
        <v>25</v>
      </c>
      <c r="O52" s="22" t="s">
        <v>23</v>
      </c>
      <c r="P52" s="22" t="s">
        <v>19</v>
      </c>
      <c r="Q52" s="22" t="s">
        <v>28</v>
      </c>
      <c r="R52" s="22" t="s">
        <v>15</v>
      </c>
      <c r="S52" s="22">
        <v>97853</v>
      </c>
      <c r="T52" s="22">
        <v>576</v>
      </c>
      <c r="U52" s="22">
        <v>97277</v>
      </c>
    </row>
    <row r="53" spans="1:21">
      <c r="A53" s="5">
        <v>249509</v>
      </c>
      <c r="B53" s="5" t="s">
        <v>10</v>
      </c>
      <c r="C53" s="5" t="s">
        <v>25</v>
      </c>
      <c r="D53" s="5" t="s">
        <v>30</v>
      </c>
      <c r="E53" s="5" t="s">
        <v>19</v>
      </c>
      <c r="F53" s="5" t="s">
        <v>14</v>
      </c>
      <c r="G53" s="5" t="s">
        <v>15</v>
      </c>
      <c r="H53" s="5">
        <v>54325</v>
      </c>
      <c r="I53" s="5">
        <v>1121</v>
      </c>
      <c r="J53" s="6">
        <f t="shared" si="0"/>
        <v>53204</v>
      </c>
      <c r="L53" s="19">
        <v>29576</v>
      </c>
      <c r="M53" s="19" t="s">
        <v>10</v>
      </c>
      <c r="N53" s="19" t="s">
        <v>35</v>
      </c>
      <c r="O53" s="19" t="s">
        <v>23</v>
      </c>
      <c r="P53" s="19" t="s">
        <v>13</v>
      </c>
      <c r="Q53" s="19" t="s">
        <v>28</v>
      </c>
      <c r="R53" s="19" t="s">
        <v>24</v>
      </c>
      <c r="S53" s="19">
        <v>72324</v>
      </c>
      <c r="T53" s="19">
        <v>5444</v>
      </c>
      <c r="U53" s="19">
        <v>66880</v>
      </c>
    </row>
    <row r="54" spans="1:21">
      <c r="A54" s="5">
        <v>98339</v>
      </c>
      <c r="B54" s="5" t="s">
        <v>16</v>
      </c>
      <c r="C54" s="5" t="s">
        <v>11</v>
      </c>
      <c r="D54" s="5" t="s">
        <v>12</v>
      </c>
      <c r="E54" s="5" t="s">
        <v>13</v>
      </c>
      <c r="F54" s="5" t="s">
        <v>14</v>
      </c>
      <c r="G54" s="5" t="s">
        <v>15</v>
      </c>
      <c r="H54" s="5">
        <v>98107</v>
      </c>
      <c r="I54" s="5">
        <v>860</v>
      </c>
      <c r="J54" s="6">
        <f t="shared" si="0"/>
        <v>97247</v>
      </c>
      <c r="L54" s="22">
        <v>106196</v>
      </c>
      <c r="M54" s="22" t="s">
        <v>16</v>
      </c>
      <c r="N54" s="22" t="s">
        <v>17</v>
      </c>
      <c r="O54" s="22" t="s">
        <v>23</v>
      </c>
      <c r="P54" s="22" t="s">
        <v>19</v>
      </c>
      <c r="Q54" s="22" t="s">
        <v>28</v>
      </c>
      <c r="R54" s="22" t="s">
        <v>15</v>
      </c>
      <c r="S54" s="22">
        <v>12723</v>
      </c>
      <c r="T54" s="22">
        <v>132</v>
      </c>
      <c r="U54" s="22">
        <v>12591</v>
      </c>
    </row>
    <row r="55" spans="1:21">
      <c r="A55" s="5">
        <v>222425</v>
      </c>
      <c r="B55" s="5" t="s">
        <v>10</v>
      </c>
      <c r="C55" s="5" t="s">
        <v>27</v>
      </c>
      <c r="D55" s="5" t="s">
        <v>30</v>
      </c>
      <c r="E55" s="5" t="s">
        <v>13</v>
      </c>
      <c r="F55" s="5" t="s">
        <v>28</v>
      </c>
      <c r="G55" s="5" t="s">
        <v>15</v>
      </c>
      <c r="H55" s="5">
        <v>79237</v>
      </c>
      <c r="I55" s="5">
        <v>785</v>
      </c>
      <c r="J55" s="6">
        <f t="shared" si="0"/>
        <v>78452</v>
      </c>
      <c r="L55" s="19">
        <v>39078</v>
      </c>
      <c r="M55" s="19" t="s">
        <v>10</v>
      </c>
      <c r="N55" s="19" t="s">
        <v>35</v>
      </c>
      <c r="O55" s="19" t="s">
        <v>23</v>
      </c>
      <c r="P55" s="19" t="s">
        <v>13</v>
      </c>
      <c r="Q55" s="19" t="s">
        <v>28</v>
      </c>
      <c r="R55" s="19" t="s">
        <v>15</v>
      </c>
      <c r="S55" s="19">
        <v>130740</v>
      </c>
      <c r="T55" s="19">
        <v>893</v>
      </c>
      <c r="U55" s="19">
        <v>129847</v>
      </c>
    </row>
    <row r="56" spans="1:21">
      <c r="A56" s="5">
        <v>107732</v>
      </c>
      <c r="B56" s="5" t="s">
        <v>10</v>
      </c>
      <c r="C56" s="5" t="s">
        <v>22</v>
      </c>
      <c r="D56" s="5" t="s">
        <v>12</v>
      </c>
      <c r="E56" s="5" t="s">
        <v>13</v>
      </c>
      <c r="F56" s="5" t="s">
        <v>28</v>
      </c>
      <c r="G56" s="5" t="s">
        <v>15</v>
      </c>
      <c r="H56" s="5">
        <v>71800</v>
      </c>
      <c r="I56" s="5">
        <v>2664</v>
      </c>
      <c r="J56" s="6">
        <f t="shared" si="0"/>
        <v>69136</v>
      </c>
      <c r="L56" s="22">
        <v>210996</v>
      </c>
      <c r="M56" s="22" t="s">
        <v>10</v>
      </c>
      <c r="N56" s="22" t="s">
        <v>38</v>
      </c>
      <c r="O56" s="22" t="s">
        <v>23</v>
      </c>
      <c r="P56" s="22" t="s">
        <v>13</v>
      </c>
      <c r="Q56" s="22" t="s">
        <v>14</v>
      </c>
      <c r="R56" s="22" t="s">
        <v>15</v>
      </c>
      <c r="S56" s="22">
        <v>87649</v>
      </c>
      <c r="T56" s="22">
        <v>1265</v>
      </c>
      <c r="U56" s="22">
        <v>86384</v>
      </c>
    </row>
    <row r="57" spans="1:21">
      <c r="A57" s="5">
        <v>69724</v>
      </c>
      <c r="B57" s="5" t="s">
        <v>16</v>
      </c>
      <c r="C57" s="5" t="s">
        <v>35</v>
      </c>
      <c r="D57" s="5" t="s">
        <v>32</v>
      </c>
      <c r="E57" s="5" t="s">
        <v>13</v>
      </c>
      <c r="F57" s="5" t="s">
        <v>14</v>
      </c>
      <c r="G57" s="5" t="s">
        <v>15</v>
      </c>
      <c r="H57" s="5">
        <v>744</v>
      </c>
      <c r="I57" s="5">
        <v>37</v>
      </c>
      <c r="J57" s="6">
        <f t="shared" si="0"/>
        <v>707</v>
      </c>
      <c r="L57" s="19">
        <v>224088</v>
      </c>
      <c r="M57" s="19" t="s">
        <v>10</v>
      </c>
      <c r="N57" s="19" t="s">
        <v>25</v>
      </c>
      <c r="O57" s="19" t="s">
        <v>23</v>
      </c>
      <c r="P57" s="19" t="s">
        <v>13</v>
      </c>
      <c r="Q57" s="19" t="s">
        <v>14</v>
      </c>
      <c r="R57" s="19" t="s">
        <v>15</v>
      </c>
      <c r="S57" s="19">
        <v>75178</v>
      </c>
      <c r="T57" s="19">
        <v>902</v>
      </c>
      <c r="U57" s="19">
        <v>74276</v>
      </c>
    </row>
    <row r="58" spans="1:21">
      <c r="A58" s="5">
        <v>135040</v>
      </c>
      <c r="B58" s="5" t="s">
        <v>10</v>
      </c>
      <c r="C58" s="5" t="s">
        <v>11</v>
      </c>
      <c r="D58" s="5" t="s">
        <v>12</v>
      </c>
      <c r="E58" s="5" t="s">
        <v>13</v>
      </c>
      <c r="F58" s="5" t="s">
        <v>14</v>
      </c>
      <c r="G58" s="5" t="s">
        <v>15</v>
      </c>
      <c r="H58" s="5">
        <v>132544</v>
      </c>
      <c r="I58" s="5">
        <v>21465</v>
      </c>
      <c r="J58" s="6">
        <f t="shared" si="0"/>
        <v>111079</v>
      </c>
      <c r="L58" s="22">
        <v>244437</v>
      </c>
      <c r="M58" s="22" t="s">
        <v>10</v>
      </c>
      <c r="N58" s="22" t="s">
        <v>17</v>
      </c>
      <c r="O58" s="22" t="s">
        <v>23</v>
      </c>
      <c r="P58" s="22" t="s">
        <v>19</v>
      </c>
      <c r="Q58" s="22" t="s">
        <v>14</v>
      </c>
      <c r="R58" s="22" t="s">
        <v>24</v>
      </c>
      <c r="S58" s="22">
        <v>17979</v>
      </c>
      <c r="T58" s="22">
        <v>759</v>
      </c>
      <c r="U58" s="22">
        <v>17220</v>
      </c>
    </row>
    <row r="59" spans="1:21">
      <c r="A59" s="5">
        <v>225556</v>
      </c>
      <c r="B59" s="5" t="s">
        <v>16</v>
      </c>
      <c r="C59" s="5" t="s">
        <v>25</v>
      </c>
      <c r="D59" s="5" t="s">
        <v>30</v>
      </c>
      <c r="E59" s="5" t="s">
        <v>19</v>
      </c>
      <c r="F59" s="5" t="s">
        <v>14</v>
      </c>
      <c r="G59" s="5" t="s">
        <v>15</v>
      </c>
      <c r="H59" s="5">
        <v>73774</v>
      </c>
      <c r="I59" s="5">
        <v>418</v>
      </c>
      <c r="J59" s="6">
        <f t="shared" si="0"/>
        <v>73356</v>
      </c>
      <c r="L59" s="19">
        <v>89886</v>
      </c>
      <c r="M59" s="19" t="s">
        <v>10</v>
      </c>
      <c r="N59" s="19" t="s">
        <v>39</v>
      </c>
      <c r="O59" s="19" t="s">
        <v>23</v>
      </c>
      <c r="P59" s="19" t="s">
        <v>13</v>
      </c>
      <c r="Q59" s="19" t="s">
        <v>14</v>
      </c>
      <c r="R59" s="19" t="s">
        <v>24</v>
      </c>
      <c r="S59" s="19">
        <v>92216</v>
      </c>
      <c r="T59" s="19">
        <v>445</v>
      </c>
      <c r="U59" s="19">
        <v>91771</v>
      </c>
    </row>
    <row r="60" spans="1:21">
      <c r="A60" s="5">
        <v>83231</v>
      </c>
      <c r="B60" s="5" t="s">
        <v>10</v>
      </c>
      <c r="C60" s="5" t="s">
        <v>34</v>
      </c>
      <c r="D60" s="5" t="s">
        <v>36</v>
      </c>
      <c r="E60" s="5" t="s">
        <v>13</v>
      </c>
      <c r="F60" s="5" t="s">
        <v>14</v>
      </c>
      <c r="G60" s="5" t="s">
        <v>15</v>
      </c>
      <c r="H60" s="5">
        <v>66671</v>
      </c>
      <c r="I60" s="5">
        <v>1262</v>
      </c>
      <c r="J60" s="6">
        <f t="shared" si="0"/>
        <v>65409</v>
      </c>
      <c r="L60" s="22">
        <v>243829</v>
      </c>
      <c r="M60" s="22" t="s">
        <v>10</v>
      </c>
      <c r="N60" s="22" t="s">
        <v>25</v>
      </c>
      <c r="O60" s="22" t="s">
        <v>23</v>
      </c>
      <c r="P60" s="22" t="s">
        <v>19</v>
      </c>
      <c r="Q60" s="22" t="s">
        <v>14</v>
      </c>
      <c r="R60" s="22" t="s">
        <v>24</v>
      </c>
      <c r="S60" s="22">
        <v>21353</v>
      </c>
      <c r="T60" s="22">
        <v>318</v>
      </c>
      <c r="U60" s="22">
        <v>21035</v>
      </c>
    </row>
    <row r="61" spans="1:21">
      <c r="A61" s="5">
        <v>233525</v>
      </c>
      <c r="B61" s="5" t="s">
        <v>10</v>
      </c>
      <c r="C61" s="5" t="s">
        <v>27</v>
      </c>
      <c r="D61" s="5" t="s">
        <v>32</v>
      </c>
      <c r="E61" s="5" t="s">
        <v>13</v>
      </c>
      <c r="F61" s="5" t="s">
        <v>14</v>
      </c>
      <c r="G61" s="5" t="s">
        <v>24</v>
      </c>
      <c r="H61" s="5">
        <v>207850</v>
      </c>
      <c r="I61" s="5">
        <v>0</v>
      </c>
      <c r="J61" s="6">
        <f t="shared" si="0"/>
        <v>207850</v>
      </c>
      <c r="L61" s="19">
        <v>122603</v>
      </c>
      <c r="M61" s="19" t="s">
        <v>10</v>
      </c>
      <c r="N61" s="19" t="s">
        <v>25</v>
      </c>
      <c r="O61" s="19" t="s">
        <v>23</v>
      </c>
      <c r="P61" s="19" t="s">
        <v>19</v>
      </c>
      <c r="Q61" s="19" t="s">
        <v>14</v>
      </c>
      <c r="R61" s="19" t="s">
        <v>15</v>
      </c>
      <c r="S61" s="19">
        <v>119172</v>
      </c>
      <c r="T61" s="19">
        <v>1221</v>
      </c>
      <c r="U61" s="19">
        <v>117951</v>
      </c>
    </row>
    <row r="62" spans="1:21">
      <c r="A62" s="5">
        <v>240008</v>
      </c>
      <c r="B62" s="5" t="s">
        <v>16</v>
      </c>
      <c r="C62" s="5" t="s">
        <v>27</v>
      </c>
      <c r="D62" s="5" t="s">
        <v>12</v>
      </c>
      <c r="E62" s="5" t="s">
        <v>13</v>
      </c>
      <c r="F62" s="5" t="s">
        <v>28</v>
      </c>
      <c r="G62" s="5" t="s">
        <v>15</v>
      </c>
      <c r="H62" s="5">
        <v>35404</v>
      </c>
      <c r="I62" s="5">
        <v>366</v>
      </c>
      <c r="J62" s="6">
        <f t="shared" si="0"/>
        <v>35038</v>
      </c>
      <c r="L62" s="22">
        <v>1849</v>
      </c>
      <c r="M62" s="22" t="s">
        <v>10</v>
      </c>
      <c r="N62" s="22" t="s">
        <v>39</v>
      </c>
      <c r="O62" s="22" t="s">
        <v>23</v>
      </c>
      <c r="P62" s="22" t="s">
        <v>13</v>
      </c>
      <c r="Q62" s="22" t="s">
        <v>14</v>
      </c>
      <c r="R62" s="22" t="s">
        <v>15</v>
      </c>
      <c r="S62" s="22">
        <v>34933</v>
      </c>
      <c r="T62" s="22">
        <v>1920</v>
      </c>
      <c r="U62" s="22">
        <v>33013</v>
      </c>
    </row>
    <row r="63" spans="1:21">
      <c r="A63" s="5">
        <v>96904</v>
      </c>
      <c r="B63" s="5" t="s">
        <v>16</v>
      </c>
      <c r="C63" s="5" t="s">
        <v>34</v>
      </c>
      <c r="D63" s="5" t="s">
        <v>33</v>
      </c>
      <c r="E63" s="5" t="s">
        <v>13</v>
      </c>
      <c r="F63" s="5" t="s">
        <v>14</v>
      </c>
      <c r="G63" s="5" t="s">
        <v>15</v>
      </c>
      <c r="H63" s="5">
        <v>77899</v>
      </c>
      <c r="I63" s="5">
        <v>2867</v>
      </c>
      <c r="J63" s="6">
        <f t="shared" si="0"/>
        <v>75032</v>
      </c>
      <c r="L63" s="19">
        <v>237682</v>
      </c>
      <c r="M63" s="19" t="s">
        <v>10</v>
      </c>
      <c r="N63" s="19" t="s">
        <v>25</v>
      </c>
      <c r="O63" s="19" t="s">
        <v>23</v>
      </c>
      <c r="P63" s="19" t="s">
        <v>19</v>
      </c>
      <c r="Q63" s="19" t="s">
        <v>14</v>
      </c>
      <c r="R63" s="19" t="s">
        <v>24</v>
      </c>
      <c r="S63" s="19">
        <v>48411</v>
      </c>
      <c r="T63" s="19">
        <v>5010</v>
      </c>
      <c r="U63" s="19">
        <v>43401</v>
      </c>
    </row>
    <row r="64" spans="1:21">
      <c r="A64" s="5">
        <v>170416</v>
      </c>
      <c r="B64" s="5" t="s">
        <v>16</v>
      </c>
      <c r="C64" s="5" t="s">
        <v>35</v>
      </c>
      <c r="D64" s="5" t="s">
        <v>30</v>
      </c>
      <c r="E64" s="5" t="s">
        <v>13</v>
      </c>
      <c r="F64" s="5" t="s">
        <v>28</v>
      </c>
      <c r="G64" s="5" t="s">
        <v>15</v>
      </c>
      <c r="H64" s="5">
        <v>113671</v>
      </c>
      <c r="I64" s="5">
        <v>1610</v>
      </c>
      <c r="J64" s="6">
        <f t="shared" si="0"/>
        <v>112061</v>
      </c>
      <c r="L64" s="22">
        <v>19279</v>
      </c>
      <c r="M64" s="22" t="s">
        <v>10</v>
      </c>
      <c r="N64" s="22" t="s">
        <v>11</v>
      </c>
      <c r="O64" s="22" t="s">
        <v>23</v>
      </c>
      <c r="P64" s="22" t="s">
        <v>13</v>
      </c>
      <c r="Q64" s="22" t="s">
        <v>14</v>
      </c>
      <c r="R64" s="22" t="s">
        <v>24</v>
      </c>
      <c r="S64" s="22">
        <v>105741</v>
      </c>
      <c r="T64" s="22">
        <v>8422</v>
      </c>
      <c r="U64" s="22">
        <v>97319</v>
      </c>
    </row>
    <row r="65" spans="1:21">
      <c r="A65" s="5">
        <v>176406</v>
      </c>
      <c r="B65" s="5" t="s">
        <v>10</v>
      </c>
      <c r="C65" s="5" t="s">
        <v>17</v>
      </c>
      <c r="D65" s="5" t="s">
        <v>26</v>
      </c>
      <c r="E65" s="5" t="s">
        <v>19</v>
      </c>
      <c r="F65" s="5" t="s">
        <v>28</v>
      </c>
      <c r="G65" s="5" t="s">
        <v>24</v>
      </c>
      <c r="H65" s="5">
        <v>34495</v>
      </c>
      <c r="I65" s="5">
        <v>141</v>
      </c>
      <c r="J65" s="6">
        <f t="shared" si="0"/>
        <v>34354</v>
      </c>
      <c r="L65" s="19">
        <v>146947</v>
      </c>
      <c r="M65" s="19" t="s">
        <v>10</v>
      </c>
      <c r="N65" s="19" t="s">
        <v>25</v>
      </c>
      <c r="O65" s="19" t="s">
        <v>23</v>
      </c>
      <c r="P65" s="19" t="s">
        <v>19</v>
      </c>
      <c r="Q65" s="19" t="s">
        <v>14</v>
      </c>
      <c r="R65" s="19" t="s">
        <v>24</v>
      </c>
      <c r="S65" s="19">
        <v>92653</v>
      </c>
      <c r="T65" s="19">
        <v>11799</v>
      </c>
      <c r="U65" s="19">
        <v>80854</v>
      </c>
    </row>
    <row r="66" spans="1:21">
      <c r="A66" s="5">
        <v>228625</v>
      </c>
      <c r="B66" s="5" t="s">
        <v>10</v>
      </c>
      <c r="C66" s="5" t="s">
        <v>22</v>
      </c>
      <c r="D66" s="5" t="s">
        <v>23</v>
      </c>
      <c r="E66" s="5" t="s">
        <v>19</v>
      </c>
      <c r="F66" s="5" t="s">
        <v>14</v>
      </c>
      <c r="G66" s="5" t="s">
        <v>15</v>
      </c>
      <c r="H66" s="5">
        <v>13399</v>
      </c>
      <c r="I66" s="5">
        <v>903</v>
      </c>
      <c r="J66" s="6">
        <f t="shared" ref="J66:J129" si="1">H66-I66</f>
        <v>12496</v>
      </c>
      <c r="L66" s="22">
        <v>131623</v>
      </c>
      <c r="M66" s="22" t="s">
        <v>16</v>
      </c>
      <c r="N66" s="22" t="s">
        <v>25</v>
      </c>
      <c r="O66" s="22" t="s">
        <v>23</v>
      </c>
      <c r="P66" s="22" t="s">
        <v>13</v>
      </c>
      <c r="Q66" s="22" t="s">
        <v>28</v>
      </c>
      <c r="R66" s="22" t="s">
        <v>24</v>
      </c>
      <c r="S66" s="22">
        <v>40486</v>
      </c>
      <c r="T66" s="22">
        <v>161</v>
      </c>
      <c r="U66" s="22">
        <v>40325</v>
      </c>
    </row>
    <row r="67" spans="1:21">
      <c r="A67" s="5">
        <v>226060</v>
      </c>
      <c r="B67" s="5" t="s">
        <v>10</v>
      </c>
      <c r="C67" s="5" t="s">
        <v>17</v>
      </c>
      <c r="D67" s="5" t="s">
        <v>21</v>
      </c>
      <c r="E67" s="5" t="s">
        <v>13</v>
      </c>
      <c r="F67" s="5" t="s">
        <v>14</v>
      </c>
      <c r="G67" s="5" t="s">
        <v>15</v>
      </c>
      <c r="H67" s="5">
        <v>38149</v>
      </c>
      <c r="I67" s="5">
        <v>1366</v>
      </c>
      <c r="J67" s="6">
        <f t="shared" si="1"/>
        <v>36783</v>
      </c>
      <c r="L67" s="19">
        <v>199532</v>
      </c>
      <c r="M67" s="19" t="s">
        <v>10</v>
      </c>
      <c r="N67" s="19" t="s">
        <v>39</v>
      </c>
      <c r="O67" s="19" t="s">
        <v>23</v>
      </c>
      <c r="P67" s="19" t="s">
        <v>13</v>
      </c>
      <c r="Q67" s="19" t="s">
        <v>14</v>
      </c>
      <c r="R67" s="19" t="s">
        <v>15</v>
      </c>
      <c r="S67" s="19">
        <v>17570</v>
      </c>
      <c r="T67" s="19">
        <v>967</v>
      </c>
      <c r="U67" s="19">
        <v>16603</v>
      </c>
    </row>
    <row r="68" spans="1:21">
      <c r="A68" s="5">
        <v>165540</v>
      </c>
      <c r="B68" s="5" t="s">
        <v>16</v>
      </c>
      <c r="C68" s="5" t="s">
        <v>35</v>
      </c>
      <c r="D68" s="5" t="s">
        <v>36</v>
      </c>
      <c r="E68" s="5" t="s">
        <v>13</v>
      </c>
      <c r="F68" s="5" t="s">
        <v>14</v>
      </c>
      <c r="G68" s="5" t="s">
        <v>24</v>
      </c>
      <c r="H68" s="5">
        <v>45490</v>
      </c>
      <c r="I68" s="5">
        <v>0</v>
      </c>
      <c r="J68" s="6">
        <f t="shared" si="1"/>
        <v>45490</v>
      </c>
      <c r="L68" s="22">
        <v>235265</v>
      </c>
      <c r="M68" s="22" t="s">
        <v>10</v>
      </c>
      <c r="N68" s="22" t="s">
        <v>17</v>
      </c>
      <c r="O68" s="22" t="s">
        <v>23</v>
      </c>
      <c r="P68" s="22" t="s">
        <v>13</v>
      </c>
      <c r="Q68" s="22" t="s">
        <v>14</v>
      </c>
      <c r="R68" s="22" t="s">
        <v>15</v>
      </c>
      <c r="S68" s="22">
        <v>43712</v>
      </c>
      <c r="T68" s="22">
        <v>538</v>
      </c>
      <c r="U68" s="22">
        <v>43174</v>
      </c>
    </row>
    <row r="69" spans="1:21">
      <c r="A69" s="5">
        <v>25300</v>
      </c>
      <c r="B69" s="5" t="s">
        <v>16</v>
      </c>
      <c r="C69" s="5" t="s">
        <v>35</v>
      </c>
      <c r="D69" s="5" t="s">
        <v>36</v>
      </c>
      <c r="E69" s="5" t="s">
        <v>13</v>
      </c>
      <c r="F69" s="5" t="s">
        <v>14</v>
      </c>
      <c r="G69" s="5" t="s">
        <v>24</v>
      </c>
      <c r="H69" s="5">
        <v>39061</v>
      </c>
      <c r="I69" s="5">
        <v>6416</v>
      </c>
      <c r="J69" s="6">
        <f t="shared" si="1"/>
        <v>32645</v>
      </c>
      <c r="L69" s="19">
        <v>147549</v>
      </c>
      <c r="M69" s="19" t="s">
        <v>10</v>
      </c>
      <c r="N69" s="19" t="s">
        <v>31</v>
      </c>
      <c r="O69" s="19" t="s">
        <v>23</v>
      </c>
      <c r="P69" s="19" t="s">
        <v>19</v>
      </c>
      <c r="Q69" s="19" t="s">
        <v>28</v>
      </c>
      <c r="R69" s="19" t="s">
        <v>24</v>
      </c>
      <c r="S69" s="19">
        <v>27072</v>
      </c>
      <c r="T69" s="19">
        <v>661</v>
      </c>
      <c r="U69" s="19">
        <v>26411</v>
      </c>
    </row>
    <row r="70" spans="1:21">
      <c r="A70" s="5">
        <v>3282</v>
      </c>
      <c r="B70" s="5" t="s">
        <v>10</v>
      </c>
      <c r="C70" s="5" t="s">
        <v>37</v>
      </c>
      <c r="D70" s="5" t="s">
        <v>23</v>
      </c>
      <c r="E70" s="5" t="s">
        <v>13</v>
      </c>
      <c r="F70" s="5" t="s">
        <v>14</v>
      </c>
      <c r="G70" s="5" t="s">
        <v>15</v>
      </c>
      <c r="H70" s="5">
        <v>65209</v>
      </c>
      <c r="I70" s="5">
        <v>5368</v>
      </c>
      <c r="J70" s="6">
        <f t="shared" si="1"/>
        <v>59841</v>
      </c>
      <c r="L70" s="22">
        <v>24753</v>
      </c>
      <c r="M70" s="22" t="s">
        <v>10</v>
      </c>
      <c r="N70" s="22" t="s">
        <v>11</v>
      </c>
      <c r="O70" s="22" t="s">
        <v>23</v>
      </c>
      <c r="P70" s="22" t="s">
        <v>13</v>
      </c>
      <c r="Q70" s="22" t="s">
        <v>14</v>
      </c>
      <c r="R70" s="22" t="s">
        <v>15</v>
      </c>
      <c r="S70" s="22">
        <v>72248</v>
      </c>
      <c r="T70" s="22">
        <v>1331</v>
      </c>
      <c r="U70" s="22">
        <v>70917</v>
      </c>
    </row>
    <row r="71" spans="1:21">
      <c r="A71" s="5">
        <v>103799</v>
      </c>
      <c r="B71" s="5" t="s">
        <v>16</v>
      </c>
      <c r="C71" s="5" t="s">
        <v>27</v>
      </c>
      <c r="D71" s="5" t="s">
        <v>33</v>
      </c>
      <c r="E71" s="5" t="s">
        <v>19</v>
      </c>
      <c r="F71" s="5" t="s">
        <v>14</v>
      </c>
      <c r="G71" s="5" t="s">
        <v>24</v>
      </c>
      <c r="H71" s="5">
        <v>115567</v>
      </c>
      <c r="I71" s="5">
        <v>1454</v>
      </c>
      <c r="J71" s="6">
        <f t="shared" si="1"/>
        <v>114113</v>
      </c>
      <c r="L71" s="19">
        <v>112634</v>
      </c>
      <c r="M71" s="19" t="s">
        <v>10</v>
      </c>
      <c r="N71" s="19" t="s">
        <v>27</v>
      </c>
      <c r="O71" s="19" t="s">
        <v>23</v>
      </c>
      <c r="P71" s="19" t="s">
        <v>13</v>
      </c>
      <c r="Q71" s="19" t="s">
        <v>14</v>
      </c>
      <c r="R71" s="19" t="s">
        <v>24</v>
      </c>
      <c r="S71" s="19">
        <v>124770</v>
      </c>
      <c r="T71" s="19">
        <v>26221</v>
      </c>
      <c r="U71" s="19">
        <v>98549</v>
      </c>
    </row>
    <row r="72" spans="1:21">
      <c r="A72" s="5">
        <v>256186</v>
      </c>
      <c r="B72" s="5" t="s">
        <v>10</v>
      </c>
      <c r="C72" s="5" t="s">
        <v>17</v>
      </c>
      <c r="D72" s="5" t="s">
        <v>29</v>
      </c>
      <c r="E72" s="5" t="s">
        <v>19</v>
      </c>
      <c r="F72" s="5" t="s">
        <v>14</v>
      </c>
      <c r="G72" s="5" t="s">
        <v>24</v>
      </c>
      <c r="H72" s="5">
        <v>38984</v>
      </c>
      <c r="I72" s="5">
        <v>752</v>
      </c>
      <c r="J72" s="6">
        <f t="shared" si="1"/>
        <v>38232</v>
      </c>
      <c r="L72" s="22">
        <v>238766</v>
      </c>
      <c r="M72" s="22" t="s">
        <v>10</v>
      </c>
      <c r="N72" s="22" t="s">
        <v>17</v>
      </c>
      <c r="O72" s="22" t="s">
        <v>23</v>
      </c>
      <c r="P72" s="22" t="s">
        <v>19</v>
      </c>
      <c r="Q72" s="22" t="s">
        <v>14</v>
      </c>
      <c r="R72" s="22" t="s">
        <v>24</v>
      </c>
      <c r="S72" s="22">
        <v>25625</v>
      </c>
      <c r="T72" s="22">
        <v>337</v>
      </c>
      <c r="U72" s="22">
        <v>25288</v>
      </c>
    </row>
    <row r="73" spans="1:21">
      <c r="A73" s="5">
        <v>219670</v>
      </c>
      <c r="B73" s="5" t="s">
        <v>10</v>
      </c>
      <c r="C73" s="5" t="s">
        <v>37</v>
      </c>
      <c r="D73" s="5" t="s">
        <v>33</v>
      </c>
      <c r="E73" s="5" t="s">
        <v>19</v>
      </c>
      <c r="F73" s="5" t="s">
        <v>28</v>
      </c>
      <c r="G73" s="5" t="s">
        <v>15</v>
      </c>
      <c r="H73" s="5">
        <v>59711</v>
      </c>
      <c r="I73" s="5">
        <v>0</v>
      </c>
      <c r="J73" s="6">
        <f t="shared" si="1"/>
        <v>59711</v>
      </c>
      <c r="L73" s="19">
        <v>27609</v>
      </c>
      <c r="M73" s="19" t="s">
        <v>10</v>
      </c>
      <c r="N73" s="19" t="s">
        <v>11</v>
      </c>
      <c r="O73" s="19" t="s">
        <v>23</v>
      </c>
      <c r="P73" s="19" t="s">
        <v>19</v>
      </c>
      <c r="Q73" s="19" t="s">
        <v>14</v>
      </c>
      <c r="R73" s="19" t="s">
        <v>24</v>
      </c>
      <c r="S73" s="19">
        <v>12363</v>
      </c>
      <c r="T73" s="19">
        <v>168</v>
      </c>
      <c r="U73" s="19">
        <v>12195</v>
      </c>
    </row>
    <row r="74" spans="1:21">
      <c r="A74" s="5">
        <v>164959</v>
      </c>
      <c r="B74" s="5" t="s">
        <v>16</v>
      </c>
      <c r="C74" s="5" t="s">
        <v>25</v>
      </c>
      <c r="D74" s="5" t="s">
        <v>26</v>
      </c>
      <c r="E74" s="5" t="s">
        <v>19</v>
      </c>
      <c r="F74" s="5" t="s">
        <v>14</v>
      </c>
      <c r="G74" s="5" t="s">
        <v>24</v>
      </c>
      <c r="H74" s="5">
        <v>12417</v>
      </c>
      <c r="I74" s="5">
        <v>0</v>
      </c>
      <c r="J74" s="6">
        <f t="shared" si="1"/>
        <v>12417</v>
      </c>
      <c r="L74" s="22">
        <v>213900</v>
      </c>
      <c r="M74" s="22" t="s">
        <v>10</v>
      </c>
      <c r="N74" s="22" t="s">
        <v>11</v>
      </c>
      <c r="O74" s="22" t="s">
        <v>23</v>
      </c>
      <c r="P74" s="22" t="s">
        <v>13</v>
      </c>
      <c r="Q74" s="22" t="s">
        <v>14</v>
      </c>
      <c r="R74" s="22" t="s">
        <v>15</v>
      </c>
      <c r="S74" s="22">
        <v>179410</v>
      </c>
      <c r="T74" s="22">
        <v>3116</v>
      </c>
      <c r="U74" s="22">
        <v>176294</v>
      </c>
    </row>
    <row r="75" spans="1:21">
      <c r="A75" s="5">
        <v>74035</v>
      </c>
      <c r="B75" s="5" t="s">
        <v>10</v>
      </c>
      <c r="C75" s="5" t="s">
        <v>34</v>
      </c>
      <c r="D75" s="5" t="s">
        <v>32</v>
      </c>
      <c r="E75" s="5" t="s">
        <v>19</v>
      </c>
      <c r="F75" s="5" t="s">
        <v>14</v>
      </c>
      <c r="G75" s="5" t="s">
        <v>15</v>
      </c>
      <c r="H75" s="5">
        <v>26987</v>
      </c>
      <c r="I75" s="5">
        <v>0</v>
      </c>
      <c r="J75" s="6">
        <f t="shared" si="1"/>
        <v>26987</v>
      </c>
      <c r="L75" s="19">
        <v>72731</v>
      </c>
      <c r="M75" s="19" t="s">
        <v>10</v>
      </c>
      <c r="N75" s="19" t="s">
        <v>27</v>
      </c>
      <c r="O75" s="19" t="s">
        <v>23</v>
      </c>
      <c r="P75" s="19" t="s">
        <v>13</v>
      </c>
      <c r="Q75" s="19" t="s">
        <v>14</v>
      </c>
      <c r="R75" s="19" t="s">
        <v>24</v>
      </c>
      <c r="S75" s="19">
        <v>41819</v>
      </c>
      <c r="T75" s="19">
        <v>1012</v>
      </c>
      <c r="U75" s="19">
        <v>40807</v>
      </c>
    </row>
    <row r="76" spans="1:21">
      <c r="A76" s="5">
        <v>57323</v>
      </c>
      <c r="B76" s="5" t="s">
        <v>10</v>
      </c>
      <c r="C76" s="5" t="s">
        <v>35</v>
      </c>
      <c r="D76" s="5" t="s">
        <v>32</v>
      </c>
      <c r="E76" s="5" t="s">
        <v>19</v>
      </c>
      <c r="F76" s="5" t="s">
        <v>14</v>
      </c>
      <c r="G76" s="5" t="s">
        <v>15</v>
      </c>
      <c r="H76" s="5">
        <v>7401</v>
      </c>
      <c r="I76" s="5">
        <v>164</v>
      </c>
      <c r="J76" s="6">
        <f t="shared" si="1"/>
        <v>7237</v>
      </c>
      <c r="L76" s="22">
        <v>258399</v>
      </c>
      <c r="M76" s="22" t="s">
        <v>10</v>
      </c>
      <c r="N76" s="22" t="s">
        <v>17</v>
      </c>
      <c r="O76" s="22" t="s">
        <v>23</v>
      </c>
      <c r="P76" s="22" t="s">
        <v>19</v>
      </c>
      <c r="Q76" s="22" t="s">
        <v>14</v>
      </c>
      <c r="R76" s="22" t="s">
        <v>24</v>
      </c>
      <c r="S76" s="22">
        <v>40195</v>
      </c>
      <c r="T76" s="22">
        <v>4424</v>
      </c>
      <c r="U76" s="22">
        <v>35771</v>
      </c>
    </row>
    <row r="77" spans="1:21">
      <c r="A77" s="5">
        <v>205631</v>
      </c>
      <c r="B77" s="5" t="s">
        <v>16</v>
      </c>
      <c r="C77" s="5" t="s">
        <v>20</v>
      </c>
      <c r="D77" s="5" t="s">
        <v>32</v>
      </c>
      <c r="E77" s="5" t="s">
        <v>19</v>
      </c>
      <c r="F77" s="5" t="s">
        <v>28</v>
      </c>
      <c r="G77" s="5" t="s">
        <v>24</v>
      </c>
      <c r="H77" s="5">
        <v>395</v>
      </c>
      <c r="I77" s="5">
        <v>0</v>
      </c>
      <c r="J77" s="6">
        <f t="shared" si="1"/>
        <v>395</v>
      </c>
      <c r="L77" s="19">
        <v>194182</v>
      </c>
      <c r="M77" s="19" t="s">
        <v>16</v>
      </c>
      <c r="N77" s="19" t="s">
        <v>11</v>
      </c>
      <c r="O77" s="19" t="s">
        <v>23</v>
      </c>
      <c r="P77" s="19" t="s">
        <v>13</v>
      </c>
      <c r="Q77" s="19" t="s">
        <v>28</v>
      </c>
      <c r="R77" s="19" t="s">
        <v>15</v>
      </c>
      <c r="S77" s="19">
        <v>33192</v>
      </c>
      <c r="T77" s="19">
        <v>269</v>
      </c>
      <c r="U77" s="19">
        <v>32923</v>
      </c>
    </row>
    <row r="78" spans="1:21">
      <c r="A78" s="5">
        <v>83104</v>
      </c>
      <c r="B78" s="5" t="s">
        <v>10</v>
      </c>
      <c r="C78" s="5" t="s">
        <v>37</v>
      </c>
      <c r="D78" s="5" t="s">
        <v>32</v>
      </c>
      <c r="E78" s="5" t="s">
        <v>13</v>
      </c>
      <c r="F78" s="5" t="s">
        <v>14</v>
      </c>
      <c r="G78" s="5" t="s">
        <v>15</v>
      </c>
      <c r="H78" s="5">
        <v>48152</v>
      </c>
      <c r="I78" s="5">
        <v>5730</v>
      </c>
      <c r="J78" s="6">
        <f t="shared" si="1"/>
        <v>42422</v>
      </c>
      <c r="L78" s="22">
        <v>28655</v>
      </c>
      <c r="M78" s="22" t="s">
        <v>10</v>
      </c>
      <c r="N78" s="22" t="s">
        <v>35</v>
      </c>
      <c r="O78" s="22" t="s">
        <v>23</v>
      </c>
      <c r="P78" s="22" t="s">
        <v>13</v>
      </c>
      <c r="Q78" s="22" t="s">
        <v>28</v>
      </c>
      <c r="R78" s="22" t="s">
        <v>24</v>
      </c>
      <c r="S78" s="22">
        <v>93232</v>
      </c>
      <c r="T78" s="22">
        <v>164</v>
      </c>
      <c r="U78" s="22">
        <v>93068</v>
      </c>
    </row>
    <row r="79" spans="1:21">
      <c r="A79" s="5">
        <v>70733</v>
      </c>
      <c r="B79" s="5" t="s">
        <v>16</v>
      </c>
      <c r="C79" s="5" t="s">
        <v>17</v>
      </c>
      <c r="D79" s="5" t="s">
        <v>33</v>
      </c>
      <c r="E79" s="5" t="s">
        <v>19</v>
      </c>
      <c r="F79" s="5" t="s">
        <v>14</v>
      </c>
      <c r="G79" s="5" t="s">
        <v>15</v>
      </c>
      <c r="H79" s="5">
        <v>116422</v>
      </c>
      <c r="I79" s="5">
        <v>78</v>
      </c>
      <c r="J79" s="6">
        <f t="shared" si="1"/>
        <v>116344</v>
      </c>
      <c r="L79" s="19">
        <v>24725</v>
      </c>
      <c r="M79" s="19" t="s">
        <v>16</v>
      </c>
      <c r="N79" s="19" t="s">
        <v>35</v>
      </c>
      <c r="O79" s="19" t="s">
        <v>23</v>
      </c>
      <c r="P79" s="19" t="s">
        <v>13</v>
      </c>
      <c r="Q79" s="19" t="s">
        <v>14</v>
      </c>
      <c r="R79" s="19" t="s">
        <v>15</v>
      </c>
      <c r="S79" s="19">
        <v>63142</v>
      </c>
      <c r="T79" s="19">
        <v>4254</v>
      </c>
      <c r="U79" s="19">
        <v>58888</v>
      </c>
    </row>
    <row r="80" spans="1:21">
      <c r="A80" s="5">
        <v>97914</v>
      </c>
      <c r="B80" s="5" t="s">
        <v>16</v>
      </c>
      <c r="C80" s="5" t="s">
        <v>20</v>
      </c>
      <c r="D80" s="5" t="s">
        <v>21</v>
      </c>
      <c r="E80" s="5" t="s">
        <v>19</v>
      </c>
      <c r="F80" s="5" t="s">
        <v>14</v>
      </c>
      <c r="G80" s="5" t="s">
        <v>24</v>
      </c>
      <c r="H80" s="5">
        <v>40149</v>
      </c>
      <c r="I80" s="5">
        <v>927</v>
      </c>
      <c r="J80" s="6">
        <f t="shared" si="1"/>
        <v>39222</v>
      </c>
      <c r="L80" s="22">
        <v>24654</v>
      </c>
      <c r="M80" s="22" t="s">
        <v>10</v>
      </c>
      <c r="N80" s="22" t="s">
        <v>11</v>
      </c>
      <c r="O80" s="22" t="s">
        <v>23</v>
      </c>
      <c r="P80" s="22" t="s">
        <v>19</v>
      </c>
      <c r="Q80" s="22" t="s">
        <v>14</v>
      </c>
      <c r="R80" s="22" t="s">
        <v>24</v>
      </c>
      <c r="S80" s="22">
        <v>82447</v>
      </c>
      <c r="T80" s="22">
        <v>5248</v>
      </c>
      <c r="U80" s="22">
        <v>77199</v>
      </c>
    </row>
    <row r="81" spans="1:21">
      <c r="A81" s="5">
        <v>139001</v>
      </c>
      <c r="B81" s="5" t="s">
        <v>16</v>
      </c>
      <c r="C81" s="5" t="s">
        <v>25</v>
      </c>
      <c r="D81" s="5" t="s">
        <v>12</v>
      </c>
      <c r="E81" s="5" t="s">
        <v>13</v>
      </c>
      <c r="F81" s="5" t="s">
        <v>14</v>
      </c>
      <c r="G81" s="5" t="s">
        <v>24</v>
      </c>
      <c r="H81" s="5">
        <v>10157</v>
      </c>
      <c r="I81" s="5">
        <v>1205</v>
      </c>
      <c r="J81" s="6">
        <f t="shared" si="1"/>
        <v>8952</v>
      </c>
      <c r="L81" s="19">
        <v>124298</v>
      </c>
      <c r="M81" s="19" t="s">
        <v>10</v>
      </c>
      <c r="N81" s="19" t="s">
        <v>25</v>
      </c>
      <c r="O81" s="19" t="s">
        <v>23</v>
      </c>
      <c r="P81" s="19" t="s">
        <v>13</v>
      </c>
      <c r="Q81" s="19" t="s">
        <v>28</v>
      </c>
      <c r="R81" s="19" t="s">
        <v>15</v>
      </c>
      <c r="S81" s="19">
        <v>126758</v>
      </c>
      <c r="T81" s="19">
        <v>6567</v>
      </c>
      <c r="U81" s="19">
        <v>120191</v>
      </c>
    </row>
    <row r="82" spans="1:21">
      <c r="A82" s="5">
        <v>3096</v>
      </c>
      <c r="B82" s="5" t="s">
        <v>16</v>
      </c>
      <c r="C82" s="5" t="s">
        <v>37</v>
      </c>
      <c r="D82" s="5" t="s">
        <v>30</v>
      </c>
      <c r="E82" s="5" t="s">
        <v>13</v>
      </c>
      <c r="F82" s="5" t="s">
        <v>14</v>
      </c>
      <c r="G82" s="5" t="s">
        <v>15</v>
      </c>
      <c r="H82" s="5">
        <v>105262</v>
      </c>
      <c r="I82" s="5">
        <v>1808</v>
      </c>
      <c r="J82" s="6">
        <f t="shared" si="1"/>
        <v>103454</v>
      </c>
      <c r="L82" s="22">
        <v>257304</v>
      </c>
      <c r="M82" s="22" t="s">
        <v>10</v>
      </c>
      <c r="N82" s="22" t="s">
        <v>17</v>
      </c>
      <c r="O82" s="22" t="s">
        <v>23</v>
      </c>
      <c r="P82" s="22" t="s">
        <v>19</v>
      </c>
      <c r="Q82" s="22" t="s">
        <v>14</v>
      </c>
      <c r="R82" s="22" t="s">
        <v>24</v>
      </c>
      <c r="S82" s="22">
        <v>108991</v>
      </c>
      <c r="T82" s="22">
        <v>16430</v>
      </c>
      <c r="U82" s="22">
        <v>92561</v>
      </c>
    </row>
    <row r="83" spans="1:21">
      <c r="A83" s="5">
        <v>228574</v>
      </c>
      <c r="B83" s="5" t="s">
        <v>16</v>
      </c>
      <c r="C83" s="5" t="s">
        <v>27</v>
      </c>
      <c r="D83" s="5" t="s">
        <v>29</v>
      </c>
      <c r="E83" s="5" t="s">
        <v>19</v>
      </c>
      <c r="F83" s="5" t="s">
        <v>14</v>
      </c>
      <c r="G83" s="5" t="s">
        <v>24</v>
      </c>
      <c r="H83" s="5">
        <v>47980</v>
      </c>
      <c r="I83" s="5">
        <v>829</v>
      </c>
      <c r="J83" s="6">
        <f t="shared" si="1"/>
        <v>47151</v>
      </c>
      <c r="L83" s="19">
        <v>168241</v>
      </c>
      <c r="M83" s="19" t="s">
        <v>10</v>
      </c>
      <c r="N83" s="19" t="s">
        <v>22</v>
      </c>
      <c r="O83" s="19" t="s">
        <v>23</v>
      </c>
      <c r="P83" s="19" t="s">
        <v>19</v>
      </c>
      <c r="Q83" s="19" t="s">
        <v>28</v>
      </c>
      <c r="R83" s="19" t="s">
        <v>15</v>
      </c>
      <c r="S83" s="19">
        <v>74546</v>
      </c>
      <c r="T83" s="19">
        <v>7875</v>
      </c>
      <c r="U83" s="19">
        <v>66671</v>
      </c>
    </row>
    <row r="84" spans="1:21">
      <c r="A84" s="5">
        <v>212571</v>
      </c>
      <c r="B84" s="5" t="s">
        <v>16</v>
      </c>
      <c r="C84" s="5" t="s">
        <v>37</v>
      </c>
      <c r="D84" s="5" t="s">
        <v>30</v>
      </c>
      <c r="E84" s="5" t="s">
        <v>13</v>
      </c>
      <c r="F84" s="5" t="s">
        <v>14</v>
      </c>
      <c r="G84" s="5" t="s">
        <v>15</v>
      </c>
      <c r="H84" s="5">
        <v>98086</v>
      </c>
      <c r="I84" s="5">
        <v>7636</v>
      </c>
      <c r="J84" s="6">
        <f t="shared" si="1"/>
        <v>90450</v>
      </c>
      <c r="L84" s="22">
        <v>17403</v>
      </c>
      <c r="M84" s="22" t="s">
        <v>10</v>
      </c>
      <c r="N84" s="22" t="s">
        <v>34</v>
      </c>
      <c r="O84" s="22" t="s">
        <v>23</v>
      </c>
      <c r="P84" s="22" t="s">
        <v>13</v>
      </c>
      <c r="Q84" s="22" t="s">
        <v>14</v>
      </c>
      <c r="R84" s="22" t="s">
        <v>15</v>
      </c>
      <c r="S84" s="22">
        <v>75600</v>
      </c>
      <c r="T84" s="22">
        <v>4665</v>
      </c>
      <c r="U84" s="22">
        <v>70935</v>
      </c>
    </row>
    <row r="85" spans="1:21">
      <c r="A85" s="5">
        <v>81717</v>
      </c>
      <c r="B85" s="5" t="s">
        <v>10</v>
      </c>
      <c r="C85" s="5" t="s">
        <v>20</v>
      </c>
      <c r="D85" s="5" t="s">
        <v>32</v>
      </c>
      <c r="E85" s="5" t="s">
        <v>13</v>
      </c>
      <c r="F85" s="5" t="s">
        <v>14</v>
      </c>
      <c r="G85" s="5" t="s">
        <v>15</v>
      </c>
      <c r="H85" s="5">
        <v>73677</v>
      </c>
      <c r="I85" s="5">
        <v>703</v>
      </c>
      <c r="J85" s="6">
        <f t="shared" si="1"/>
        <v>72974</v>
      </c>
      <c r="L85" s="19">
        <v>29307</v>
      </c>
      <c r="M85" s="19" t="s">
        <v>10</v>
      </c>
      <c r="N85" s="19" t="s">
        <v>34</v>
      </c>
      <c r="O85" s="19" t="s">
        <v>23</v>
      </c>
      <c r="P85" s="19" t="s">
        <v>13</v>
      </c>
      <c r="Q85" s="19" t="s">
        <v>28</v>
      </c>
      <c r="R85" s="19" t="s">
        <v>24</v>
      </c>
      <c r="S85" s="19">
        <v>127940</v>
      </c>
      <c r="T85" s="19">
        <v>1077</v>
      </c>
      <c r="U85" s="19">
        <v>126863</v>
      </c>
    </row>
    <row r="86" spans="1:21">
      <c r="A86" s="5">
        <v>179326</v>
      </c>
      <c r="B86" s="5" t="s">
        <v>10</v>
      </c>
      <c r="C86" s="5" t="s">
        <v>17</v>
      </c>
      <c r="D86" s="5" t="s">
        <v>36</v>
      </c>
      <c r="E86" s="5" t="s">
        <v>19</v>
      </c>
      <c r="F86" s="5" t="s">
        <v>14</v>
      </c>
      <c r="G86" s="5" t="s">
        <v>15</v>
      </c>
      <c r="H86" s="5">
        <v>46978</v>
      </c>
      <c r="I86" s="5">
        <v>8353</v>
      </c>
      <c r="J86" s="6">
        <f t="shared" si="1"/>
        <v>38625</v>
      </c>
      <c r="L86" s="22">
        <v>220521</v>
      </c>
      <c r="M86" s="22" t="s">
        <v>10</v>
      </c>
      <c r="N86" s="22" t="s">
        <v>25</v>
      </c>
      <c r="O86" s="22" t="s">
        <v>23</v>
      </c>
      <c r="P86" s="22" t="s">
        <v>19</v>
      </c>
      <c r="Q86" s="22" t="s">
        <v>14</v>
      </c>
      <c r="R86" s="22" t="s">
        <v>24</v>
      </c>
      <c r="S86" s="22">
        <v>50305</v>
      </c>
      <c r="T86" s="22">
        <v>324</v>
      </c>
      <c r="U86" s="22">
        <v>49981</v>
      </c>
    </row>
    <row r="87" spans="1:21">
      <c r="A87" s="5">
        <v>145200</v>
      </c>
      <c r="B87" s="5" t="s">
        <v>16</v>
      </c>
      <c r="C87" s="5" t="s">
        <v>22</v>
      </c>
      <c r="D87" s="5" t="s">
        <v>26</v>
      </c>
      <c r="E87" s="5" t="s">
        <v>19</v>
      </c>
      <c r="F87" s="5" t="s">
        <v>14</v>
      </c>
      <c r="G87" s="5" t="s">
        <v>24</v>
      </c>
      <c r="H87" s="5">
        <v>14916</v>
      </c>
      <c r="I87" s="5">
        <v>1197</v>
      </c>
      <c r="J87" s="6">
        <f t="shared" si="1"/>
        <v>13719</v>
      </c>
      <c r="L87" s="19">
        <v>69075</v>
      </c>
      <c r="M87" s="19" t="s">
        <v>10</v>
      </c>
      <c r="N87" s="19" t="s">
        <v>35</v>
      </c>
      <c r="O87" s="19" t="s">
        <v>23</v>
      </c>
      <c r="P87" s="19" t="s">
        <v>19</v>
      </c>
      <c r="Q87" s="19" t="s">
        <v>14</v>
      </c>
      <c r="R87" s="19" t="s">
        <v>24</v>
      </c>
      <c r="S87" s="19">
        <v>68974</v>
      </c>
      <c r="T87" s="19">
        <v>4178</v>
      </c>
      <c r="U87" s="19">
        <v>64796</v>
      </c>
    </row>
    <row r="88" spans="1:21">
      <c r="A88" s="5">
        <v>162247</v>
      </c>
      <c r="B88" s="5" t="s">
        <v>10</v>
      </c>
      <c r="C88" s="5" t="s">
        <v>34</v>
      </c>
      <c r="D88" s="5" t="s">
        <v>23</v>
      </c>
      <c r="E88" s="5" t="s">
        <v>13</v>
      </c>
      <c r="F88" s="5" t="s">
        <v>14</v>
      </c>
      <c r="G88" s="5" t="s">
        <v>15</v>
      </c>
      <c r="H88" s="5">
        <v>50419</v>
      </c>
      <c r="I88" s="5">
        <v>1508</v>
      </c>
      <c r="J88" s="6">
        <f t="shared" si="1"/>
        <v>48911</v>
      </c>
      <c r="L88" s="22">
        <v>38895</v>
      </c>
      <c r="M88" s="22" t="s">
        <v>10</v>
      </c>
      <c r="N88" s="22" t="s">
        <v>11</v>
      </c>
      <c r="O88" s="22" t="s">
        <v>23</v>
      </c>
      <c r="P88" s="22" t="s">
        <v>13</v>
      </c>
      <c r="Q88" s="22" t="s">
        <v>14</v>
      </c>
      <c r="R88" s="22" t="s">
        <v>24</v>
      </c>
      <c r="S88" s="22">
        <v>149842</v>
      </c>
      <c r="T88" s="22">
        <v>3335</v>
      </c>
      <c r="U88" s="22">
        <v>146507</v>
      </c>
    </row>
    <row r="89" spans="1:21">
      <c r="A89" s="5">
        <v>147418</v>
      </c>
      <c r="B89" s="5" t="s">
        <v>10</v>
      </c>
      <c r="C89" s="5" t="s">
        <v>31</v>
      </c>
      <c r="D89" s="5" t="s">
        <v>33</v>
      </c>
      <c r="E89" s="5" t="s">
        <v>19</v>
      </c>
      <c r="F89" s="5" t="s">
        <v>14</v>
      </c>
      <c r="G89" s="5" t="s">
        <v>15</v>
      </c>
      <c r="H89" s="5">
        <v>92452</v>
      </c>
      <c r="I89" s="5">
        <v>141</v>
      </c>
      <c r="J89" s="6">
        <f t="shared" si="1"/>
        <v>92311</v>
      </c>
      <c r="L89" s="19">
        <v>226474</v>
      </c>
      <c r="M89" s="19" t="s">
        <v>10</v>
      </c>
      <c r="N89" s="19" t="s">
        <v>25</v>
      </c>
      <c r="O89" s="19" t="s">
        <v>23</v>
      </c>
      <c r="P89" s="19" t="s">
        <v>19</v>
      </c>
      <c r="Q89" s="19" t="s">
        <v>14</v>
      </c>
      <c r="R89" s="19" t="s">
        <v>15</v>
      </c>
      <c r="S89" s="19">
        <v>138377</v>
      </c>
      <c r="T89" s="19">
        <v>6605</v>
      </c>
      <c r="U89" s="19">
        <v>131772</v>
      </c>
    </row>
    <row r="90" spans="1:21">
      <c r="A90" s="5">
        <v>2760</v>
      </c>
      <c r="B90" s="5" t="s">
        <v>10</v>
      </c>
      <c r="C90" s="5" t="s">
        <v>39</v>
      </c>
      <c r="D90" s="5" t="s">
        <v>32</v>
      </c>
      <c r="E90" s="5" t="s">
        <v>13</v>
      </c>
      <c r="F90" s="5" t="s">
        <v>14</v>
      </c>
      <c r="G90" s="5" t="s">
        <v>15</v>
      </c>
      <c r="H90" s="5">
        <v>74000</v>
      </c>
      <c r="I90" s="5">
        <v>0</v>
      </c>
      <c r="J90" s="6">
        <f t="shared" si="1"/>
        <v>74000</v>
      </c>
      <c r="L90" s="22">
        <v>51995</v>
      </c>
      <c r="M90" s="22" t="s">
        <v>16</v>
      </c>
      <c r="N90" s="22" t="s">
        <v>35</v>
      </c>
      <c r="O90" s="22" t="s">
        <v>23</v>
      </c>
      <c r="P90" s="22" t="s">
        <v>13</v>
      </c>
      <c r="Q90" s="22" t="s">
        <v>28</v>
      </c>
      <c r="R90" s="22" t="s">
        <v>15</v>
      </c>
      <c r="S90" s="22">
        <v>28927</v>
      </c>
      <c r="T90" s="22">
        <v>599</v>
      </c>
      <c r="U90" s="22">
        <v>28328</v>
      </c>
    </row>
    <row r="91" spans="1:21">
      <c r="A91" s="5">
        <v>20069</v>
      </c>
      <c r="B91" s="5" t="s">
        <v>16</v>
      </c>
      <c r="C91" s="5" t="s">
        <v>11</v>
      </c>
      <c r="D91" s="5" t="s">
        <v>30</v>
      </c>
      <c r="E91" s="5" t="s">
        <v>13</v>
      </c>
      <c r="F91" s="5" t="s">
        <v>28</v>
      </c>
      <c r="G91" s="5" t="s">
        <v>15</v>
      </c>
      <c r="H91" s="5">
        <v>127747</v>
      </c>
      <c r="I91" s="5">
        <v>4</v>
      </c>
      <c r="J91" s="6">
        <f t="shared" si="1"/>
        <v>127743</v>
      </c>
      <c r="L91" s="19">
        <v>122342</v>
      </c>
      <c r="M91" s="19" t="s">
        <v>10</v>
      </c>
      <c r="N91" s="19" t="s">
        <v>22</v>
      </c>
      <c r="O91" s="19" t="s">
        <v>23</v>
      </c>
      <c r="P91" s="19" t="s">
        <v>19</v>
      </c>
      <c r="Q91" s="19" t="s">
        <v>28</v>
      </c>
      <c r="R91" s="19" t="s">
        <v>15</v>
      </c>
      <c r="S91" s="19">
        <v>82842</v>
      </c>
      <c r="T91" s="19">
        <v>22459</v>
      </c>
      <c r="U91" s="19">
        <v>60383</v>
      </c>
    </row>
    <row r="92" spans="1:21">
      <c r="A92" s="5">
        <v>210385</v>
      </c>
      <c r="B92" s="5" t="s">
        <v>10</v>
      </c>
      <c r="C92" s="5" t="s">
        <v>37</v>
      </c>
      <c r="D92" s="5" t="s">
        <v>32</v>
      </c>
      <c r="E92" s="5" t="s">
        <v>13</v>
      </c>
      <c r="F92" s="5" t="s">
        <v>14</v>
      </c>
      <c r="G92" s="5" t="s">
        <v>15</v>
      </c>
      <c r="H92" s="5">
        <v>17707</v>
      </c>
      <c r="I92" s="5">
        <v>0</v>
      </c>
      <c r="J92" s="6">
        <f t="shared" si="1"/>
        <v>17707</v>
      </c>
      <c r="L92" s="22">
        <v>39919</v>
      </c>
      <c r="M92" s="22" t="s">
        <v>16</v>
      </c>
      <c r="N92" s="22" t="s">
        <v>35</v>
      </c>
      <c r="O92" s="22" t="s">
        <v>23</v>
      </c>
      <c r="P92" s="22" t="s">
        <v>13</v>
      </c>
      <c r="Q92" s="22" t="s">
        <v>14</v>
      </c>
      <c r="R92" s="22" t="s">
        <v>15</v>
      </c>
      <c r="S92" s="22">
        <v>14397</v>
      </c>
      <c r="T92" s="22">
        <v>0</v>
      </c>
      <c r="U92" s="22">
        <v>14397</v>
      </c>
    </row>
    <row r="93" spans="1:21">
      <c r="A93" s="5">
        <v>24750</v>
      </c>
      <c r="B93" s="5" t="s">
        <v>16</v>
      </c>
      <c r="C93" s="5" t="s">
        <v>37</v>
      </c>
      <c r="D93" s="5" t="s">
        <v>30</v>
      </c>
      <c r="E93" s="5" t="s">
        <v>19</v>
      </c>
      <c r="F93" s="5" t="s">
        <v>14</v>
      </c>
      <c r="G93" s="5" t="s">
        <v>24</v>
      </c>
      <c r="H93" s="5">
        <v>64774</v>
      </c>
      <c r="I93" s="5">
        <v>1858</v>
      </c>
      <c r="J93" s="6">
        <f t="shared" si="1"/>
        <v>62916</v>
      </c>
      <c r="L93" s="19">
        <v>215770</v>
      </c>
      <c r="M93" s="19" t="s">
        <v>10</v>
      </c>
      <c r="N93" s="19" t="s">
        <v>38</v>
      </c>
      <c r="O93" s="19" t="s">
        <v>23</v>
      </c>
      <c r="P93" s="19" t="s">
        <v>13</v>
      </c>
      <c r="Q93" s="19" t="s">
        <v>14</v>
      </c>
      <c r="R93" s="19" t="s">
        <v>15</v>
      </c>
      <c r="S93" s="19">
        <v>50789</v>
      </c>
      <c r="T93" s="19">
        <v>587</v>
      </c>
      <c r="U93" s="19">
        <v>50202</v>
      </c>
    </row>
    <row r="94" spans="1:21">
      <c r="A94" s="5">
        <v>66360</v>
      </c>
      <c r="B94" s="5" t="s">
        <v>10</v>
      </c>
      <c r="C94" s="5" t="s">
        <v>27</v>
      </c>
      <c r="D94" s="5" t="s">
        <v>23</v>
      </c>
      <c r="E94" s="5" t="s">
        <v>13</v>
      </c>
      <c r="F94" s="5" t="s">
        <v>14</v>
      </c>
      <c r="G94" s="5" t="s">
        <v>24</v>
      </c>
      <c r="H94" s="5">
        <v>88783</v>
      </c>
      <c r="I94" s="5">
        <v>6099</v>
      </c>
      <c r="J94" s="6">
        <f t="shared" si="1"/>
        <v>82684</v>
      </c>
      <c r="L94" s="22">
        <v>196033</v>
      </c>
      <c r="M94" s="22" t="s">
        <v>10</v>
      </c>
      <c r="N94" s="22" t="s">
        <v>11</v>
      </c>
      <c r="O94" s="22" t="s">
        <v>23</v>
      </c>
      <c r="P94" s="22" t="s">
        <v>19</v>
      </c>
      <c r="Q94" s="22" t="s">
        <v>14</v>
      </c>
      <c r="R94" s="22" t="s">
        <v>24</v>
      </c>
      <c r="S94" s="22">
        <v>14066</v>
      </c>
      <c r="T94" s="22">
        <v>0</v>
      </c>
      <c r="U94" s="22">
        <v>14066</v>
      </c>
    </row>
    <row r="95" spans="1:21">
      <c r="A95" s="5">
        <v>29380</v>
      </c>
      <c r="B95" s="5" t="s">
        <v>10</v>
      </c>
      <c r="C95" s="5" t="s">
        <v>34</v>
      </c>
      <c r="D95" s="5" t="s">
        <v>30</v>
      </c>
      <c r="E95" s="5" t="s">
        <v>13</v>
      </c>
      <c r="F95" s="5" t="s">
        <v>28</v>
      </c>
      <c r="G95" s="5" t="s">
        <v>15</v>
      </c>
      <c r="H95" s="5">
        <v>114667</v>
      </c>
      <c r="I95" s="5">
        <v>514</v>
      </c>
      <c r="J95" s="6">
        <f t="shared" si="1"/>
        <v>114153</v>
      </c>
      <c r="L95" s="19">
        <v>73388</v>
      </c>
      <c r="M95" s="19" t="s">
        <v>10</v>
      </c>
      <c r="N95" s="19" t="s">
        <v>27</v>
      </c>
      <c r="O95" s="19" t="s">
        <v>23</v>
      </c>
      <c r="P95" s="19" t="s">
        <v>13</v>
      </c>
      <c r="Q95" s="19" t="s">
        <v>14</v>
      </c>
      <c r="R95" s="19" t="s">
        <v>15</v>
      </c>
      <c r="S95" s="19">
        <v>146765</v>
      </c>
      <c r="T95" s="19">
        <v>17627</v>
      </c>
      <c r="U95" s="19">
        <v>129138</v>
      </c>
    </row>
    <row r="96" spans="1:21">
      <c r="A96" s="5">
        <v>39226</v>
      </c>
      <c r="B96" s="5" t="s">
        <v>16</v>
      </c>
      <c r="C96" s="5" t="s">
        <v>34</v>
      </c>
      <c r="D96" s="5" t="s">
        <v>30</v>
      </c>
      <c r="E96" s="5" t="s">
        <v>13</v>
      </c>
      <c r="F96" s="5" t="s">
        <v>14</v>
      </c>
      <c r="G96" s="5" t="s">
        <v>15</v>
      </c>
      <c r="H96" s="5">
        <v>37583</v>
      </c>
      <c r="I96" s="5">
        <v>9783</v>
      </c>
      <c r="J96" s="6">
        <f t="shared" si="1"/>
        <v>27800</v>
      </c>
      <c r="L96" s="5">
        <v>108536</v>
      </c>
      <c r="M96" s="5" t="s">
        <v>10</v>
      </c>
      <c r="N96" s="5" t="s">
        <v>25</v>
      </c>
      <c r="O96" s="5" t="s">
        <v>23</v>
      </c>
      <c r="P96" s="5" t="s">
        <v>19</v>
      </c>
      <c r="Q96" s="5" t="s">
        <v>14</v>
      </c>
      <c r="R96" s="5" t="s">
        <v>24</v>
      </c>
      <c r="S96" s="5">
        <v>64752</v>
      </c>
      <c r="T96" s="5">
        <v>6029</v>
      </c>
      <c r="U96" s="5">
        <v>58723</v>
      </c>
    </row>
    <row r="97" spans="1:10">
      <c r="A97" s="5">
        <v>20067</v>
      </c>
      <c r="B97" s="5" t="s">
        <v>16</v>
      </c>
      <c r="C97" s="5" t="s">
        <v>11</v>
      </c>
      <c r="D97" s="5" t="s">
        <v>30</v>
      </c>
      <c r="E97" s="5" t="s">
        <v>13</v>
      </c>
      <c r="F97" s="5" t="s">
        <v>14</v>
      </c>
      <c r="G97" s="5" t="s">
        <v>24</v>
      </c>
      <c r="H97" s="5">
        <v>81937</v>
      </c>
      <c r="I97" s="5">
        <v>3496</v>
      </c>
      <c r="J97" s="6">
        <f t="shared" si="1"/>
        <v>78441</v>
      </c>
    </row>
    <row r="98" spans="1:10">
      <c r="A98" s="5">
        <v>235877</v>
      </c>
      <c r="B98" s="5" t="s">
        <v>10</v>
      </c>
      <c r="C98" s="5" t="s">
        <v>31</v>
      </c>
      <c r="D98" s="5" t="s">
        <v>32</v>
      </c>
      <c r="E98" s="5" t="s">
        <v>19</v>
      </c>
      <c r="F98" s="5" t="s">
        <v>14</v>
      </c>
      <c r="G98" s="5" t="s">
        <v>24</v>
      </c>
      <c r="H98" s="5">
        <v>31943</v>
      </c>
      <c r="I98" s="5">
        <v>174</v>
      </c>
      <c r="J98" s="6">
        <f t="shared" si="1"/>
        <v>31769</v>
      </c>
    </row>
    <row r="99" spans="1:10">
      <c r="A99" s="5">
        <v>25944</v>
      </c>
      <c r="B99" s="5" t="s">
        <v>10</v>
      </c>
      <c r="C99" s="5" t="s">
        <v>11</v>
      </c>
      <c r="D99" s="5" t="s">
        <v>32</v>
      </c>
      <c r="E99" s="5" t="s">
        <v>13</v>
      </c>
      <c r="F99" s="5" t="s">
        <v>14</v>
      </c>
      <c r="G99" s="5" t="s">
        <v>15</v>
      </c>
      <c r="H99" s="5">
        <v>47786</v>
      </c>
      <c r="I99" s="5">
        <v>40006</v>
      </c>
      <c r="J99" s="6">
        <f t="shared" si="1"/>
        <v>7780</v>
      </c>
    </row>
    <row r="100" spans="1:10">
      <c r="A100" s="5">
        <v>214504</v>
      </c>
      <c r="B100" s="5" t="s">
        <v>16</v>
      </c>
      <c r="C100" s="5" t="s">
        <v>11</v>
      </c>
      <c r="D100" s="5" t="s">
        <v>33</v>
      </c>
      <c r="E100" s="5" t="s">
        <v>13</v>
      </c>
      <c r="F100" s="5" t="s">
        <v>14</v>
      </c>
      <c r="G100" s="5" t="s">
        <v>15</v>
      </c>
      <c r="H100" s="5">
        <v>76936</v>
      </c>
      <c r="I100" s="5">
        <v>2577</v>
      </c>
      <c r="J100" s="6">
        <f t="shared" si="1"/>
        <v>74359</v>
      </c>
    </row>
    <row r="101" spans="1:10">
      <c r="A101" s="5">
        <v>1628</v>
      </c>
      <c r="B101" s="5" t="s">
        <v>10</v>
      </c>
      <c r="C101" s="5" t="s">
        <v>39</v>
      </c>
      <c r="D101" s="5" t="s">
        <v>32</v>
      </c>
      <c r="E101" s="5" t="s">
        <v>19</v>
      </c>
      <c r="F101" s="5" t="s">
        <v>28</v>
      </c>
      <c r="G101" s="5" t="s">
        <v>24</v>
      </c>
      <c r="H101" s="5">
        <v>4081</v>
      </c>
      <c r="I101" s="5">
        <v>0</v>
      </c>
      <c r="J101" s="6">
        <f t="shared" si="1"/>
        <v>4081</v>
      </c>
    </row>
    <row r="102" spans="1:10">
      <c r="A102" s="5">
        <v>199789</v>
      </c>
      <c r="B102" s="5" t="s">
        <v>10</v>
      </c>
      <c r="C102" s="5" t="s">
        <v>37</v>
      </c>
      <c r="D102" s="5" t="s">
        <v>12</v>
      </c>
      <c r="E102" s="5" t="s">
        <v>13</v>
      </c>
      <c r="F102" s="5" t="s">
        <v>14</v>
      </c>
      <c r="G102" s="5" t="s">
        <v>15</v>
      </c>
      <c r="H102" s="5">
        <v>329444</v>
      </c>
      <c r="I102" s="5">
        <v>56551</v>
      </c>
      <c r="J102" s="6">
        <f t="shared" si="1"/>
        <v>272893</v>
      </c>
    </row>
    <row r="103" spans="1:10">
      <c r="A103" s="5">
        <v>34434</v>
      </c>
      <c r="B103" s="5" t="s">
        <v>16</v>
      </c>
      <c r="C103" s="5" t="s">
        <v>34</v>
      </c>
      <c r="D103" s="5" t="s">
        <v>30</v>
      </c>
      <c r="E103" s="5" t="s">
        <v>19</v>
      </c>
      <c r="F103" s="5" t="s">
        <v>14</v>
      </c>
      <c r="G103" s="5" t="s">
        <v>15</v>
      </c>
      <c r="H103" s="5">
        <v>122207</v>
      </c>
      <c r="I103" s="5">
        <v>1583</v>
      </c>
      <c r="J103" s="6">
        <f t="shared" si="1"/>
        <v>120624</v>
      </c>
    </row>
    <row r="104" spans="1:10">
      <c r="A104" s="5">
        <v>167674</v>
      </c>
      <c r="B104" s="5" t="s">
        <v>10</v>
      </c>
      <c r="C104" s="5" t="s">
        <v>25</v>
      </c>
      <c r="D104" s="5" t="s">
        <v>33</v>
      </c>
      <c r="E104" s="5" t="s">
        <v>19</v>
      </c>
      <c r="F104" s="5" t="s">
        <v>14</v>
      </c>
      <c r="G104" s="5" t="s">
        <v>15</v>
      </c>
      <c r="H104" s="5">
        <v>99468</v>
      </c>
      <c r="I104" s="5">
        <v>5387</v>
      </c>
      <c r="J104" s="6">
        <f t="shared" si="1"/>
        <v>94081</v>
      </c>
    </row>
    <row r="105" spans="1:10">
      <c r="A105" s="5">
        <v>5323</v>
      </c>
      <c r="B105" s="5" t="s">
        <v>16</v>
      </c>
      <c r="C105" s="5" t="s">
        <v>37</v>
      </c>
      <c r="D105" s="5" t="s">
        <v>30</v>
      </c>
      <c r="E105" s="5" t="s">
        <v>13</v>
      </c>
      <c r="F105" s="5" t="s">
        <v>14</v>
      </c>
      <c r="G105" s="5" t="s">
        <v>15</v>
      </c>
      <c r="H105" s="5">
        <v>50782</v>
      </c>
      <c r="I105" s="5">
        <v>2692</v>
      </c>
      <c r="J105" s="6">
        <f t="shared" si="1"/>
        <v>48090</v>
      </c>
    </row>
    <row r="106" spans="1:10">
      <c r="A106" s="5">
        <v>126666</v>
      </c>
      <c r="B106" s="5" t="s">
        <v>16</v>
      </c>
      <c r="C106" s="5" t="s">
        <v>25</v>
      </c>
      <c r="D106" s="5" t="s">
        <v>33</v>
      </c>
      <c r="E106" s="5" t="s">
        <v>19</v>
      </c>
      <c r="F106" s="5" t="s">
        <v>14</v>
      </c>
      <c r="G106" s="5" t="s">
        <v>24</v>
      </c>
      <c r="H106" s="5">
        <v>53826</v>
      </c>
      <c r="I106" s="5">
        <v>0</v>
      </c>
      <c r="J106" s="6">
        <f t="shared" si="1"/>
        <v>53826</v>
      </c>
    </row>
    <row r="107" spans="1:10">
      <c r="A107" s="5">
        <v>174529</v>
      </c>
      <c r="B107" s="5" t="s">
        <v>10</v>
      </c>
      <c r="C107" s="5" t="s">
        <v>22</v>
      </c>
      <c r="D107" s="5" t="s">
        <v>26</v>
      </c>
      <c r="E107" s="5" t="s">
        <v>19</v>
      </c>
      <c r="F107" s="5" t="s">
        <v>14</v>
      </c>
      <c r="G107" s="5" t="s">
        <v>15</v>
      </c>
      <c r="H107" s="5">
        <v>49288</v>
      </c>
      <c r="I107" s="5">
        <v>1244</v>
      </c>
      <c r="J107" s="6">
        <f t="shared" si="1"/>
        <v>48044</v>
      </c>
    </row>
    <row r="108" spans="1:10">
      <c r="A108" s="5">
        <v>121124</v>
      </c>
      <c r="B108" s="5" t="s">
        <v>16</v>
      </c>
      <c r="C108" s="5" t="s">
        <v>22</v>
      </c>
      <c r="D108" s="5" t="s">
        <v>36</v>
      </c>
      <c r="E108" s="5" t="s">
        <v>19</v>
      </c>
      <c r="F108" s="5" t="s">
        <v>14</v>
      </c>
      <c r="G108" s="5" t="s">
        <v>15</v>
      </c>
      <c r="H108" s="5">
        <v>42556</v>
      </c>
      <c r="I108" s="5">
        <v>1199</v>
      </c>
      <c r="J108" s="6">
        <f t="shared" si="1"/>
        <v>41357</v>
      </c>
    </row>
    <row r="109" spans="1:10">
      <c r="A109" s="5">
        <v>34160</v>
      </c>
      <c r="B109" s="5" t="s">
        <v>16</v>
      </c>
      <c r="C109" s="5" t="s">
        <v>11</v>
      </c>
      <c r="D109" s="5" t="s">
        <v>18</v>
      </c>
      <c r="E109" s="5" t="s">
        <v>19</v>
      </c>
      <c r="F109" s="5" t="s">
        <v>14</v>
      </c>
      <c r="G109" s="5" t="s">
        <v>24</v>
      </c>
      <c r="H109" s="5">
        <v>42654</v>
      </c>
      <c r="I109" s="5">
        <v>1192</v>
      </c>
      <c r="J109" s="6">
        <f t="shared" si="1"/>
        <v>41462</v>
      </c>
    </row>
    <row r="110" spans="1:10">
      <c r="A110" s="5">
        <v>52120</v>
      </c>
      <c r="B110" s="5" t="s">
        <v>16</v>
      </c>
      <c r="C110" s="5" t="s">
        <v>34</v>
      </c>
      <c r="D110" s="5" t="s">
        <v>32</v>
      </c>
      <c r="E110" s="5" t="s">
        <v>13</v>
      </c>
      <c r="F110" s="5" t="s">
        <v>14</v>
      </c>
      <c r="G110" s="5" t="s">
        <v>15</v>
      </c>
      <c r="H110" s="5">
        <v>79984</v>
      </c>
      <c r="I110" s="5">
        <v>0</v>
      </c>
      <c r="J110" s="6">
        <f t="shared" si="1"/>
        <v>79984</v>
      </c>
    </row>
    <row r="111" spans="1:10">
      <c r="A111" s="5">
        <v>175058</v>
      </c>
      <c r="B111" s="5" t="s">
        <v>16</v>
      </c>
      <c r="C111" s="5" t="s">
        <v>22</v>
      </c>
      <c r="D111" s="5" t="s">
        <v>30</v>
      </c>
      <c r="E111" s="5" t="s">
        <v>13</v>
      </c>
      <c r="F111" s="5" t="s">
        <v>14</v>
      </c>
      <c r="G111" s="5" t="s">
        <v>15</v>
      </c>
      <c r="H111" s="5">
        <v>315</v>
      </c>
      <c r="I111" s="5">
        <v>1298</v>
      </c>
      <c r="J111" s="6">
        <f t="shared" si="1"/>
        <v>-983</v>
      </c>
    </row>
    <row r="112" spans="1:10">
      <c r="A112" s="5">
        <v>238912</v>
      </c>
      <c r="B112" s="5" t="s">
        <v>10</v>
      </c>
      <c r="C112" s="5" t="s">
        <v>17</v>
      </c>
      <c r="D112" s="5" t="s">
        <v>18</v>
      </c>
      <c r="E112" s="5" t="s">
        <v>19</v>
      </c>
      <c r="F112" s="5" t="s">
        <v>28</v>
      </c>
      <c r="G112" s="5" t="s">
        <v>15</v>
      </c>
      <c r="H112" s="5">
        <v>11568</v>
      </c>
      <c r="I112" s="5">
        <v>380</v>
      </c>
      <c r="J112" s="6">
        <f t="shared" si="1"/>
        <v>11188</v>
      </c>
    </row>
    <row r="113" spans="1:10">
      <c r="A113" s="5">
        <v>96356</v>
      </c>
      <c r="B113" s="5" t="s">
        <v>16</v>
      </c>
      <c r="C113" s="5" t="s">
        <v>20</v>
      </c>
      <c r="D113" s="5" t="s">
        <v>32</v>
      </c>
      <c r="E113" s="5" t="s">
        <v>19</v>
      </c>
      <c r="F113" s="5" t="s">
        <v>14</v>
      </c>
      <c r="G113" s="5" t="s">
        <v>24</v>
      </c>
      <c r="H113" s="5">
        <v>25773</v>
      </c>
      <c r="I113" s="5">
        <v>0</v>
      </c>
      <c r="J113" s="6">
        <f t="shared" si="1"/>
        <v>25773</v>
      </c>
    </row>
    <row r="114" spans="1:10">
      <c r="A114" s="5">
        <v>235723</v>
      </c>
      <c r="B114" s="5" t="s">
        <v>16</v>
      </c>
      <c r="C114" s="5" t="s">
        <v>17</v>
      </c>
      <c r="D114" s="5" t="s">
        <v>30</v>
      </c>
      <c r="E114" s="5" t="s">
        <v>19</v>
      </c>
      <c r="F114" s="5" t="s">
        <v>28</v>
      </c>
      <c r="G114" s="5" t="s">
        <v>15</v>
      </c>
      <c r="H114" s="5">
        <v>45033</v>
      </c>
      <c r="I114" s="5">
        <v>2422</v>
      </c>
      <c r="J114" s="6">
        <f t="shared" si="1"/>
        <v>42611</v>
      </c>
    </row>
    <row r="115" spans="1:10">
      <c r="A115" s="5">
        <v>195482</v>
      </c>
      <c r="B115" s="5" t="s">
        <v>10</v>
      </c>
      <c r="C115" s="5" t="s">
        <v>11</v>
      </c>
      <c r="D115" s="5" t="s">
        <v>30</v>
      </c>
      <c r="E115" s="5" t="s">
        <v>13</v>
      </c>
      <c r="F115" s="5" t="s">
        <v>14</v>
      </c>
      <c r="G115" s="5" t="s">
        <v>15</v>
      </c>
      <c r="H115" s="5">
        <v>106693</v>
      </c>
      <c r="I115" s="5">
        <v>474</v>
      </c>
      <c r="J115" s="6">
        <f t="shared" si="1"/>
        <v>106219</v>
      </c>
    </row>
    <row r="116" spans="1:10">
      <c r="A116" s="5">
        <v>246762</v>
      </c>
      <c r="B116" s="5" t="s">
        <v>16</v>
      </c>
      <c r="C116" s="5" t="s">
        <v>17</v>
      </c>
      <c r="D116" s="5" t="s">
        <v>18</v>
      </c>
      <c r="E116" s="5" t="s">
        <v>19</v>
      </c>
      <c r="F116" s="5" t="s">
        <v>14</v>
      </c>
      <c r="G116" s="5" t="s">
        <v>15</v>
      </c>
      <c r="H116" s="5">
        <v>23903</v>
      </c>
      <c r="I116" s="5">
        <v>270</v>
      </c>
      <c r="J116" s="6">
        <f t="shared" si="1"/>
        <v>23633</v>
      </c>
    </row>
    <row r="117" spans="1:10">
      <c r="A117" s="5">
        <v>222188</v>
      </c>
      <c r="B117" s="5" t="s">
        <v>16</v>
      </c>
      <c r="C117" s="5" t="s">
        <v>20</v>
      </c>
      <c r="D117" s="5" t="s">
        <v>32</v>
      </c>
      <c r="E117" s="5" t="s">
        <v>19</v>
      </c>
      <c r="F117" s="5" t="s">
        <v>28</v>
      </c>
      <c r="G117" s="5" t="s">
        <v>15</v>
      </c>
      <c r="H117" s="5">
        <v>107373</v>
      </c>
      <c r="I117" s="5">
        <v>0</v>
      </c>
      <c r="J117" s="6">
        <f t="shared" si="1"/>
        <v>107373</v>
      </c>
    </row>
    <row r="118" spans="1:10">
      <c r="A118" s="5">
        <v>148276</v>
      </c>
      <c r="B118" s="5" t="s">
        <v>16</v>
      </c>
      <c r="C118" s="5" t="s">
        <v>25</v>
      </c>
      <c r="D118" s="5" t="s">
        <v>36</v>
      </c>
      <c r="E118" s="5" t="s">
        <v>19</v>
      </c>
      <c r="F118" s="5" t="s">
        <v>28</v>
      </c>
      <c r="G118" s="5" t="s">
        <v>24</v>
      </c>
      <c r="H118" s="5">
        <v>65323</v>
      </c>
      <c r="I118" s="5">
        <v>355</v>
      </c>
      <c r="J118" s="6">
        <f t="shared" si="1"/>
        <v>64968</v>
      </c>
    </row>
    <row r="119" spans="1:10">
      <c r="A119" s="5">
        <v>113004</v>
      </c>
      <c r="B119" s="5" t="s">
        <v>10</v>
      </c>
      <c r="C119" s="5" t="s">
        <v>22</v>
      </c>
      <c r="D119" s="5" t="s">
        <v>30</v>
      </c>
      <c r="E119" s="5" t="s">
        <v>13</v>
      </c>
      <c r="F119" s="5" t="s">
        <v>14</v>
      </c>
      <c r="G119" s="5" t="s">
        <v>15</v>
      </c>
      <c r="H119" s="5">
        <v>127211</v>
      </c>
      <c r="I119" s="5">
        <v>4884</v>
      </c>
      <c r="J119" s="6">
        <f t="shared" si="1"/>
        <v>122327</v>
      </c>
    </row>
    <row r="120" spans="1:10">
      <c r="A120" s="5">
        <v>199354</v>
      </c>
      <c r="B120" s="5" t="s">
        <v>10</v>
      </c>
      <c r="C120" s="5" t="s">
        <v>38</v>
      </c>
      <c r="D120" s="5" t="s">
        <v>32</v>
      </c>
      <c r="E120" s="5" t="s">
        <v>13</v>
      </c>
      <c r="F120" s="5" t="s">
        <v>14</v>
      </c>
      <c r="G120" s="5" t="s">
        <v>15</v>
      </c>
      <c r="H120" s="5">
        <v>14509</v>
      </c>
      <c r="I120" s="5">
        <v>1345</v>
      </c>
      <c r="J120" s="6">
        <f t="shared" si="1"/>
        <v>13164</v>
      </c>
    </row>
    <row r="121" spans="1:10">
      <c r="A121" s="5">
        <v>71850</v>
      </c>
      <c r="B121" s="5" t="s">
        <v>16</v>
      </c>
      <c r="C121" s="5" t="s">
        <v>27</v>
      </c>
      <c r="D121" s="5" t="s">
        <v>30</v>
      </c>
      <c r="E121" s="5" t="s">
        <v>13</v>
      </c>
      <c r="F121" s="5" t="s">
        <v>14</v>
      </c>
      <c r="G121" s="5" t="s">
        <v>15</v>
      </c>
      <c r="H121" s="5">
        <v>43748</v>
      </c>
      <c r="I121" s="5">
        <v>2569</v>
      </c>
      <c r="J121" s="6">
        <f t="shared" si="1"/>
        <v>41179</v>
      </c>
    </row>
    <row r="122" spans="1:10">
      <c r="A122" s="5">
        <v>254383</v>
      </c>
      <c r="B122" s="5" t="s">
        <v>10</v>
      </c>
      <c r="C122" s="5" t="s">
        <v>31</v>
      </c>
      <c r="D122" s="5" t="s">
        <v>21</v>
      </c>
      <c r="E122" s="5" t="s">
        <v>19</v>
      </c>
      <c r="F122" s="5" t="s">
        <v>28</v>
      </c>
      <c r="G122" s="5" t="s">
        <v>15</v>
      </c>
      <c r="H122" s="5">
        <v>25281</v>
      </c>
      <c r="I122" s="5">
        <v>196</v>
      </c>
      <c r="J122" s="6">
        <f t="shared" si="1"/>
        <v>25085</v>
      </c>
    </row>
    <row r="123" spans="1:10">
      <c r="A123" s="5">
        <v>5589</v>
      </c>
      <c r="B123" s="5" t="s">
        <v>10</v>
      </c>
      <c r="C123" s="5" t="s">
        <v>38</v>
      </c>
      <c r="D123" s="5" t="s">
        <v>29</v>
      </c>
      <c r="E123" s="5" t="s">
        <v>13</v>
      </c>
      <c r="F123" s="5" t="s">
        <v>14</v>
      </c>
      <c r="G123" s="5" t="s">
        <v>15</v>
      </c>
      <c r="H123" s="5">
        <v>4007</v>
      </c>
      <c r="I123" s="5">
        <v>120</v>
      </c>
      <c r="J123" s="6">
        <f t="shared" si="1"/>
        <v>3887</v>
      </c>
    </row>
    <row r="124" spans="1:10">
      <c r="A124" s="5">
        <v>72632</v>
      </c>
      <c r="B124" s="5" t="s">
        <v>16</v>
      </c>
      <c r="C124" s="5" t="s">
        <v>27</v>
      </c>
      <c r="D124" s="5" t="s">
        <v>30</v>
      </c>
      <c r="E124" s="5" t="s">
        <v>13</v>
      </c>
      <c r="F124" s="5" t="s">
        <v>14</v>
      </c>
      <c r="G124" s="5" t="s">
        <v>15</v>
      </c>
      <c r="H124" s="5">
        <v>133566</v>
      </c>
      <c r="I124" s="5">
        <v>5948</v>
      </c>
      <c r="J124" s="6">
        <f t="shared" si="1"/>
        <v>127618</v>
      </c>
    </row>
    <row r="125" spans="1:10">
      <c r="A125" s="5">
        <v>207016</v>
      </c>
      <c r="B125" s="5" t="s">
        <v>10</v>
      </c>
      <c r="C125" s="5" t="s">
        <v>37</v>
      </c>
      <c r="D125" s="5" t="s">
        <v>32</v>
      </c>
      <c r="E125" s="5" t="s">
        <v>13</v>
      </c>
      <c r="F125" s="5" t="s">
        <v>14</v>
      </c>
      <c r="G125" s="5" t="s">
        <v>15</v>
      </c>
      <c r="H125" s="5">
        <v>39357</v>
      </c>
      <c r="I125" s="5">
        <v>0</v>
      </c>
      <c r="J125" s="6">
        <f t="shared" si="1"/>
        <v>39357</v>
      </c>
    </row>
    <row r="126" spans="1:10">
      <c r="A126" s="5">
        <v>117286</v>
      </c>
      <c r="B126" s="5" t="s">
        <v>10</v>
      </c>
      <c r="C126" s="5" t="s">
        <v>17</v>
      </c>
      <c r="D126" s="5" t="s">
        <v>29</v>
      </c>
      <c r="E126" s="5" t="s">
        <v>19</v>
      </c>
      <c r="F126" s="5" t="s">
        <v>14</v>
      </c>
      <c r="G126" s="5" t="s">
        <v>24</v>
      </c>
      <c r="H126" s="5">
        <v>19613</v>
      </c>
      <c r="I126" s="5">
        <v>200</v>
      </c>
      <c r="J126" s="6">
        <f t="shared" si="1"/>
        <v>19413</v>
      </c>
    </row>
    <row r="127" spans="1:10">
      <c r="A127" s="5">
        <v>254457</v>
      </c>
      <c r="B127" s="5" t="s">
        <v>16</v>
      </c>
      <c r="C127" s="5" t="s">
        <v>34</v>
      </c>
      <c r="D127" s="5" t="s">
        <v>36</v>
      </c>
      <c r="E127" s="5" t="s">
        <v>13</v>
      </c>
      <c r="F127" s="5" t="s">
        <v>14</v>
      </c>
      <c r="G127" s="5" t="s">
        <v>15</v>
      </c>
      <c r="H127" s="5">
        <v>12158</v>
      </c>
      <c r="I127" s="5">
        <v>111</v>
      </c>
      <c r="J127" s="6">
        <f t="shared" si="1"/>
        <v>12047</v>
      </c>
    </row>
    <row r="128" spans="1:10">
      <c r="A128" s="5">
        <v>165460</v>
      </c>
      <c r="B128" s="5" t="s">
        <v>10</v>
      </c>
      <c r="C128" s="5" t="s">
        <v>27</v>
      </c>
      <c r="D128" s="5" t="s">
        <v>21</v>
      </c>
      <c r="E128" s="5" t="s">
        <v>19</v>
      </c>
      <c r="F128" s="5" t="s">
        <v>14</v>
      </c>
      <c r="G128" s="5" t="s">
        <v>24</v>
      </c>
      <c r="H128" s="5">
        <v>57090</v>
      </c>
      <c r="I128" s="5">
        <v>378</v>
      </c>
      <c r="J128" s="6">
        <f t="shared" si="1"/>
        <v>56712</v>
      </c>
    </row>
    <row r="129" spans="1:10">
      <c r="A129" s="5">
        <v>61572</v>
      </c>
      <c r="B129" s="5" t="s">
        <v>10</v>
      </c>
      <c r="C129" s="5" t="s">
        <v>27</v>
      </c>
      <c r="D129" s="5" t="s">
        <v>23</v>
      </c>
      <c r="E129" s="5" t="s">
        <v>13</v>
      </c>
      <c r="F129" s="5" t="s">
        <v>14</v>
      </c>
      <c r="G129" s="5" t="s">
        <v>15</v>
      </c>
      <c r="H129" s="5">
        <v>111777</v>
      </c>
      <c r="I129" s="5">
        <v>10223</v>
      </c>
      <c r="J129" s="6">
        <f t="shared" si="1"/>
        <v>101554</v>
      </c>
    </row>
    <row r="130" spans="1:10">
      <c r="A130" s="5">
        <v>247583</v>
      </c>
      <c r="B130" s="5" t="s">
        <v>16</v>
      </c>
      <c r="C130" s="5" t="s">
        <v>17</v>
      </c>
      <c r="D130" s="5" t="s">
        <v>23</v>
      </c>
      <c r="E130" s="5" t="s">
        <v>19</v>
      </c>
      <c r="F130" s="5" t="s">
        <v>28</v>
      </c>
      <c r="G130" s="5" t="s">
        <v>15</v>
      </c>
      <c r="H130" s="5">
        <v>26704</v>
      </c>
      <c r="I130" s="5">
        <v>286</v>
      </c>
      <c r="J130" s="6">
        <f t="shared" ref="J130:J193" si="2">H130-I130</f>
        <v>26418</v>
      </c>
    </row>
    <row r="131" spans="1:10">
      <c r="A131" s="5">
        <v>62513</v>
      </c>
      <c r="B131" s="5" t="s">
        <v>10</v>
      </c>
      <c r="C131" s="5" t="s">
        <v>27</v>
      </c>
      <c r="D131" s="5" t="s">
        <v>32</v>
      </c>
      <c r="E131" s="5" t="s">
        <v>13</v>
      </c>
      <c r="F131" s="5" t="s">
        <v>14</v>
      </c>
      <c r="G131" s="5" t="s">
        <v>15</v>
      </c>
      <c r="H131" s="5">
        <v>71831</v>
      </c>
      <c r="I131" s="5">
        <v>3041</v>
      </c>
      <c r="J131" s="6">
        <f t="shared" si="2"/>
        <v>68790</v>
      </c>
    </row>
    <row r="132" spans="1:10">
      <c r="A132" s="5">
        <v>189937</v>
      </c>
      <c r="B132" s="5" t="s">
        <v>16</v>
      </c>
      <c r="C132" s="5" t="s">
        <v>37</v>
      </c>
      <c r="D132" s="5" t="s">
        <v>30</v>
      </c>
      <c r="E132" s="5" t="s">
        <v>13</v>
      </c>
      <c r="F132" s="5" t="s">
        <v>14</v>
      </c>
      <c r="G132" s="5" t="s">
        <v>15</v>
      </c>
      <c r="H132" s="5">
        <v>47597</v>
      </c>
      <c r="I132" s="5">
        <v>602</v>
      </c>
      <c r="J132" s="6">
        <f t="shared" si="2"/>
        <v>46995</v>
      </c>
    </row>
    <row r="133" spans="1:10">
      <c r="A133" s="5">
        <v>164876</v>
      </c>
      <c r="B133" s="5" t="s">
        <v>10</v>
      </c>
      <c r="C133" s="5" t="s">
        <v>35</v>
      </c>
      <c r="D133" s="5" t="s">
        <v>12</v>
      </c>
      <c r="E133" s="5" t="s">
        <v>13</v>
      </c>
      <c r="F133" s="5" t="s">
        <v>14</v>
      </c>
      <c r="G133" s="5" t="s">
        <v>15</v>
      </c>
      <c r="H133" s="5">
        <v>63752</v>
      </c>
      <c r="I133" s="5">
        <v>2277</v>
      </c>
      <c r="J133" s="6">
        <f t="shared" si="2"/>
        <v>61475</v>
      </c>
    </row>
    <row r="134" spans="1:10">
      <c r="A134" s="5">
        <v>253899</v>
      </c>
      <c r="B134" s="5" t="s">
        <v>16</v>
      </c>
      <c r="C134" s="5" t="s">
        <v>17</v>
      </c>
      <c r="D134" s="5" t="s">
        <v>33</v>
      </c>
      <c r="E134" s="5" t="s">
        <v>19</v>
      </c>
      <c r="F134" s="5" t="s">
        <v>14</v>
      </c>
      <c r="G134" s="5" t="s">
        <v>24</v>
      </c>
      <c r="H134" s="5">
        <v>40434</v>
      </c>
      <c r="I134" s="5">
        <v>1065</v>
      </c>
      <c r="J134" s="6">
        <f t="shared" si="2"/>
        <v>39369</v>
      </c>
    </row>
    <row r="135" spans="1:10">
      <c r="A135" s="5">
        <v>166422</v>
      </c>
      <c r="B135" s="5" t="s">
        <v>10</v>
      </c>
      <c r="C135" s="5" t="s">
        <v>22</v>
      </c>
      <c r="D135" s="5" t="s">
        <v>32</v>
      </c>
      <c r="E135" s="5" t="s">
        <v>19</v>
      </c>
      <c r="F135" s="5" t="s">
        <v>14</v>
      </c>
      <c r="G135" s="5" t="s">
        <v>24</v>
      </c>
      <c r="H135" s="5">
        <v>0</v>
      </c>
      <c r="I135" s="5">
        <v>0</v>
      </c>
      <c r="J135" s="6">
        <f t="shared" si="2"/>
        <v>0</v>
      </c>
    </row>
    <row r="136" spans="1:10">
      <c r="A136" s="5">
        <v>98678</v>
      </c>
      <c r="B136" s="5" t="s">
        <v>16</v>
      </c>
      <c r="C136" s="5" t="s">
        <v>37</v>
      </c>
      <c r="D136" s="5" t="s">
        <v>12</v>
      </c>
      <c r="E136" s="5" t="s">
        <v>13</v>
      </c>
      <c r="F136" s="5" t="s">
        <v>14</v>
      </c>
      <c r="G136" s="5" t="s">
        <v>15</v>
      </c>
      <c r="H136" s="5">
        <v>23118</v>
      </c>
      <c r="I136" s="5">
        <v>332</v>
      </c>
      <c r="J136" s="6">
        <f t="shared" si="2"/>
        <v>22786</v>
      </c>
    </row>
    <row r="137" spans="1:10">
      <c r="A137" s="5">
        <v>233812</v>
      </c>
      <c r="B137" s="5" t="s">
        <v>16</v>
      </c>
      <c r="C137" s="5" t="s">
        <v>17</v>
      </c>
      <c r="D137" s="5" t="s">
        <v>12</v>
      </c>
      <c r="E137" s="5" t="s">
        <v>19</v>
      </c>
      <c r="F137" s="5" t="s">
        <v>14</v>
      </c>
      <c r="G137" s="5" t="s">
        <v>24</v>
      </c>
      <c r="H137" s="5">
        <v>33626</v>
      </c>
      <c r="I137" s="5">
        <v>1337</v>
      </c>
      <c r="J137" s="6">
        <f t="shared" si="2"/>
        <v>32289</v>
      </c>
    </row>
    <row r="138" spans="1:10">
      <c r="A138" s="5">
        <v>85654</v>
      </c>
      <c r="B138" s="5" t="s">
        <v>10</v>
      </c>
      <c r="C138" s="5" t="s">
        <v>11</v>
      </c>
      <c r="D138" s="5" t="s">
        <v>26</v>
      </c>
      <c r="E138" s="5" t="s">
        <v>13</v>
      </c>
      <c r="F138" s="5" t="s">
        <v>14</v>
      </c>
      <c r="G138" s="5" t="s">
        <v>15</v>
      </c>
      <c r="H138" s="5">
        <v>49023</v>
      </c>
      <c r="I138" s="5">
        <v>1112</v>
      </c>
      <c r="J138" s="6">
        <f t="shared" si="2"/>
        <v>47911</v>
      </c>
    </row>
    <row r="139" spans="1:10">
      <c r="A139" s="5">
        <v>100428</v>
      </c>
      <c r="B139" s="5" t="s">
        <v>10</v>
      </c>
      <c r="C139" s="5" t="s">
        <v>11</v>
      </c>
      <c r="D139" s="5" t="s">
        <v>23</v>
      </c>
      <c r="E139" s="5" t="s">
        <v>19</v>
      </c>
      <c r="F139" s="5" t="s">
        <v>14</v>
      </c>
      <c r="G139" s="5" t="s">
        <v>24</v>
      </c>
      <c r="H139" s="5">
        <v>44018</v>
      </c>
      <c r="I139" s="5">
        <v>805</v>
      </c>
      <c r="J139" s="6">
        <f t="shared" si="2"/>
        <v>43213</v>
      </c>
    </row>
    <row r="140" spans="1:10">
      <c r="A140" s="5">
        <v>199811</v>
      </c>
      <c r="B140" s="5" t="s">
        <v>10</v>
      </c>
      <c r="C140" s="5" t="s">
        <v>34</v>
      </c>
      <c r="D140" s="5" t="s">
        <v>30</v>
      </c>
      <c r="E140" s="5" t="s">
        <v>13</v>
      </c>
      <c r="F140" s="5" t="s">
        <v>14</v>
      </c>
      <c r="G140" s="5" t="s">
        <v>15</v>
      </c>
      <c r="H140" s="5">
        <v>153645</v>
      </c>
      <c r="I140" s="5">
        <v>13465</v>
      </c>
      <c r="J140" s="6">
        <f t="shared" si="2"/>
        <v>140180</v>
      </c>
    </row>
    <row r="141" spans="1:10">
      <c r="A141" s="5">
        <v>238918</v>
      </c>
      <c r="B141" s="5" t="s">
        <v>16</v>
      </c>
      <c r="C141" s="5" t="s">
        <v>17</v>
      </c>
      <c r="D141" s="5" t="s">
        <v>18</v>
      </c>
      <c r="E141" s="5" t="s">
        <v>19</v>
      </c>
      <c r="F141" s="5" t="s">
        <v>28</v>
      </c>
      <c r="G141" s="5" t="s">
        <v>24</v>
      </c>
      <c r="H141" s="5">
        <v>30551</v>
      </c>
      <c r="I141" s="5">
        <v>0</v>
      </c>
      <c r="J141" s="6">
        <f t="shared" si="2"/>
        <v>30551</v>
      </c>
    </row>
    <row r="142" spans="1:10">
      <c r="A142" s="5">
        <v>179467</v>
      </c>
      <c r="B142" s="5" t="s">
        <v>16</v>
      </c>
      <c r="C142" s="5" t="s">
        <v>35</v>
      </c>
      <c r="D142" s="5" t="s">
        <v>21</v>
      </c>
      <c r="E142" s="5" t="s">
        <v>19</v>
      </c>
      <c r="F142" s="5" t="s">
        <v>14</v>
      </c>
      <c r="G142" s="5" t="s">
        <v>24</v>
      </c>
      <c r="H142" s="5">
        <v>40291</v>
      </c>
      <c r="I142" s="5">
        <v>132</v>
      </c>
      <c r="J142" s="6">
        <f t="shared" si="2"/>
        <v>40159</v>
      </c>
    </row>
    <row r="143" spans="1:10">
      <c r="A143" s="5">
        <v>84077</v>
      </c>
      <c r="B143" s="5" t="s">
        <v>16</v>
      </c>
      <c r="C143" s="5" t="s">
        <v>34</v>
      </c>
      <c r="D143" s="5" t="s">
        <v>26</v>
      </c>
      <c r="E143" s="5" t="s">
        <v>13</v>
      </c>
      <c r="F143" s="5" t="s">
        <v>14</v>
      </c>
      <c r="G143" s="5" t="s">
        <v>24</v>
      </c>
      <c r="H143" s="5">
        <v>48649</v>
      </c>
      <c r="I143" s="5">
        <v>3338</v>
      </c>
      <c r="J143" s="6">
        <f t="shared" si="2"/>
        <v>45311</v>
      </c>
    </row>
    <row r="144" spans="1:10">
      <c r="A144" s="5">
        <v>10417</v>
      </c>
      <c r="B144" s="5" t="s">
        <v>16</v>
      </c>
      <c r="C144" s="5" t="s">
        <v>34</v>
      </c>
      <c r="D144" s="5" t="s">
        <v>33</v>
      </c>
      <c r="E144" s="5" t="s">
        <v>13</v>
      </c>
      <c r="F144" s="5" t="s">
        <v>14</v>
      </c>
      <c r="G144" s="5" t="s">
        <v>24</v>
      </c>
      <c r="H144" s="5">
        <v>23126</v>
      </c>
      <c r="I144" s="5">
        <v>975</v>
      </c>
      <c r="J144" s="6">
        <f t="shared" si="2"/>
        <v>22151</v>
      </c>
    </row>
    <row r="145" spans="1:10">
      <c r="A145" s="5">
        <v>89872</v>
      </c>
      <c r="B145" s="5" t="s">
        <v>10</v>
      </c>
      <c r="C145" s="5" t="s">
        <v>38</v>
      </c>
      <c r="D145" s="5" t="s">
        <v>32</v>
      </c>
      <c r="E145" s="5" t="s">
        <v>13</v>
      </c>
      <c r="F145" s="5" t="s">
        <v>14</v>
      </c>
      <c r="G145" s="5" t="s">
        <v>24</v>
      </c>
      <c r="H145" s="5">
        <v>22803</v>
      </c>
      <c r="I145" s="5">
        <v>0</v>
      </c>
      <c r="J145" s="6">
        <f t="shared" si="2"/>
        <v>22803</v>
      </c>
    </row>
    <row r="146" spans="1:10">
      <c r="A146" s="5">
        <v>106184</v>
      </c>
      <c r="B146" s="5" t="s">
        <v>16</v>
      </c>
      <c r="C146" s="5" t="s">
        <v>22</v>
      </c>
      <c r="D146" s="5" t="s">
        <v>23</v>
      </c>
      <c r="E146" s="5" t="s">
        <v>13</v>
      </c>
      <c r="F146" s="5" t="s">
        <v>14</v>
      </c>
      <c r="G146" s="5" t="s">
        <v>15</v>
      </c>
      <c r="H146" s="5">
        <v>61574</v>
      </c>
      <c r="I146" s="5">
        <v>305</v>
      </c>
      <c r="J146" s="6">
        <f t="shared" si="2"/>
        <v>61269</v>
      </c>
    </row>
    <row r="147" spans="1:10">
      <c r="A147" s="5">
        <v>212671</v>
      </c>
      <c r="B147" s="5" t="s">
        <v>10</v>
      </c>
      <c r="C147" s="5" t="s">
        <v>34</v>
      </c>
      <c r="D147" s="5" t="s">
        <v>32</v>
      </c>
      <c r="E147" s="5" t="s">
        <v>13</v>
      </c>
      <c r="F147" s="5" t="s">
        <v>14</v>
      </c>
      <c r="G147" s="5" t="s">
        <v>15</v>
      </c>
      <c r="H147" s="5">
        <v>20410</v>
      </c>
      <c r="I147" s="5">
        <v>400</v>
      </c>
      <c r="J147" s="6">
        <f t="shared" si="2"/>
        <v>20010</v>
      </c>
    </row>
    <row r="148" spans="1:10">
      <c r="A148" s="5">
        <v>183036</v>
      </c>
      <c r="B148" s="5" t="s">
        <v>16</v>
      </c>
      <c r="C148" s="5" t="s">
        <v>20</v>
      </c>
      <c r="D148" s="5" t="s">
        <v>32</v>
      </c>
      <c r="E148" s="5" t="s">
        <v>19</v>
      </c>
      <c r="F148" s="5" t="s">
        <v>14</v>
      </c>
      <c r="G148" s="5" t="s">
        <v>24</v>
      </c>
      <c r="H148" s="5">
        <v>81512</v>
      </c>
      <c r="I148" s="5">
        <v>585</v>
      </c>
      <c r="J148" s="6">
        <f t="shared" si="2"/>
        <v>80927</v>
      </c>
    </row>
    <row r="149" spans="1:10">
      <c r="A149" s="5">
        <v>115457</v>
      </c>
      <c r="B149" s="5" t="s">
        <v>16</v>
      </c>
      <c r="C149" s="5" t="s">
        <v>25</v>
      </c>
      <c r="D149" s="5" t="s">
        <v>18</v>
      </c>
      <c r="E149" s="5" t="s">
        <v>19</v>
      </c>
      <c r="F149" s="5" t="s">
        <v>14</v>
      </c>
      <c r="G149" s="5" t="s">
        <v>24</v>
      </c>
      <c r="H149" s="5">
        <v>54378</v>
      </c>
      <c r="I149" s="5">
        <v>11234</v>
      </c>
      <c r="J149" s="6">
        <f t="shared" si="2"/>
        <v>43144</v>
      </c>
    </row>
    <row r="150" spans="1:10">
      <c r="A150" s="5">
        <v>114266</v>
      </c>
      <c r="B150" s="5" t="s">
        <v>10</v>
      </c>
      <c r="C150" s="5" t="s">
        <v>22</v>
      </c>
      <c r="D150" s="5" t="s">
        <v>23</v>
      </c>
      <c r="E150" s="5" t="s">
        <v>19</v>
      </c>
      <c r="F150" s="5" t="s">
        <v>14</v>
      </c>
      <c r="G150" s="5" t="s">
        <v>15</v>
      </c>
      <c r="H150" s="5">
        <v>103899</v>
      </c>
      <c r="I150" s="5">
        <v>4277</v>
      </c>
      <c r="J150" s="6">
        <f t="shared" si="2"/>
        <v>99622</v>
      </c>
    </row>
    <row r="151" spans="1:10">
      <c r="A151" s="5">
        <v>135972</v>
      </c>
      <c r="B151" s="5" t="s">
        <v>16</v>
      </c>
      <c r="C151" s="5" t="s">
        <v>22</v>
      </c>
      <c r="D151" s="5" t="s">
        <v>33</v>
      </c>
      <c r="E151" s="5" t="s">
        <v>19</v>
      </c>
      <c r="F151" s="5" t="s">
        <v>14</v>
      </c>
      <c r="G151" s="5" t="s">
        <v>15</v>
      </c>
      <c r="H151" s="5">
        <v>67993</v>
      </c>
      <c r="I151" s="5">
        <v>323</v>
      </c>
      <c r="J151" s="6">
        <f t="shared" si="2"/>
        <v>67670</v>
      </c>
    </row>
    <row r="152" spans="1:10">
      <c r="A152" s="5">
        <v>121500</v>
      </c>
      <c r="B152" s="5" t="s">
        <v>16</v>
      </c>
      <c r="C152" s="5" t="s">
        <v>22</v>
      </c>
      <c r="D152" s="5" t="s">
        <v>30</v>
      </c>
      <c r="E152" s="5" t="s">
        <v>13</v>
      </c>
      <c r="F152" s="5" t="s">
        <v>14</v>
      </c>
      <c r="G152" s="5" t="s">
        <v>15</v>
      </c>
      <c r="H152" s="5">
        <v>38749</v>
      </c>
      <c r="I152" s="5">
        <v>4745</v>
      </c>
      <c r="J152" s="6">
        <f t="shared" si="2"/>
        <v>34004</v>
      </c>
    </row>
    <row r="153" spans="1:10">
      <c r="A153" s="5">
        <v>170658</v>
      </c>
      <c r="B153" s="5" t="s">
        <v>10</v>
      </c>
      <c r="C153" s="5" t="s">
        <v>17</v>
      </c>
      <c r="D153" s="5" t="s">
        <v>36</v>
      </c>
      <c r="E153" s="5" t="s">
        <v>19</v>
      </c>
      <c r="F153" s="5" t="s">
        <v>14</v>
      </c>
      <c r="G153" s="5" t="s">
        <v>15</v>
      </c>
      <c r="H153" s="5">
        <v>15506</v>
      </c>
      <c r="I153" s="5">
        <v>0</v>
      </c>
      <c r="J153" s="6">
        <f t="shared" si="2"/>
        <v>15506</v>
      </c>
    </row>
    <row r="154" spans="1:10">
      <c r="A154" s="5">
        <v>145732</v>
      </c>
      <c r="B154" s="5" t="s">
        <v>10</v>
      </c>
      <c r="C154" s="5" t="s">
        <v>25</v>
      </c>
      <c r="D154" s="5" t="s">
        <v>30</v>
      </c>
      <c r="E154" s="5" t="s">
        <v>13</v>
      </c>
      <c r="F154" s="5" t="s">
        <v>14</v>
      </c>
      <c r="G154" s="5" t="s">
        <v>24</v>
      </c>
      <c r="H154" s="5">
        <v>67930</v>
      </c>
      <c r="I154" s="5">
        <v>468</v>
      </c>
      <c r="J154" s="6">
        <f t="shared" si="2"/>
        <v>67462</v>
      </c>
    </row>
    <row r="155" spans="1:10">
      <c r="A155" s="5">
        <v>82959</v>
      </c>
      <c r="B155" s="5" t="s">
        <v>16</v>
      </c>
      <c r="C155" s="5" t="s">
        <v>34</v>
      </c>
      <c r="D155" s="5" t="s">
        <v>32</v>
      </c>
      <c r="E155" s="5" t="s">
        <v>13</v>
      </c>
      <c r="F155" s="5" t="s">
        <v>14</v>
      </c>
      <c r="G155" s="5" t="s">
        <v>24</v>
      </c>
      <c r="H155" s="5">
        <v>18500</v>
      </c>
      <c r="I155" s="5">
        <v>0</v>
      </c>
      <c r="J155" s="6">
        <f t="shared" si="2"/>
        <v>18500</v>
      </c>
    </row>
    <row r="156" spans="1:10">
      <c r="A156" s="5">
        <v>76082</v>
      </c>
      <c r="B156" s="5" t="s">
        <v>16</v>
      </c>
      <c r="C156" s="5" t="s">
        <v>20</v>
      </c>
      <c r="D156" s="5" t="s">
        <v>32</v>
      </c>
      <c r="E156" s="5" t="s">
        <v>19</v>
      </c>
      <c r="F156" s="5" t="s">
        <v>28</v>
      </c>
      <c r="G156" s="5" t="s">
        <v>24</v>
      </c>
      <c r="H156" s="5">
        <v>303</v>
      </c>
      <c r="I156" s="5">
        <v>0</v>
      </c>
      <c r="J156" s="6">
        <f t="shared" si="2"/>
        <v>303</v>
      </c>
    </row>
    <row r="157" spans="1:10">
      <c r="A157" s="5">
        <v>72102</v>
      </c>
      <c r="B157" s="5" t="s">
        <v>16</v>
      </c>
      <c r="C157" s="5" t="s">
        <v>27</v>
      </c>
      <c r="D157" s="5" t="s">
        <v>26</v>
      </c>
      <c r="E157" s="5" t="s">
        <v>13</v>
      </c>
      <c r="F157" s="5" t="s">
        <v>28</v>
      </c>
      <c r="G157" s="5" t="s">
        <v>24</v>
      </c>
      <c r="H157" s="5">
        <v>13558</v>
      </c>
      <c r="I157" s="5">
        <v>404</v>
      </c>
      <c r="J157" s="6">
        <f t="shared" si="2"/>
        <v>13154</v>
      </c>
    </row>
    <row r="158" spans="1:10">
      <c r="A158" s="5">
        <v>256564</v>
      </c>
      <c r="B158" s="5" t="s">
        <v>10</v>
      </c>
      <c r="C158" s="5" t="s">
        <v>27</v>
      </c>
      <c r="D158" s="5" t="s">
        <v>29</v>
      </c>
      <c r="E158" s="5" t="s">
        <v>19</v>
      </c>
      <c r="F158" s="5" t="s">
        <v>14</v>
      </c>
      <c r="G158" s="5" t="s">
        <v>24</v>
      </c>
      <c r="H158" s="5">
        <v>44214</v>
      </c>
      <c r="I158" s="5">
        <v>387</v>
      </c>
      <c r="J158" s="6">
        <f t="shared" si="2"/>
        <v>43827</v>
      </c>
    </row>
    <row r="159" spans="1:10">
      <c r="A159" s="5">
        <v>103659</v>
      </c>
      <c r="B159" s="5" t="s">
        <v>10</v>
      </c>
      <c r="C159" s="5" t="s">
        <v>11</v>
      </c>
      <c r="D159" s="5" t="s">
        <v>32</v>
      </c>
      <c r="E159" s="5" t="s">
        <v>13</v>
      </c>
      <c r="F159" s="5" t="s">
        <v>14</v>
      </c>
      <c r="G159" s="5" t="s">
        <v>15</v>
      </c>
      <c r="H159" s="5">
        <v>162588</v>
      </c>
      <c r="I159" s="5">
        <v>1874</v>
      </c>
      <c r="J159" s="6">
        <f t="shared" si="2"/>
        <v>160714</v>
      </c>
    </row>
    <row r="160" spans="1:10">
      <c r="A160" s="5">
        <v>241528</v>
      </c>
      <c r="B160" s="5" t="s">
        <v>16</v>
      </c>
      <c r="C160" s="5" t="s">
        <v>25</v>
      </c>
      <c r="D160" s="5" t="s">
        <v>36</v>
      </c>
      <c r="E160" s="5" t="s">
        <v>19</v>
      </c>
      <c r="F160" s="5" t="s">
        <v>28</v>
      </c>
      <c r="G160" s="5" t="s">
        <v>24</v>
      </c>
      <c r="H160" s="5">
        <v>19823</v>
      </c>
      <c r="I160" s="5">
        <v>0</v>
      </c>
      <c r="J160" s="6">
        <f t="shared" si="2"/>
        <v>19823</v>
      </c>
    </row>
    <row r="161" spans="1:10">
      <c r="A161" s="5">
        <v>113419</v>
      </c>
      <c r="B161" s="5" t="s">
        <v>16</v>
      </c>
      <c r="C161" s="5" t="s">
        <v>22</v>
      </c>
      <c r="D161" s="5" t="s">
        <v>33</v>
      </c>
      <c r="E161" s="5" t="s">
        <v>19</v>
      </c>
      <c r="F161" s="5" t="s">
        <v>14</v>
      </c>
      <c r="G161" s="5" t="s">
        <v>24</v>
      </c>
      <c r="H161" s="5">
        <v>53957</v>
      </c>
      <c r="I161" s="5">
        <v>896</v>
      </c>
      <c r="J161" s="6">
        <f t="shared" si="2"/>
        <v>53061</v>
      </c>
    </row>
    <row r="162" spans="1:10">
      <c r="A162" s="5">
        <v>10357</v>
      </c>
      <c r="B162" s="5" t="s">
        <v>10</v>
      </c>
      <c r="C162" s="5" t="s">
        <v>11</v>
      </c>
      <c r="D162" s="5" t="s">
        <v>23</v>
      </c>
      <c r="E162" s="5" t="s">
        <v>19</v>
      </c>
      <c r="F162" s="5" t="s">
        <v>14</v>
      </c>
      <c r="G162" s="5" t="s">
        <v>15</v>
      </c>
      <c r="H162" s="5">
        <v>81088</v>
      </c>
      <c r="I162" s="5">
        <v>1995</v>
      </c>
      <c r="J162" s="6">
        <f t="shared" si="2"/>
        <v>79093</v>
      </c>
    </row>
    <row r="163" spans="1:10">
      <c r="A163" s="5">
        <v>158471</v>
      </c>
      <c r="B163" s="5" t="s">
        <v>10</v>
      </c>
      <c r="C163" s="5" t="s">
        <v>22</v>
      </c>
      <c r="D163" s="5" t="s">
        <v>32</v>
      </c>
      <c r="E163" s="5" t="s">
        <v>19</v>
      </c>
      <c r="F163" s="5" t="s">
        <v>14</v>
      </c>
      <c r="G163" s="5" t="s">
        <v>24</v>
      </c>
      <c r="H163" s="5">
        <v>21138</v>
      </c>
      <c r="I163" s="5">
        <v>0</v>
      </c>
      <c r="J163" s="6">
        <f t="shared" si="2"/>
        <v>21138</v>
      </c>
    </row>
    <row r="164" spans="1:10">
      <c r="A164" s="5">
        <v>220027</v>
      </c>
      <c r="B164" s="5" t="s">
        <v>10</v>
      </c>
      <c r="C164" s="5" t="s">
        <v>11</v>
      </c>
      <c r="D164" s="5" t="s">
        <v>32</v>
      </c>
      <c r="E164" s="5" t="s">
        <v>19</v>
      </c>
      <c r="F164" s="5" t="s">
        <v>14</v>
      </c>
      <c r="G164" s="5" t="s">
        <v>24</v>
      </c>
      <c r="H164" s="5">
        <v>130660</v>
      </c>
      <c r="I164" s="5">
        <v>1452</v>
      </c>
      <c r="J164" s="6">
        <f t="shared" si="2"/>
        <v>129208</v>
      </c>
    </row>
    <row r="165" spans="1:10">
      <c r="A165" s="5">
        <v>36718</v>
      </c>
      <c r="B165" s="5" t="s">
        <v>16</v>
      </c>
      <c r="C165" s="5" t="s">
        <v>35</v>
      </c>
      <c r="D165" s="5" t="s">
        <v>36</v>
      </c>
      <c r="E165" s="5" t="s">
        <v>19</v>
      </c>
      <c r="F165" s="5" t="s">
        <v>14</v>
      </c>
      <c r="G165" s="5" t="s">
        <v>24</v>
      </c>
      <c r="H165" s="5">
        <v>71502</v>
      </c>
      <c r="I165" s="5">
        <v>312</v>
      </c>
      <c r="J165" s="6">
        <f t="shared" si="2"/>
        <v>71190</v>
      </c>
    </row>
    <row r="166" spans="1:10">
      <c r="A166" s="5">
        <v>84392</v>
      </c>
      <c r="B166" s="5" t="s">
        <v>10</v>
      </c>
      <c r="C166" s="5" t="s">
        <v>34</v>
      </c>
      <c r="D166" s="5" t="s">
        <v>12</v>
      </c>
      <c r="E166" s="5" t="s">
        <v>13</v>
      </c>
      <c r="F166" s="5" t="s">
        <v>28</v>
      </c>
      <c r="G166" s="5" t="s">
        <v>24</v>
      </c>
      <c r="H166" s="5">
        <v>83643</v>
      </c>
      <c r="I166" s="5">
        <v>2200</v>
      </c>
      <c r="J166" s="6">
        <f t="shared" si="2"/>
        <v>81443</v>
      </c>
    </row>
    <row r="167" spans="1:10">
      <c r="A167" s="5">
        <v>164984</v>
      </c>
      <c r="B167" s="5" t="s">
        <v>10</v>
      </c>
      <c r="C167" s="5" t="s">
        <v>17</v>
      </c>
      <c r="D167" s="5" t="s">
        <v>26</v>
      </c>
      <c r="E167" s="5" t="s">
        <v>19</v>
      </c>
      <c r="F167" s="5" t="s">
        <v>14</v>
      </c>
      <c r="G167" s="5" t="s">
        <v>24</v>
      </c>
      <c r="H167" s="5">
        <v>70284</v>
      </c>
      <c r="I167" s="5">
        <v>320</v>
      </c>
      <c r="J167" s="6">
        <f t="shared" si="2"/>
        <v>69964</v>
      </c>
    </row>
    <row r="168" spans="1:10">
      <c r="A168" s="5">
        <v>15121</v>
      </c>
      <c r="B168" s="5" t="s">
        <v>10</v>
      </c>
      <c r="C168" s="5" t="s">
        <v>34</v>
      </c>
      <c r="D168" s="5" t="s">
        <v>26</v>
      </c>
      <c r="E168" s="5" t="s">
        <v>19</v>
      </c>
      <c r="F168" s="5" t="s">
        <v>14</v>
      </c>
      <c r="G168" s="5" t="s">
        <v>24</v>
      </c>
      <c r="H168" s="5">
        <v>74516</v>
      </c>
      <c r="I168" s="5">
        <v>4620</v>
      </c>
      <c r="J168" s="6">
        <f t="shared" si="2"/>
        <v>69896</v>
      </c>
    </row>
    <row r="169" spans="1:10">
      <c r="A169" s="5">
        <v>246468</v>
      </c>
      <c r="B169" s="5" t="s">
        <v>10</v>
      </c>
      <c r="C169" s="5" t="s">
        <v>11</v>
      </c>
      <c r="D169" s="5" t="s">
        <v>12</v>
      </c>
      <c r="E169" s="5" t="s">
        <v>13</v>
      </c>
      <c r="F169" s="5" t="s">
        <v>14</v>
      </c>
      <c r="G169" s="5" t="s">
        <v>24</v>
      </c>
      <c r="H169" s="5">
        <v>100363</v>
      </c>
      <c r="I169" s="5">
        <v>772</v>
      </c>
      <c r="J169" s="6">
        <f t="shared" si="2"/>
        <v>99591</v>
      </c>
    </row>
    <row r="170" spans="1:10">
      <c r="A170" s="5">
        <v>25227</v>
      </c>
      <c r="B170" s="5" t="s">
        <v>10</v>
      </c>
      <c r="C170" s="5" t="s">
        <v>35</v>
      </c>
      <c r="D170" s="5" t="s">
        <v>23</v>
      </c>
      <c r="E170" s="5" t="s">
        <v>13</v>
      </c>
      <c r="F170" s="5" t="s">
        <v>14</v>
      </c>
      <c r="G170" s="5" t="s">
        <v>15</v>
      </c>
      <c r="H170" s="5">
        <v>81360</v>
      </c>
      <c r="I170" s="5">
        <v>2869</v>
      </c>
      <c r="J170" s="6">
        <f t="shared" si="2"/>
        <v>78491</v>
      </c>
    </row>
    <row r="171" spans="1:10">
      <c r="A171" s="5">
        <v>83444</v>
      </c>
      <c r="B171" s="5" t="s">
        <v>16</v>
      </c>
      <c r="C171" s="5" t="s">
        <v>34</v>
      </c>
      <c r="D171" s="5" t="s">
        <v>32</v>
      </c>
      <c r="E171" s="5" t="s">
        <v>13</v>
      </c>
      <c r="F171" s="5" t="s">
        <v>14</v>
      </c>
      <c r="G171" s="5" t="s">
        <v>24</v>
      </c>
      <c r="H171" s="5">
        <v>868</v>
      </c>
      <c r="I171" s="5">
        <v>0</v>
      </c>
      <c r="J171" s="6">
        <f t="shared" si="2"/>
        <v>868</v>
      </c>
    </row>
    <row r="172" spans="1:10">
      <c r="A172" s="5">
        <v>12174</v>
      </c>
      <c r="B172" s="5" t="s">
        <v>10</v>
      </c>
      <c r="C172" s="5" t="s">
        <v>34</v>
      </c>
      <c r="D172" s="5" t="s">
        <v>29</v>
      </c>
      <c r="E172" s="5" t="s">
        <v>19</v>
      </c>
      <c r="F172" s="5" t="s">
        <v>14</v>
      </c>
      <c r="G172" s="5" t="s">
        <v>15</v>
      </c>
      <c r="H172" s="5">
        <v>105632</v>
      </c>
      <c r="I172" s="5">
        <v>703</v>
      </c>
      <c r="J172" s="6">
        <f t="shared" si="2"/>
        <v>104929</v>
      </c>
    </row>
    <row r="173" spans="1:10">
      <c r="A173" s="5">
        <v>108698</v>
      </c>
      <c r="B173" s="5" t="s">
        <v>10</v>
      </c>
      <c r="C173" s="5" t="s">
        <v>39</v>
      </c>
      <c r="D173" s="5" t="s">
        <v>23</v>
      </c>
      <c r="E173" s="5" t="s">
        <v>13</v>
      </c>
      <c r="F173" s="5" t="s">
        <v>14</v>
      </c>
      <c r="G173" s="5" t="s">
        <v>24</v>
      </c>
      <c r="H173" s="5">
        <v>81081</v>
      </c>
      <c r="I173" s="5">
        <v>5429</v>
      </c>
      <c r="J173" s="6">
        <f t="shared" si="2"/>
        <v>75652</v>
      </c>
    </row>
    <row r="174" spans="1:10">
      <c r="A174" s="5">
        <v>91254</v>
      </c>
      <c r="B174" s="5" t="s">
        <v>10</v>
      </c>
      <c r="C174" s="5" t="s">
        <v>20</v>
      </c>
      <c r="D174" s="5" t="s">
        <v>32</v>
      </c>
      <c r="E174" s="5" t="s">
        <v>13</v>
      </c>
      <c r="F174" s="5" t="s">
        <v>28</v>
      </c>
      <c r="G174" s="5" t="s">
        <v>15</v>
      </c>
      <c r="H174" s="5">
        <v>39656</v>
      </c>
      <c r="I174" s="5">
        <v>3692</v>
      </c>
      <c r="J174" s="6">
        <f t="shared" si="2"/>
        <v>35964</v>
      </c>
    </row>
    <row r="175" spans="1:10">
      <c r="A175" s="5">
        <v>27822</v>
      </c>
      <c r="B175" s="5" t="s">
        <v>16</v>
      </c>
      <c r="C175" s="5" t="s">
        <v>11</v>
      </c>
      <c r="D175" s="5" t="s">
        <v>30</v>
      </c>
      <c r="E175" s="5" t="s">
        <v>13</v>
      </c>
      <c r="F175" s="5" t="s">
        <v>14</v>
      </c>
      <c r="G175" s="5" t="s">
        <v>15</v>
      </c>
      <c r="H175" s="5">
        <v>65452</v>
      </c>
      <c r="I175" s="5">
        <v>2248</v>
      </c>
      <c r="J175" s="6">
        <f t="shared" si="2"/>
        <v>63204</v>
      </c>
    </row>
    <row r="176" spans="1:10">
      <c r="A176" s="5">
        <v>191118</v>
      </c>
      <c r="B176" s="5" t="s">
        <v>10</v>
      </c>
      <c r="C176" s="5" t="s">
        <v>38</v>
      </c>
      <c r="D176" s="5" t="s">
        <v>30</v>
      </c>
      <c r="E176" s="5" t="s">
        <v>13</v>
      </c>
      <c r="F176" s="5" t="s">
        <v>28</v>
      </c>
      <c r="G176" s="5" t="s">
        <v>24</v>
      </c>
      <c r="H176" s="5">
        <v>123215</v>
      </c>
      <c r="I176" s="5">
        <v>1695</v>
      </c>
      <c r="J176" s="6">
        <f t="shared" si="2"/>
        <v>121520</v>
      </c>
    </row>
    <row r="177" spans="1:10">
      <c r="A177" s="5">
        <v>201925</v>
      </c>
      <c r="B177" s="5" t="s">
        <v>10</v>
      </c>
      <c r="C177" s="5" t="s">
        <v>38</v>
      </c>
      <c r="D177" s="5" t="s">
        <v>32</v>
      </c>
      <c r="E177" s="5" t="s">
        <v>19</v>
      </c>
      <c r="F177" s="5" t="s">
        <v>14</v>
      </c>
      <c r="G177" s="5" t="s">
        <v>24</v>
      </c>
      <c r="H177" s="5">
        <v>60741</v>
      </c>
      <c r="I177" s="5">
        <v>148</v>
      </c>
      <c r="J177" s="6">
        <f t="shared" si="2"/>
        <v>60593</v>
      </c>
    </row>
    <row r="178" spans="1:10">
      <c r="A178" s="5">
        <v>92139</v>
      </c>
      <c r="B178" s="5" t="s">
        <v>10</v>
      </c>
      <c r="C178" s="5" t="s">
        <v>34</v>
      </c>
      <c r="D178" s="5" t="s">
        <v>23</v>
      </c>
      <c r="E178" s="5" t="s">
        <v>13</v>
      </c>
      <c r="F178" s="5" t="s">
        <v>14</v>
      </c>
      <c r="G178" s="5" t="s">
        <v>15</v>
      </c>
      <c r="H178" s="5">
        <v>204950</v>
      </c>
      <c r="I178" s="5">
        <v>1470</v>
      </c>
      <c r="J178" s="6">
        <f t="shared" si="2"/>
        <v>203480</v>
      </c>
    </row>
    <row r="179" spans="1:10">
      <c r="A179" s="5">
        <v>50675</v>
      </c>
      <c r="B179" s="5" t="s">
        <v>10</v>
      </c>
      <c r="C179" s="5" t="s">
        <v>35</v>
      </c>
      <c r="D179" s="5" t="s">
        <v>26</v>
      </c>
      <c r="E179" s="5" t="s">
        <v>19</v>
      </c>
      <c r="F179" s="5" t="s">
        <v>28</v>
      </c>
      <c r="G179" s="5" t="s">
        <v>24</v>
      </c>
      <c r="H179" s="5">
        <v>14683</v>
      </c>
      <c r="I179" s="5">
        <v>0</v>
      </c>
      <c r="J179" s="6">
        <f t="shared" si="2"/>
        <v>14683</v>
      </c>
    </row>
    <row r="180" spans="1:10">
      <c r="A180" s="5">
        <v>38261</v>
      </c>
      <c r="B180" s="5" t="s">
        <v>16</v>
      </c>
      <c r="C180" s="5" t="s">
        <v>35</v>
      </c>
      <c r="D180" s="5" t="s">
        <v>36</v>
      </c>
      <c r="E180" s="5" t="s">
        <v>13</v>
      </c>
      <c r="F180" s="5" t="s">
        <v>14</v>
      </c>
      <c r="G180" s="5" t="s">
        <v>15</v>
      </c>
      <c r="H180" s="5">
        <v>37616</v>
      </c>
      <c r="I180" s="5">
        <v>368</v>
      </c>
      <c r="J180" s="6">
        <f t="shared" si="2"/>
        <v>37248</v>
      </c>
    </row>
    <row r="181" spans="1:10">
      <c r="A181" s="5">
        <v>51149</v>
      </c>
      <c r="B181" s="5" t="s">
        <v>10</v>
      </c>
      <c r="C181" s="5" t="s">
        <v>35</v>
      </c>
      <c r="D181" s="5" t="s">
        <v>26</v>
      </c>
      <c r="E181" s="5" t="s">
        <v>19</v>
      </c>
      <c r="F181" s="5" t="s">
        <v>14</v>
      </c>
      <c r="G181" s="5" t="s">
        <v>24</v>
      </c>
      <c r="H181" s="5">
        <v>34270</v>
      </c>
      <c r="I181" s="5">
        <v>309</v>
      </c>
      <c r="J181" s="6">
        <f t="shared" si="2"/>
        <v>33961</v>
      </c>
    </row>
    <row r="182" spans="1:10">
      <c r="A182" s="5">
        <v>60699</v>
      </c>
      <c r="B182" s="5" t="s">
        <v>16</v>
      </c>
      <c r="C182" s="5" t="s">
        <v>20</v>
      </c>
      <c r="D182" s="5" t="s">
        <v>32</v>
      </c>
      <c r="E182" s="5" t="s">
        <v>13</v>
      </c>
      <c r="F182" s="5" t="s">
        <v>14</v>
      </c>
      <c r="G182" s="5" t="s">
        <v>15</v>
      </c>
      <c r="H182" s="5">
        <v>17057</v>
      </c>
      <c r="I182" s="5">
        <v>1881</v>
      </c>
      <c r="J182" s="6">
        <f t="shared" si="2"/>
        <v>15176</v>
      </c>
    </row>
    <row r="183" spans="1:10">
      <c r="A183" s="5">
        <v>92612</v>
      </c>
      <c r="B183" s="5" t="s">
        <v>16</v>
      </c>
      <c r="C183" s="5" t="s">
        <v>39</v>
      </c>
      <c r="D183" s="5" t="s">
        <v>33</v>
      </c>
      <c r="E183" s="5" t="s">
        <v>19</v>
      </c>
      <c r="F183" s="5" t="s">
        <v>14</v>
      </c>
      <c r="G183" s="5" t="s">
        <v>15</v>
      </c>
      <c r="H183" s="5">
        <v>65677</v>
      </c>
      <c r="I183" s="5">
        <v>592</v>
      </c>
      <c r="J183" s="6">
        <f t="shared" si="2"/>
        <v>65085</v>
      </c>
    </row>
    <row r="184" spans="1:10">
      <c r="A184" s="5">
        <v>166867</v>
      </c>
      <c r="B184" s="5" t="s">
        <v>16</v>
      </c>
      <c r="C184" s="5" t="s">
        <v>22</v>
      </c>
      <c r="D184" s="5" t="s">
        <v>30</v>
      </c>
      <c r="E184" s="5" t="s">
        <v>13</v>
      </c>
      <c r="F184" s="5" t="s">
        <v>28</v>
      </c>
      <c r="G184" s="5" t="s">
        <v>15</v>
      </c>
      <c r="H184" s="5">
        <v>84287</v>
      </c>
      <c r="I184" s="5">
        <v>0</v>
      </c>
      <c r="J184" s="6">
        <f t="shared" si="2"/>
        <v>84287</v>
      </c>
    </row>
    <row r="185" spans="1:10">
      <c r="A185" s="5">
        <v>75483</v>
      </c>
      <c r="B185" s="5" t="s">
        <v>10</v>
      </c>
      <c r="C185" s="5" t="s">
        <v>35</v>
      </c>
      <c r="D185" s="5" t="s">
        <v>32</v>
      </c>
      <c r="E185" s="5" t="s">
        <v>19</v>
      </c>
      <c r="F185" s="5" t="s">
        <v>14</v>
      </c>
      <c r="G185" s="5" t="s">
        <v>24</v>
      </c>
      <c r="H185" s="5">
        <v>56512</v>
      </c>
      <c r="I185" s="5">
        <v>0</v>
      </c>
      <c r="J185" s="6">
        <f t="shared" si="2"/>
        <v>56512</v>
      </c>
    </row>
    <row r="186" spans="1:10">
      <c r="A186" s="5">
        <v>123928</v>
      </c>
      <c r="B186" s="5" t="s">
        <v>16</v>
      </c>
      <c r="C186" s="5" t="s">
        <v>25</v>
      </c>
      <c r="D186" s="5" t="s">
        <v>33</v>
      </c>
      <c r="E186" s="5" t="s">
        <v>19</v>
      </c>
      <c r="F186" s="5" t="s">
        <v>28</v>
      </c>
      <c r="G186" s="5" t="s">
        <v>15</v>
      </c>
      <c r="H186" s="5">
        <v>64006</v>
      </c>
      <c r="I186" s="5">
        <v>494</v>
      </c>
      <c r="J186" s="6">
        <f t="shared" si="2"/>
        <v>63512</v>
      </c>
    </row>
    <row r="187" spans="1:10">
      <c r="A187" s="5">
        <v>161550</v>
      </c>
      <c r="B187" s="5" t="s">
        <v>16</v>
      </c>
      <c r="C187" s="5" t="s">
        <v>25</v>
      </c>
      <c r="D187" s="5" t="s">
        <v>21</v>
      </c>
      <c r="E187" s="5" t="s">
        <v>19</v>
      </c>
      <c r="F187" s="5" t="s">
        <v>28</v>
      </c>
      <c r="G187" s="5" t="s">
        <v>15</v>
      </c>
      <c r="H187" s="5">
        <v>65714</v>
      </c>
      <c r="I187" s="5">
        <v>536</v>
      </c>
      <c r="J187" s="6">
        <f t="shared" si="2"/>
        <v>65178</v>
      </c>
    </row>
    <row r="188" spans="1:10">
      <c r="A188" s="5">
        <v>124344</v>
      </c>
      <c r="B188" s="5" t="s">
        <v>10</v>
      </c>
      <c r="C188" s="5" t="s">
        <v>35</v>
      </c>
      <c r="D188" s="5" t="s">
        <v>23</v>
      </c>
      <c r="E188" s="5" t="s">
        <v>13</v>
      </c>
      <c r="F188" s="5" t="s">
        <v>14</v>
      </c>
      <c r="G188" s="5" t="s">
        <v>24</v>
      </c>
      <c r="H188" s="5">
        <v>99883</v>
      </c>
      <c r="I188" s="5">
        <v>10904</v>
      </c>
      <c r="J188" s="6">
        <f t="shared" si="2"/>
        <v>88979</v>
      </c>
    </row>
    <row r="189" spans="1:10">
      <c r="A189" s="5">
        <v>198744</v>
      </c>
      <c r="B189" s="5" t="s">
        <v>10</v>
      </c>
      <c r="C189" s="5" t="s">
        <v>34</v>
      </c>
      <c r="D189" s="5" t="s">
        <v>12</v>
      </c>
      <c r="E189" s="5" t="s">
        <v>13</v>
      </c>
      <c r="F189" s="5" t="s">
        <v>14</v>
      </c>
      <c r="G189" s="5" t="s">
        <v>15</v>
      </c>
      <c r="H189" s="5">
        <v>57610</v>
      </c>
      <c r="I189" s="5">
        <v>465</v>
      </c>
      <c r="J189" s="6">
        <f t="shared" si="2"/>
        <v>57145</v>
      </c>
    </row>
    <row r="190" spans="1:10">
      <c r="A190" s="5">
        <v>181624</v>
      </c>
      <c r="B190" s="5" t="s">
        <v>16</v>
      </c>
      <c r="C190" s="5" t="s">
        <v>34</v>
      </c>
      <c r="D190" s="5" t="s">
        <v>18</v>
      </c>
      <c r="E190" s="5" t="s">
        <v>13</v>
      </c>
      <c r="F190" s="5" t="s">
        <v>14</v>
      </c>
      <c r="G190" s="5" t="s">
        <v>15</v>
      </c>
      <c r="H190" s="5">
        <v>40743</v>
      </c>
      <c r="I190" s="5">
        <v>151</v>
      </c>
      <c r="J190" s="6">
        <f t="shared" si="2"/>
        <v>40592</v>
      </c>
    </row>
    <row r="191" spans="1:10">
      <c r="A191" s="5">
        <v>25026</v>
      </c>
      <c r="B191" s="5" t="s">
        <v>16</v>
      </c>
      <c r="C191" s="5" t="s">
        <v>11</v>
      </c>
      <c r="D191" s="5" t="s">
        <v>12</v>
      </c>
      <c r="E191" s="5" t="s">
        <v>19</v>
      </c>
      <c r="F191" s="5" t="s">
        <v>14</v>
      </c>
      <c r="G191" s="5" t="s">
        <v>15</v>
      </c>
      <c r="H191" s="5">
        <v>87091</v>
      </c>
      <c r="I191" s="5">
        <v>2691</v>
      </c>
      <c r="J191" s="6">
        <f t="shared" si="2"/>
        <v>84400</v>
      </c>
    </row>
    <row r="192" spans="1:10">
      <c r="A192" s="5">
        <v>54112</v>
      </c>
      <c r="B192" s="5" t="s">
        <v>16</v>
      </c>
      <c r="C192" s="5" t="s">
        <v>22</v>
      </c>
      <c r="D192" s="5" t="s">
        <v>12</v>
      </c>
      <c r="E192" s="5" t="s">
        <v>19</v>
      </c>
      <c r="F192" s="5" t="s">
        <v>14</v>
      </c>
      <c r="G192" s="5" t="s">
        <v>15</v>
      </c>
      <c r="H192" s="5">
        <v>151829</v>
      </c>
      <c r="I192" s="5">
        <v>7641</v>
      </c>
      <c r="J192" s="6">
        <f t="shared" si="2"/>
        <v>144188</v>
      </c>
    </row>
    <row r="193" spans="1:10">
      <c r="A193" s="5">
        <v>101283</v>
      </c>
      <c r="B193" s="5" t="s">
        <v>16</v>
      </c>
      <c r="C193" s="5" t="s">
        <v>34</v>
      </c>
      <c r="D193" s="5" t="s">
        <v>30</v>
      </c>
      <c r="E193" s="5" t="s">
        <v>13</v>
      </c>
      <c r="F193" s="5" t="s">
        <v>28</v>
      </c>
      <c r="G193" s="5" t="s">
        <v>24</v>
      </c>
      <c r="H193" s="5">
        <v>36104</v>
      </c>
      <c r="I193" s="5">
        <v>2838</v>
      </c>
      <c r="J193" s="6">
        <f t="shared" si="2"/>
        <v>33266</v>
      </c>
    </row>
    <row r="194" spans="1:10">
      <c r="A194" s="5">
        <v>68346</v>
      </c>
      <c r="B194" s="5" t="s">
        <v>10</v>
      </c>
      <c r="C194" s="5" t="s">
        <v>27</v>
      </c>
      <c r="D194" s="5" t="s">
        <v>26</v>
      </c>
      <c r="E194" s="5" t="s">
        <v>13</v>
      </c>
      <c r="F194" s="5" t="s">
        <v>28</v>
      </c>
      <c r="G194" s="5" t="s">
        <v>24</v>
      </c>
      <c r="H194" s="5">
        <v>41335</v>
      </c>
      <c r="I194" s="5">
        <v>325</v>
      </c>
      <c r="J194" s="6">
        <f t="shared" ref="J194:J257" si="3">H194-I194</f>
        <v>41010</v>
      </c>
    </row>
    <row r="195" spans="1:10">
      <c r="A195" s="5">
        <v>23797</v>
      </c>
      <c r="B195" s="5" t="s">
        <v>16</v>
      </c>
      <c r="C195" s="5" t="s">
        <v>11</v>
      </c>
      <c r="D195" s="5" t="s">
        <v>33</v>
      </c>
      <c r="E195" s="5" t="s">
        <v>19</v>
      </c>
      <c r="F195" s="5" t="s">
        <v>14</v>
      </c>
      <c r="G195" s="5" t="s">
        <v>24</v>
      </c>
      <c r="H195" s="5">
        <v>27462</v>
      </c>
      <c r="I195" s="5">
        <v>433</v>
      </c>
      <c r="J195" s="6">
        <f t="shared" si="3"/>
        <v>27029</v>
      </c>
    </row>
    <row r="196" spans="1:10">
      <c r="A196" s="5">
        <v>174356</v>
      </c>
      <c r="B196" s="5" t="s">
        <v>16</v>
      </c>
      <c r="C196" s="5" t="s">
        <v>34</v>
      </c>
      <c r="D196" s="5" t="s">
        <v>32</v>
      </c>
      <c r="E196" s="5" t="s">
        <v>19</v>
      </c>
      <c r="F196" s="5" t="s">
        <v>14</v>
      </c>
      <c r="G196" s="5" t="s">
        <v>24</v>
      </c>
      <c r="H196" s="5">
        <v>20258</v>
      </c>
      <c r="I196" s="5">
        <v>0</v>
      </c>
      <c r="J196" s="6">
        <f t="shared" si="3"/>
        <v>20258</v>
      </c>
    </row>
    <row r="197" spans="1:10">
      <c r="A197" s="5">
        <v>158404</v>
      </c>
      <c r="B197" s="5" t="s">
        <v>16</v>
      </c>
      <c r="C197" s="5" t="s">
        <v>27</v>
      </c>
      <c r="D197" s="5" t="s">
        <v>29</v>
      </c>
      <c r="E197" s="5" t="s">
        <v>13</v>
      </c>
      <c r="F197" s="5" t="s">
        <v>14</v>
      </c>
      <c r="G197" s="5" t="s">
        <v>24</v>
      </c>
      <c r="H197" s="5">
        <v>63833</v>
      </c>
      <c r="I197" s="5">
        <v>1014</v>
      </c>
      <c r="J197" s="6">
        <f t="shared" si="3"/>
        <v>62819</v>
      </c>
    </row>
    <row r="198" spans="1:10">
      <c r="A198" s="5">
        <v>215374</v>
      </c>
      <c r="B198" s="5" t="s">
        <v>10</v>
      </c>
      <c r="C198" s="5" t="s">
        <v>39</v>
      </c>
      <c r="D198" s="5" t="s">
        <v>32</v>
      </c>
      <c r="E198" s="5" t="s">
        <v>13</v>
      </c>
      <c r="F198" s="5" t="s">
        <v>14</v>
      </c>
      <c r="G198" s="5" t="s">
        <v>15</v>
      </c>
      <c r="H198" s="5">
        <v>15211</v>
      </c>
      <c r="I198" s="5">
        <v>0</v>
      </c>
      <c r="J198" s="6">
        <f t="shared" si="3"/>
        <v>15211</v>
      </c>
    </row>
    <row r="199" spans="1:10">
      <c r="A199" s="5">
        <v>90368</v>
      </c>
      <c r="B199" s="5" t="s">
        <v>10</v>
      </c>
      <c r="C199" s="5" t="s">
        <v>38</v>
      </c>
      <c r="D199" s="5" t="s">
        <v>30</v>
      </c>
      <c r="E199" s="5" t="s">
        <v>13</v>
      </c>
      <c r="F199" s="5" t="s">
        <v>28</v>
      </c>
      <c r="G199" s="5" t="s">
        <v>24</v>
      </c>
      <c r="H199" s="5">
        <v>23959</v>
      </c>
      <c r="I199" s="5">
        <v>875</v>
      </c>
      <c r="J199" s="6">
        <f t="shared" si="3"/>
        <v>23084</v>
      </c>
    </row>
    <row r="200" spans="1:10">
      <c r="A200" s="5">
        <v>96521</v>
      </c>
      <c r="B200" s="5" t="s">
        <v>16</v>
      </c>
      <c r="C200" s="5" t="s">
        <v>20</v>
      </c>
      <c r="D200" s="5" t="s">
        <v>32</v>
      </c>
      <c r="E200" s="5" t="s">
        <v>13</v>
      </c>
      <c r="F200" s="5" t="s">
        <v>28</v>
      </c>
      <c r="G200" s="5" t="s">
        <v>15</v>
      </c>
      <c r="H200" s="5">
        <v>32345</v>
      </c>
      <c r="I200" s="5">
        <v>3093</v>
      </c>
      <c r="J200" s="6">
        <f t="shared" si="3"/>
        <v>29252</v>
      </c>
    </row>
    <row r="201" spans="1:10">
      <c r="A201" s="5">
        <v>141908</v>
      </c>
      <c r="B201" s="5" t="s">
        <v>16</v>
      </c>
      <c r="C201" s="5" t="s">
        <v>25</v>
      </c>
      <c r="D201" s="5" t="s">
        <v>18</v>
      </c>
      <c r="E201" s="5" t="s">
        <v>19</v>
      </c>
      <c r="F201" s="5" t="s">
        <v>14</v>
      </c>
      <c r="G201" s="5" t="s">
        <v>24</v>
      </c>
      <c r="H201" s="5">
        <v>21540</v>
      </c>
      <c r="I201" s="5">
        <v>237</v>
      </c>
      <c r="J201" s="6">
        <f t="shared" si="3"/>
        <v>21303</v>
      </c>
    </row>
    <row r="202" spans="1:10">
      <c r="A202" s="5">
        <v>197070</v>
      </c>
      <c r="B202" s="5" t="s">
        <v>10</v>
      </c>
      <c r="C202" s="5" t="s">
        <v>35</v>
      </c>
      <c r="D202" s="5" t="s">
        <v>23</v>
      </c>
      <c r="E202" s="5" t="s">
        <v>13</v>
      </c>
      <c r="F202" s="5" t="s">
        <v>14</v>
      </c>
      <c r="G202" s="5" t="s">
        <v>15</v>
      </c>
      <c r="H202" s="5">
        <v>67726</v>
      </c>
      <c r="I202" s="5">
        <v>3212</v>
      </c>
      <c r="J202" s="6">
        <f t="shared" si="3"/>
        <v>64514</v>
      </c>
    </row>
    <row r="203" spans="1:10">
      <c r="A203" s="5">
        <v>148606</v>
      </c>
      <c r="B203" s="5" t="s">
        <v>10</v>
      </c>
      <c r="C203" s="5" t="s">
        <v>31</v>
      </c>
      <c r="D203" s="5" t="s">
        <v>18</v>
      </c>
      <c r="E203" s="5" t="s">
        <v>19</v>
      </c>
      <c r="F203" s="5" t="s">
        <v>14</v>
      </c>
      <c r="G203" s="5" t="s">
        <v>24</v>
      </c>
      <c r="H203" s="5">
        <v>8948</v>
      </c>
      <c r="I203" s="5">
        <v>205</v>
      </c>
      <c r="J203" s="6">
        <f t="shared" si="3"/>
        <v>8743</v>
      </c>
    </row>
    <row r="204" spans="1:10">
      <c r="A204" s="5">
        <v>230492</v>
      </c>
      <c r="B204" s="5" t="s">
        <v>10</v>
      </c>
      <c r="C204" s="5" t="s">
        <v>22</v>
      </c>
      <c r="D204" s="5" t="s">
        <v>23</v>
      </c>
      <c r="E204" s="5" t="s">
        <v>13</v>
      </c>
      <c r="F204" s="5" t="s">
        <v>14</v>
      </c>
      <c r="G204" s="5" t="s">
        <v>24</v>
      </c>
      <c r="H204" s="5">
        <v>44467</v>
      </c>
      <c r="I204" s="5">
        <v>4635</v>
      </c>
      <c r="J204" s="6">
        <f t="shared" si="3"/>
        <v>39832</v>
      </c>
    </row>
    <row r="205" spans="1:10">
      <c r="A205" s="5">
        <v>69938</v>
      </c>
      <c r="B205" s="5" t="s">
        <v>16</v>
      </c>
      <c r="C205" s="5" t="s">
        <v>22</v>
      </c>
      <c r="D205" s="5" t="s">
        <v>30</v>
      </c>
      <c r="E205" s="5" t="s">
        <v>13</v>
      </c>
      <c r="F205" s="5" t="s">
        <v>28</v>
      </c>
      <c r="G205" s="5" t="s">
        <v>15</v>
      </c>
      <c r="H205" s="5">
        <v>121177</v>
      </c>
      <c r="I205" s="5">
        <v>2529</v>
      </c>
      <c r="J205" s="6">
        <f t="shared" si="3"/>
        <v>118648</v>
      </c>
    </row>
    <row r="206" spans="1:10">
      <c r="A206" s="5">
        <v>118908</v>
      </c>
      <c r="B206" s="5" t="s">
        <v>10</v>
      </c>
      <c r="C206" s="5" t="s">
        <v>27</v>
      </c>
      <c r="D206" s="5" t="s">
        <v>12</v>
      </c>
      <c r="E206" s="5" t="s">
        <v>13</v>
      </c>
      <c r="F206" s="5" t="s">
        <v>14</v>
      </c>
      <c r="G206" s="5" t="s">
        <v>15</v>
      </c>
      <c r="H206" s="5">
        <v>73607</v>
      </c>
      <c r="I206" s="5">
        <v>4883</v>
      </c>
      <c r="J206" s="6">
        <f t="shared" si="3"/>
        <v>68724</v>
      </c>
    </row>
    <row r="207" spans="1:10">
      <c r="A207" s="5">
        <v>97908</v>
      </c>
      <c r="B207" s="5" t="s">
        <v>16</v>
      </c>
      <c r="C207" s="5" t="s">
        <v>34</v>
      </c>
      <c r="D207" s="5" t="s">
        <v>26</v>
      </c>
      <c r="E207" s="5" t="s">
        <v>13</v>
      </c>
      <c r="F207" s="5" t="s">
        <v>14</v>
      </c>
      <c r="G207" s="5" t="s">
        <v>24</v>
      </c>
      <c r="H207" s="5">
        <v>42603</v>
      </c>
      <c r="I207" s="5">
        <v>1519</v>
      </c>
      <c r="J207" s="6">
        <f t="shared" si="3"/>
        <v>41084</v>
      </c>
    </row>
    <row r="208" spans="1:10">
      <c r="A208" s="5">
        <v>64352</v>
      </c>
      <c r="B208" s="5" t="s">
        <v>10</v>
      </c>
      <c r="C208" s="5" t="s">
        <v>27</v>
      </c>
      <c r="D208" s="5" t="s">
        <v>12</v>
      </c>
      <c r="E208" s="5" t="s">
        <v>13</v>
      </c>
      <c r="F208" s="5" t="s">
        <v>28</v>
      </c>
      <c r="G208" s="5" t="s">
        <v>15</v>
      </c>
      <c r="H208" s="5">
        <v>67294</v>
      </c>
      <c r="I208" s="5">
        <v>2081</v>
      </c>
      <c r="J208" s="6">
        <f t="shared" si="3"/>
        <v>65213</v>
      </c>
    </row>
    <row r="209" spans="1:10">
      <c r="A209" s="5">
        <v>213263</v>
      </c>
      <c r="B209" s="5" t="s">
        <v>16</v>
      </c>
      <c r="C209" s="5" t="s">
        <v>34</v>
      </c>
      <c r="D209" s="5" t="s">
        <v>32</v>
      </c>
      <c r="E209" s="5" t="s">
        <v>13</v>
      </c>
      <c r="F209" s="5" t="s">
        <v>14</v>
      </c>
      <c r="G209" s="5" t="s">
        <v>15</v>
      </c>
      <c r="H209" s="5">
        <v>134744</v>
      </c>
      <c r="I209" s="5">
        <v>391</v>
      </c>
      <c r="J209" s="6">
        <f t="shared" si="3"/>
        <v>134353</v>
      </c>
    </row>
    <row r="210" spans="1:10">
      <c r="A210" s="5">
        <v>129487</v>
      </c>
      <c r="B210" s="5" t="s">
        <v>10</v>
      </c>
      <c r="C210" s="5" t="s">
        <v>22</v>
      </c>
      <c r="D210" s="5" t="s">
        <v>23</v>
      </c>
      <c r="E210" s="5" t="s">
        <v>13</v>
      </c>
      <c r="F210" s="5" t="s">
        <v>14</v>
      </c>
      <c r="G210" s="5" t="s">
        <v>24</v>
      </c>
      <c r="H210" s="5">
        <v>75608</v>
      </c>
      <c r="I210" s="5">
        <v>0</v>
      </c>
      <c r="J210" s="6">
        <f t="shared" si="3"/>
        <v>75608</v>
      </c>
    </row>
    <row r="211" spans="1:10">
      <c r="A211" s="5">
        <v>152928</v>
      </c>
      <c r="B211" s="5" t="s">
        <v>10</v>
      </c>
      <c r="C211" s="5" t="s">
        <v>27</v>
      </c>
      <c r="D211" s="5" t="s">
        <v>21</v>
      </c>
      <c r="E211" s="5" t="s">
        <v>19</v>
      </c>
      <c r="F211" s="5" t="s">
        <v>14</v>
      </c>
      <c r="G211" s="5" t="s">
        <v>24</v>
      </c>
      <c r="H211" s="5">
        <v>36783</v>
      </c>
      <c r="I211" s="5">
        <v>1746</v>
      </c>
      <c r="J211" s="6">
        <f t="shared" si="3"/>
        <v>35037</v>
      </c>
    </row>
    <row r="212" spans="1:10">
      <c r="A212" s="5">
        <v>182469</v>
      </c>
      <c r="B212" s="5" t="s">
        <v>16</v>
      </c>
      <c r="C212" s="5" t="s">
        <v>20</v>
      </c>
      <c r="D212" s="5" t="s">
        <v>32</v>
      </c>
      <c r="E212" s="5" t="s">
        <v>19</v>
      </c>
      <c r="F212" s="5" t="s">
        <v>14</v>
      </c>
      <c r="G212" s="5" t="s">
        <v>15</v>
      </c>
      <c r="H212" s="5">
        <v>16680</v>
      </c>
      <c r="I212" s="5">
        <v>0</v>
      </c>
      <c r="J212" s="6">
        <f t="shared" si="3"/>
        <v>16680</v>
      </c>
    </row>
    <row r="213" spans="1:10">
      <c r="A213" s="5">
        <v>172630</v>
      </c>
      <c r="B213" s="5" t="s">
        <v>10</v>
      </c>
      <c r="C213" s="5" t="s">
        <v>17</v>
      </c>
      <c r="D213" s="5" t="s">
        <v>26</v>
      </c>
      <c r="E213" s="5" t="s">
        <v>19</v>
      </c>
      <c r="F213" s="5" t="s">
        <v>14</v>
      </c>
      <c r="G213" s="5" t="s">
        <v>24</v>
      </c>
      <c r="H213" s="5">
        <v>24423</v>
      </c>
      <c r="I213" s="5">
        <v>324</v>
      </c>
      <c r="J213" s="6">
        <f t="shared" si="3"/>
        <v>24099</v>
      </c>
    </row>
    <row r="214" spans="1:10">
      <c r="A214" s="5">
        <v>58333</v>
      </c>
      <c r="B214" s="5" t="s">
        <v>16</v>
      </c>
      <c r="C214" s="5" t="s">
        <v>20</v>
      </c>
      <c r="D214" s="5" t="s">
        <v>32</v>
      </c>
      <c r="E214" s="5" t="s">
        <v>13</v>
      </c>
      <c r="F214" s="5" t="s">
        <v>14</v>
      </c>
      <c r="G214" s="5" t="s">
        <v>15</v>
      </c>
      <c r="H214" s="5">
        <v>23195</v>
      </c>
      <c r="I214" s="5">
        <v>1969</v>
      </c>
      <c r="J214" s="6">
        <f t="shared" si="3"/>
        <v>21226</v>
      </c>
    </row>
    <row r="215" spans="1:10">
      <c r="A215" s="5">
        <v>151788</v>
      </c>
      <c r="B215" s="5" t="s">
        <v>16</v>
      </c>
      <c r="C215" s="5" t="s">
        <v>22</v>
      </c>
      <c r="D215" s="5" t="s">
        <v>12</v>
      </c>
      <c r="E215" s="5" t="s">
        <v>19</v>
      </c>
      <c r="F215" s="5" t="s">
        <v>28</v>
      </c>
      <c r="G215" s="5" t="s">
        <v>15</v>
      </c>
      <c r="H215" s="5">
        <v>57058</v>
      </c>
      <c r="I215" s="5">
        <v>377</v>
      </c>
      <c r="J215" s="6">
        <f t="shared" si="3"/>
        <v>56681</v>
      </c>
    </row>
    <row r="216" spans="1:10">
      <c r="A216" s="5">
        <v>68466</v>
      </c>
      <c r="B216" s="5" t="s">
        <v>16</v>
      </c>
      <c r="C216" s="5" t="s">
        <v>27</v>
      </c>
      <c r="D216" s="5" t="s">
        <v>21</v>
      </c>
      <c r="E216" s="5" t="s">
        <v>13</v>
      </c>
      <c r="F216" s="5" t="s">
        <v>14</v>
      </c>
      <c r="G216" s="5" t="s">
        <v>15</v>
      </c>
      <c r="H216" s="5">
        <v>68293</v>
      </c>
      <c r="I216" s="5">
        <v>763</v>
      </c>
      <c r="J216" s="6">
        <f t="shared" si="3"/>
        <v>67530</v>
      </c>
    </row>
    <row r="217" spans="1:10">
      <c r="A217" s="5">
        <v>59619</v>
      </c>
      <c r="B217" s="5" t="s">
        <v>10</v>
      </c>
      <c r="C217" s="5" t="s">
        <v>27</v>
      </c>
      <c r="D217" s="5" t="s">
        <v>23</v>
      </c>
      <c r="E217" s="5" t="s">
        <v>13</v>
      </c>
      <c r="F217" s="5" t="s">
        <v>28</v>
      </c>
      <c r="G217" s="5" t="s">
        <v>15</v>
      </c>
      <c r="H217" s="5">
        <v>31422</v>
      </c>
      <c r="I217" s="5">
        <v>3236</v>
      </c>
      <c r="J217" s="6">
        <f t="shared" si="3"/>
        <v>28186</v>
      </c>
    </row>
    <row r="218" spans="1:10">
      <c r="A218" s="5">
        <v>170732</v>
      </c>
      <c r="B218" s="5" t="s">
        <v>10</v>
      </c>
      <c r="C218" s="5" t="s">
        <v>22</v>
      </c>
      <c r="D218" s="5" t="s">
        <v>26</v>
      </c>
      <c r="E218" s="5" t="s">
        <v>19</v>
      </c>
      <c r="F218" s="5" t="s">
        <v>14</v>
      </c>
      <c r="G218" s="5" t="s">
        <v>24</v>
      </c>
      <c r="H218" s="5">
        <v>24596</v>
      </c>
      <c r="I218" s="5">
        <v>591</v>
      </c>
      <c r="J218" s="6">
        <f t="shared" si="3"/>
        <v>24005</v>
      </c>
    </row>
    <row r="219" spans="1:10">
      <c r="A219" s="5">
        <v>100854</v>
      </c>
      <c r="B219" s="5" t="s">
        <v>10</v>
      </c>
      <c r="C219" s="5" t="s">
        <v>11</v>
      </c>
      <c r="D219" s="5" t="s">
        <v>26</v>
      </c>
      <c r="E219" s="5" t="s">
        <v>13</v>
      </c>
      <c r="F219" s="5" t="s">
        <v>28</v>
      </c>
      <c r="G219" s="5" t="s">
        <v>24</v>
      </c>
      <c r="H219" s="5">
        <v>117377</v>
      </c>
      <c r="I219" s="5">
        <v>14157</v>
      </c>
      <c r="J219" s="6">
        <f t="shared" si="3"/>
        <v>103220</v>
      </c>
    </row>
    <row r="220" spans="1:10">
      <c r="A220" s="5">
        <v>221288</v>
      </c>
      <c r="B220" s="5" t="s">
        <v>10</v>
      </c>
      <c r="C220" s="5" t="s">
        <v>25</v>
      </c>
      <c r="D220" s="5" t="s">
        <v>32</v>
      </c>
      <c r="E220" s="5" t="s">
        <v>19</v>
      </c>
      <c r="F220" s="5" t="s">
        <v>14</v>
      </c>
      <c r="G220" s="5" t="s">
        <v>24</v>
      </c>
      <c r="H220" s="5">
        <v>61329</v>
      </c>
      <c r="I220" s="5">
        <v>0</v>
      </c>
      <c r="J220" s="6">
        <f t="shared" si="3"/>
        <v>61329</v>
      </c>
    </row>
    <row r="221" spans="1:10">
      <c r="A221" s="5">
        <v>84313</v>
      </c>
      <c r="B221" s="5" t="s">
        <v>10</v>
      </c>
      <c r="C221" s="5" t="s">
        <v>34</v>
      </c>
      <c r="D221" s="5" t="s">
        <v>30</v>
      </c>
      <c r="E221" s="5" t="s">
        <v>13</v>
      </c>
      <c r="F221" s="5" t="s">
        <v>28</v>
      </c>
      <c r="G221" s="5" t="s">
        <v>24</v>
      </c>
      <c r="H221" s="5">
        <v>53672</v>
      </c>
      <c r="I221" s="5">
        <v>1883</v>
      </c>
      <c r="J221" s="6">
        <f t="shared" si="3"/>
        <v>51789</v>
      </c>
    </row>
    <row r="222" spans="1:10">
      <c r="A222" s="5">
        <v>215456</v>
      </c>
      <c r="B222" s="5" t="s">
        <v>16</v>
      </c>
      <c r="C222" s="5" t="s">
        <v>38</v>
      </c>
      <c r="D222" s="5" t="s">
        <v>12</v>
      </c>
      <c r="E222" s="5" t="s">
        <v>13</v>
      </c>
      <c r="F222" s="5" t="s">
        <v>14</v>
      </c>
      <c r="G222" s="5" t="s">
        <v>15</v>
      </c>
      <c r="H222" s="5">
        <v>18519</v>
      </c>
      <c r="I222" s="5">
        <v>156</v>
      </c>
      <c r="J222" s="6">
        <f t="shared" si="3"/>
        <v>18363</v>
      </c>
    </row>
    <row r="223" spans="1:10">
      <c r="A223" s="5">
        <v>49336</v>
      </c>
      <c r="B223" s="5" t="s">
        <v>16</v>
      </c>
      <c r="C223" s="5" t="s">
        <v>38</v>
      </c>
      <c r="D223" s="5" t="s">
        <v>33</v>
      </c>
      <c r="E223" s="5" t="s">
        <v>13</v>
      </c>
      <c r="F223" s="5" t="s">
        <v>14</v>
      </c>
      <c r="G223" s="5" t="s">
        <v>15</v>
      </c>
      <c r="H223" s="5">
        <v>28742</v>
      </c>
      <c r="I223" s="5">
        <v>413</v>
      </c>
      <c r="J223" s="6">
        <f t="shared" si="3"/>
        <v>28329</v>
      </c>
    </row>
    <row r="224" spans="1:10">
      <c r="A224" s="5">
        <v>129080</v>
      </c>
      <c r="B224" s="5" t="s">
        <v>10</v>
      </c>
      <c r="C224" s="5" t="s">
        <v>22</v>
      </c>
      <c r="D224" s="5" t="s">
        <v>12</v>
      </c>
      <c r="E224" s="5" t="s">
        <v>19</v>
      </c>
      <c r="F224" s="5" t="s">
        <v>14</v>
      </c>
      <c r="G224" s="5" t="s">
        <v>24</v>
      </c>
      <c r="H224" s="5">
        <v>65113</v>
      </c>
      <c r="I224" s="5">
        <v>1011</v>
      </c>
      <c r="J224" s="6">
        <f t="shared" si="3"/>
        <v>64102</v>
      </c>
    </row>
    <row r="225" spans="1:10">
      <c r="A225" s="5">
        <v>72566</v>
      </c>
      <c r="B225" s="5" t="s">
        <v>10</v>
      </c>
      <c r="C225" s="5" t="s">
        <v>27</v>
      </c>
      <c r="D225" s="5" t="s">
        <v>12</v>
      </c>
      <c r="E225" s="5" t="s">
        <v>13</v>
      </c>
      <c r="F225" s="5" t="s">
        <v>14</v>
      </c>
      <c r="G225" s="5" t="s">
        <v>15</v>
      </c>
      <c r="H225" s="5">
        <v>112561</v>
      </c>
      <c r="I225" s="5">
        <v>16892</v>
      </c>
      <c r="J225" s="6">
        <f t="shared" si="3"/>
        <v>95669</v>
      </c>
    </row>
    <row r="226" spans="1:10">
      <c r="A226" s="5">
        <v>15105</v>
      </c>
      <c r="B226" s="5" t="s">
        <v>16</v>
      </c>
      <c r="C226" s="5" t="s">
        <v>37</v>
      </c>
      <c r="D226" s="5" t="s">
        <v>33</v>
      </c>
      <c r="E226" s="5" t="s">
        <v>19</v>
      </c>
      <c r="F226" s="5" t="s">
        <v>14</v>
      </c>
      <c r="G226" s="5" t="s">
        <v>15</v>
      </c>
      <c r="H226" s="5">
        <v>49107</v>
      </c>
      <c r="I226" s="5">
        <v>457</v>
      </c>
      <c r="J226" s="6">
        <f t="shared" si="3"/>
        <v>48650</v>
      </c>
    </row>
    <row r="227" spans="1:10">
      <c r="A227" s="5">
        <v>147591</v>
      </c>
      <c r="B227" s="5" t="s">
        <v>16</v>
      </c>
      <c r="C227" s="5" t="s">
        <v>17</v>
      </c>
      <c r="D227" s="5" t="s">
        <v>36</v>
      </c>
      <c r="E227" s="5" t="s">
        <v>19</v>
      </c>
      <c r="F227" s="5" t="s">
        <v>14</v>
      </c>
      <c r="G227" s="5" t="s">
        <v>24</v>
      </c>
      <c r="H227" s="5">
        <v>36653</v>
      </c>
      <c r="I227" s="5">
        <v>4968</v>
      </c>
      <c r="J227" s="6">
        <f t="shared" si="3"/>
        <v>31685</v>
      </c>
    </row>
    <row r="228" spans="1:10">
      <c r="A228" s="5">
        <v>27917</v>
      </c>
      <c r="B228" s="5" t="s">
        <v>16</v>
      </c>
      <c r="C228" s="5" t="s">
        <v>37</v>
      </c>
      <c r="D228" s="5" t="s">
        <v>30</v>
      </c>
      <c r="E228" s="5" t="s">
        <v>13</v>
      </c>
      <c r="F228" s="5" t="s">
        <v>14</v>
      </c>
      <c r="G228" s="5" t="s">
        <v>15</v>
      </c>
      <c r="H228" s="5">
        <v>22172</v>
      </c>
      <c r="I228" s="5">
        <v>384</v>
      </c>
      <c r="J228" s="6">
        <f t="shared" si="3"/>
        <v>21788</v>
      </c>
    </row>
    <row r="229" spans="1:10">
      <c r="A229" s="5">
        <v>181976</v>
      </c>
      <c r="B229" s="5" t="s">
        <v>10</v>
      </c>
      <c r="C229" s="5" t="s">
        <v>38</v>
      </c>
      <c r="D229" s="5" t="s">
        <v>23</v>
      </c>
      <c r="E229" s="5" t="s">
        <v>13</v>
      </c>
      <c r="F229" s="5" t="s">
        <v>14</v>
      </c>
      <c r="G229" s="5" t="s">
        <v>15</v>
      </c>
      <c r="H229" s="5">
        <v>108891</v>
      </c>
      <c r="I229" s="5">
        <v>323</v>
      </c>
      <c r="J229" s="6">
        <f t="shared" si="3"/>
        <v>108568</v>
      </c>
    </row>
    <row r="230" spans="1:10">
      <c r="A230" s="5">
        <v>231834</v>
      </c>
      <c r="B230" s="5" t="s">
        <v>16</v>
      </c>
      <c r="C230" s="5" t="s">
        <v>17</v>
      </c>
      <c r="D230" s="5" t="s">
        <v>18</v>
      </c>
      <c r="E230" s="5" t="s">
        <v>19</v>
      </c>
      <c r="F230" s="5" t="s">
        <v>28</v>
      </c>
      <c r="G230" s="5" t="s">
        <v>24</v>
      </c>
      <c r="H230" s="5">
        <v>17201</v>
      </c>
      <c r="I230" s="5">
        <v>0</v>
      </c>
      <c r="J230" s="6">
        <f t="shared" si="3"/>
        <v>17201</v>
      </c>
    </row>
    <row r="231" spans="1:10">
      <c r="A231" s="5">
        <v>77396</v>
      </c>
      <c r="B231" s="5" t="s">
        <v>16</v>
      </c>
      <c r="C231" s="5" t="s">
        <v>35</v>
      </c>
      <c r="D231" s="5" t="s">
        <v>30</v>
      </c>
      <c r="E231" s="5" t="s">
        <v>13</v>
      </c>
      <c r="F231" s="5" t="s">
        <v>14</v>
      </c>
      <c r="G231" s="5" t="s">
        <v>15</v>
      </c>
      <c r="H231" s="5">
        <v>75441</v>
      </c>
      <c r="I231" s="5">
        <v>3</v>
      </c>
      <c r="J231" s="6">
        <f t="shared" si="3"/>
        <v>75438</v>
      </c>
    </row>
    <row r="232" spans="1:10">
      <c r="A232" s="5">
        <v>225301</v>
      </c>
      <c r="B232" s="5" t="s">
        <v>10</v>
      </c>
      <c r="C232" s="5" t="s">
        <v>17</v>
      </c>
      <c r="D232" s="5" t="s">
        <v>23</v>
      </c>
      <c r="E232" s="5" t="s">
        <v>19</v>
      </c>
      <c r="F232" s="5" t="s">
        <v>14</v>
      </c>
      <c r="G232" s="5" t="s">
        <v>24</v>
      </c>
      <c r="H232" s="5">
        <v>58779</v>
      </c>
      <c r="I232" s="5">
        <v>6053</v>
      </c>
      <c r="J232" s="6">
        <f t="shared" si="3"/>
        <v>52726</v>
      </c>
    </row>
    <row r="233" spans="1:10">
      <c r="A233" s="5">
        <v>246298</v>
      </c>
      <c r="B233" s="5" t="s">
        <v>10</v>
      </c>
      <c r="C233" s="5" t="s">
        <v>17</v>
      </c>
      <c r="D233" s="5" t="s">
        <v>36</v>
      </c>
      <c r="E233" s="5" t="s">
        <v>19</v>
      </c>
      <c r="F233" s="5" t="s">
        <v>14</v>
      </c>
      <c r="G233" s="5" t="s">
        <v>24</v>
      </c>
      <c r="H233" s="5">
        <v>63738</v>
      </c>
      <c r="I233" s="5">
        <v>277</v>
      </c>
      <c r="J233" s="6">
        <f t="shared" si="3"/>
        <v>63461</v>
      </c>
    </row>
    <row r="234" spans="1:10">
      <c r="A234" s="5">
        <v>199986</v>
      </c>
      <c r="B234" s="5" t="s">
        <v>10</v>
      </c>
      <c r="C234" s="5" t="s">
        <v>39</v>
      </c>
      <c r="D234" s="5" t="s">
        <v>12</v>
      </c>
      <c r="E234" s="5" t="s">
        <v>13</v>
      </c>
      <c r="F234" s="5" t="s">
        <v>14</v>
      </c>
      <c r="G234" s="5" t="s">
        <v>15</v>
      </c>
      <c r="H234" s="5">
        <v>41728</v>
      </c>
      <c r="I234" s="5">
        <v>4823</v>
      </c>
      <c r="J234" s="6">
        <f t="shared" si="3"/>
        <v>36905</v>
      </c>
    </row>
    <row r="235" spans="1:10">
      <c r="A235" s="5">
        <v>217366</v>
      </c>
      <c r="B235" s="5" t="s">
        <v>16</v>
      </c>
      <c r="C235" s="5" t="s">
        <v>38</v>
      </c>
      <c r="D235" s="5" t="s">
        <v>33</v>
      </c>
      <c r="E235" s="5" t="s">
        <v>19</v>
      </c>
      <c r="F235" s="5" t="s">
        <v>14</v>
      </c>
      <c r="G235" s="5" t="s">
        <v>15</v>
      </c>
      <c r="H235" s="5">
        <v>78487</v>
      </c>
      <c r="I235" s="5">
        <v>9548</v>
      </c>
      <c r="J235" s="6">
        <f t="shared" si="3"/>
        <v>68939</v>
      </c>
    </row>
    <row r="236" spans="1:10">
      <c r="A236" s="5">
        <v>242141</v>
      </c>
      <c r="B236" s="5" t="s">
        <v>16</v>
      </c>
      <c r="C236" s="5" t="s">
        <v>22</v>
      </c>
      <c r="D236" s="5" t="s">
        <v>30</v>
      </c>
      <c r="E236" s="5" t="s">
        <v>19</v>
      </c>
      <c r="F236" s="5" t="s">
        <v>28</v>
      </c>
      <c r="G236" s="5" t="s">
        <v>24</v>
      </c>
      <c r="H236" s="5">
        <v>69216</v>
      </c>
      <c r="I236" s="5">
        <v>1182</v>
      </c>
      <c r="J236" s="6">
        <f t="shared" si="3"/>
        <v>68034</v>
      </c>
    </row>
    <row r="237" spans="1:10">
      <c r="A237" s="5">
        <v>97468</v>
      </c>
      <c r="B237" s="5" t="s">
        <v>16</v>
      </c>
      <c r="C237" s="5" t="s">
        <v>34</v>
      </c>
      <c r="D237" s="5" t="s">
        <v>33</v>
      </c>
      <c r="E237" s="5" t="s">
        <v>13</v>
      </c>
      <c r="F237" s="5" t="s">
        <v>14</v>
      </c>
      <c r="G237" s="5" t="s">
        <v>15</v>
      </c>
      <c r="H237" s="5">
        <v>74018</v>
      </c>
      <c r="I237" s="5">
        <v>6829</v>
      </c>
      <c r="J237" s="6">
        <f t="shared" si="3"/>
        <v>67189</v>
      </c>
    </row>
    <row r="238" spans="1:10">
      <c r="A238" s="5">
        <v>85569</v>
      </c>
      <c r="B238" s="5" t="s">
        <v>16</v>
      </c>
      <c r="C238" s="5" t="s">
        <v>34</v>
      </c>
      <c r="D238" s="5" t="s">
        <v>30</v>
      </c>
      <c r="E238" s="5" t="s">
        <v>13</v>
      </c>
      <c r="F238" s="5" t="s">
        <v>28</v>
      </c>
      <c r="G238" s="5" t="s">
        <v>15</v>
      </c>
      <c r="H238" s="5">
        <v>41702</v>
      </c>
      <c r="I238" s="5">
        <v>553</v>
      </c>
      <c r="J238" s="6">
        <f t="shared" si="3"/>
        <v>41149</v>
      </c>
    </row>
    <row r="239" spans="1:10">
      <c r="A239" s="5">
        <v>155266</v>
      </c>
      <c r="B239" s="5" t="s">
        <v>16</v>
      </c>
      <c r="C239" s="5" t="s">
        <v>17</v>
      </c>
      <c r="D239" s="5" t="s">
        <v>26</v>
      </c>
      <c r="E239" s="5" t="s">
        <v>19</v>
      </c>
      <c r="F239" s="5" t="s">
        <v>28</v>
      </c>
      <c r="G239" s="5" t="s">
        <v>24</v>
      </c>
      <c r="H239" s="5">
        <v>15157</v>
      </c>
      <c r="I239" s="5">
        <v>249</v>
      </c>
      <c r="J239" s="6">
        <f t="shared" si="3"/>
        <v>14908</v>
      </c>
    </row>
    <row r="240" spans="1:10">
      <c r="A240" s="5">
        <v>124361</v>
      </c>
      <c r="B240" s="5" t="s">
        <v>10</v>
      </c>
      <c r="C240" s="5" t="s">
        <v>35</v>
      </c>
      <c r="D240" s="5" t="s">
        <v>30</v>
      </c>
      <c r="E240" s="5" t="s">
        <v>13</v>
      </c>
      <c r="F240" s="5" t="s">
        <v>28</v>
      </c>
      <c r="G240" s="5" t="s">
        <v>24</v>
      </c>
      <c r="H240" s="5">
        <v>3053</v>
      </c>
      <c r="I240" s="5">
        <v>0</v>
      </c>
      <c r="J240" s="6">
        <f t="shared" si="3"/>
        <v>3053</v>
      </c>
    </row>
    <row r="241" spans="1:10">
      <c r="A241" s="5">
        <v>126252</v>
      </c>
      <c r="B241" s="5" t="s">
        <v>10</v>
      </c>
      <c r="C241" s="5" t="s">
        <v>27</v>
      </c>
      <c r="D241" s="5" t="s">
        <v>29</v>
      </c>
      <c r="E241" s="5" t="s">
        <v>19</v>
      </c>
      <c r="F241" s="5" t="s">
        <v>14</v>
      </c>
      <c r="G241" s="5" t="s">
        <v>24</v>
      </c>
      <c r="H241" s="5">
        <v>63393</v>
      </c>
      <c r="I241" s="5">
        <v>322</v>
      </c>
      <c r="J241" s="6">
        <f t="shared" si="3"/>
        <v>63071</v>
      </c>
    </row>
    <row r="242" spans="1:10">
      <c r="A242" s="5">
        <v>5768</v>
      </c>
      <c r="B242" s="5" t="s">
        <v>16</v>
      </c>
      <c r="C242" s="5" t="s">
        <v>20</v>
      </c>
      <c r="D242" s="5" t="s">
        <v>32</v>
      </c>
      <c r="E242" s="5" t="s">
        <v>19</v>
      </c>
      <c r="F242" s="5" t="s">
        <v>28</v>
      </c>
      <c r="G242" s="5" t="s">
        <v>24</v>
      </c>
      <c r="H242" s="5">
        <v>586</v>
      </c>
      <c r="I242" s="5">
        <v>0</v>
      </c>
      <c r="J242" s="6">
        <f t="shared" si="3"/>
        <v>586</v>
      </c>
    </row>
    <row r="243" spans="1:10">
      <c r="A243" s="5">
        <v>129168</v>
      </c>
      <c r="B243" s="5" t="s">
        <v>10</v>
      </c>
      <c r="C243" s="5" t="s">
        <v>22</v>
      </c>
      <c r="D243" s="5" t="s">
        <v>29</v>
      </c>
      <c r="E243" s="5" t="s">
        <v>13</v>
      </c>
      <c r="F243" s="5" t="s">
        <v>14</v>
      </c>
      <c r="G243" s="5" t="s">
        <v>15</v>
      </c>
      <c r="H243" s="5">
        <v>103123</v>
      </c>
      <c r="I243" s="5">
        <v>2704</v>
      </c>
      <c r="J243" s="6">
        <f t="shared" si="3"/>
        <v>100419</v>
      </c>
    </row>
    <row r="244" spans="1:10">
      <c r="A244" s="5">
        <v>97558</v>
      </c>
      <c r="B244" s="5" t="s">
        <v>10</v>
      </c>
      <c r="C244" s="5" t="s">
        <v>38</v>
      </c>
      <c r="D244" s="5" t="s">
        <v>29</v>
      </c>
      <c r="E244" s="5" t="s">
        <v>13</v>
      </c>
      <c r="F244" s="5" t="s">
        <v>14</v>
      </c>
      <c r="G244" s="5" t="s">
        <v>15</v>
      </c>
      <c r="H244" s="5">
        <v>74064</v>
      </c>
      <c r="I244" s="5">
        <v>833</v>
      </c>
      <c r="J244" s="6">
        <f t="shared" si="3"/>
        <v>73231</v>
      </c>
    </row>
    <row r="245" spans="1:10">
      <c r="A245" s="5">
        <v>34646</v>
      </c>
      <c r="B245" s="5" t="s">
        <v>16</v>
      </c>
      <c r="C245" s="5" t="s">
        <v>34</v>
      </c>
      <c r="D245" s="5" t="s">
        <v>26</v>
      </c>
      <c r="E245" s="5" t="s">
        <v>19</v>
      </c>
      <c r="F245" s="5" t="s">
        <v>14</v>
      </c>
      <c r="G245" s="5" t="s">
        <v>24</v>
      </c>
      <c r="H245" s="5">
        <v>38693</v>
      </c>
      <c r="I245" s="5">
        <v>736</v>
      </c>
      <c r="J245" s="6">
        <f t="shared" si="3"/>
        <v>37957</v>
      </c>
    </row>
    <row r="246" spans="1:10">
      <c r="A246" s="5">
        <v>170803</v>
      </c>
      <c r="B246" s="5" t="s">
        <v>10</v>
      </c>
      <c r="C246" s="5" t="s">
        <v>17</v>
      </c>
      <c r="D246" s="5" t="s">
        <v>26</v>
      </c>
      <c r="E246" s="5" t="s">
        <v>19</v>
      </c>
      <c r="F246" s="5" t="s">
        <v>14</v>
      </c>
      <c r="G246" s="5" t="s">
        <v>24</v>
      </c>
      <c r="H246" s="5">
        <v>8702</v>
      </c>
      <c r="I246" s="5">
        <v>0</v>
      </c>
      <c r="J246" s="6">
        <f t="shared" si="3"/>
        <v>8702</v>
      </c>
    </row>
    <row r="247" spans="1:10">
      <c r="A247" s="5">
        <v>89982</v>
      </c>
      <c r="B247" s="5" t="s">
        <v>10</v>
      </c>
      <c r="C247" s="5" t="s">
        <v>37</v>
      </c>
      <c r="D247" s="5" t="s">
        <v>29</v>
      </c>
      <c r="E247" s="5" t="s">
        <v>13</v>
      </c>
      <c r="F247" s="5" t="s">
        <v>28</v>
      </c>
      <c r="G247" s="5" t="s">
        <v>15</v>
      </c>
      <c r="H247" s="5">
        <v>41147</v>
      </c>
      <c r="I247" s="5">
        <v>500</v>
      </c>
      <c r="J247" s="6">
        <f t="shared" si="3"/>
        <v>40647</v>
      </c>
    </row>
    <row r="248" spans="1:10">
      <c r="A248" s="5">
        <v>204823</v>
      </c>
      <c r="B248" s="5" t="s">
        <v>16</v>
      </c>
      <c r="C248" s="5" t="s">
        <v>34</v>
      </c>
      <c r="D248" s="5" t="s">
        <v>33</v>
      </c>
      <c r="E248" s="5" t="s">
        <v>13</v>
      </c>
      <c r="F248" s="5" t="s">
        <v>14</v>
      </c>
      <c r="G248" s="5" t="s">
        <v>15</v>
      </c>
      <c r="H248" s="5">
        <v>72696</v>
      </c>
      <c r="I248" s="5">
        <v>1176</v>
      </c>
      <c r="J248" s="6">
        <f t="shared" si="3"/>
        <v>71520</v>
      </c>
    </row>
    <row r="249" spans="1:10">
      <c r="A249" s="5">
        <v>1111</v>
      </c>
      <c r="B249" s="5" t="s">
        <v>16</v>
      </c>
      <c r="C249" s="5" t="s">
        <v>20</v>
      </c>
      <c r="D249" s="5" t="s">
        <v>32</v>
      </c>
      <c r="E249" s="5" t="s">
        <v>19</v>
      </c>
      <c r="F249" s="5" t="s">
        <v>28</v>
      </c>
      <c r="G249" s="5" t="s">
        <v>24</v>
      </c>
      <c r="H249" s="5">
        <v>222</v>
      </c>
      <c r="I249" s="5">
        <v>0</v>
      </c>
      <c r="J249" s="6">
        <f t="shared" si="3"/>
        <v>222</v>
      </c>
    </row>
    <row r="250" spans="1:10">
      <c r="A250" s="5">
        <v>145524</v>
      </c>
      <c r="B250" s="5" t="s">
        <v>16</v>
      </c>
      <c r="C250" s="5" t="s">
        <v>22</v>
      </c>
      <c r="D250" s="5" t="s">
        <v>30</v>
      </c>
      <c r="E250" s="5" t="s">
        <v>13</v>
      </c>
      <c r="F250" s="5" t="s">
        <v>14</v>
      </c>
      <c r="G250" s="5" t="s">
        <v>15</v>
      </c>
      <c r="H250" s="5">
        <v>19880</v>
      </c>
      <c r="I250" s="5">
        <v>425</v>
      </c>
      <c r="J250" s="6">
        <f t="shared" si="3"/>
        <v>19455</v>
      </c>
    </row>
    <row r="251" spans="1:10">
      <c r="A251" s="5">
        <v>160653</v>
      </c>
      <c r="B251" s="5" t="s">
        <v>16</v>
      </c>
      <c r="C251" s="5" t="s">
        <v>22</v>
      </c>
      <c r="D251" s="5" t="s">
        <v>33</v>
      </c>
      <c r="E251" s="5" t="s">
        <v>13</v>
      </c>
      <c r="F251" s="5" t="s">
        <v>14</v>
      </c>
      <c r="G251" s="5" t="s">
        <v>15</v>
      </c>
      <c r="H251" s="5">
        <v>8754</v>
      </c>
      <c r="I251" s="5">
        <v>277</v>
      </c>
      <c r="J251" s="6">
        <f t="shared" si="3"/>
        <v>8477</v>
      </c>
    </row>
    <row r="252" spans="1:10">
      <c r="A252" s="5">
        <v>155562</v>
      </c>
      <c r="B252" s="5" t="s">
        <v>16</v>
      </c>
      <c r="C252" s="5" t="s">
        <v>25</v>
      </c>
      <c r="D252" s="5" t="s">
        <v>30</v>
      </c>
      <c r="E252" s="5" t="s">
        <v>19</v>
      </c>
      <c r="F252" s="5" t="s">
        <v>14</v>
      </c>
      <c r="G252" s="5" t="s">
        <v>24</v>
      </c>
      <c r="H252" s="5">
        <v>53738</v>
      </c>
      <c r="I252" s="5">
        <v>2279</v>
      </c>
      <c r="J252" s="6">
        <f t="shared" si="3"/>
        <v>51459</v>
      </c>
    </row>
    <row r="253" spans="1:10">
      <c r="A253" s="5">
        <v>189908</v>
      </c>
      <c r="B253" s="5" t="s">
        <v>16</v>
      </c>
      <c r="C253" s="5" t="s">
        <v>37</v>
      </c>
      <c r="D253" s="5" t="s">
        <v>33</v>
      </c>
      <c r="E253" s="5" t="s">
        <v>13</v>
      </c>
      <c r="F253" s="5" t="s">
        <v>28</v>
      </c>
      <c r="G253" s="5" t="s">
        <v>15</v>
      </c>
      <c r="H253" s="5">
        <v>49797</v>
      </c>
      <c r="I253" s="5">
        <v>1748</v>
      </c>
      <c r="J253" s="6">
        <f t="shared" si="3"/>
        <v>48049</v>
      </c>
    </row>
    <row r="254" spans="1:10">
      <c r="A254" s="5">
        <v>248679</v>
      </c>
      <c r="B254" s="5" t="s">
        <v>16</v>
      </c>
      <c r="C254" s="5" t="s">
        <v>17</v>
      </c>
      <c r="D254" s="5" t="s">
        <v>26</v>
      </c>
      <c r="E254" s="5" t="s">
        <v>19</v>
      </c>
      <c r="F254" s="5" t="s">
        <v>14</v>
      </c>
      <c r="G254" s="5" t="s">
        <v>24</v>
      </c>
      <c r="H254" s="5">
        <v>17061</v>
      </c>
      <c r="I254" s="5">
        <v>629</v>
      </c>
      <c r="J254" s="6">
        <f t="shared" si="3"/>
        <v>16432</v>
      </c>
    </row>
    <row r="255" spans="1:10">
      <c r="A255" s="5">
        <v>255464</v>
      </c>
      <c r="B255" s="5" t="s">
        <v>10</v>
      </c>
      <c r="C255" s="5" t="s">
        <v>25</v>
      </c>
      <c r="D255" s="5" t="s">
        <v>23</v>
      </c>
      <c r="E255" s="5" t="s">
        <v>19</v>
      </c>
      <c r="F255" s="5" t="s">
        <v>14</v>
      </c>
      <c r="G255" s="5" t="s">
        <v>24</v>
      </c>
      <c r="H255" s="5">
        <v>53378</v>
      </c>
      <c r="I255" s="5">
        <v>1391</v>
      </c>
      <c r="J255" s="6">
        <f t="shared" si="3"/>
        <v>51987</v>
      </c>
    </row>
    <row r="256" spans="1:10">
      <c r="A256" s="5">
        <v>55612</v>
      </c>
      <c r="B256" s="5" t="s">
        <v>10</v>
      </c>
      <c r="C256" s="5" t="s">
        <v>11</v>
      </c>
      <c r="D256" s="5" t="s">
        <v>26</v>
      </c>
      <c r="E256" s="5" t="s">
        <v>19</v>
      </c>
      <c r="F256" s="5" t="s">
        <v>14</v>
      </c>
      <c r="G256" s="5" t="s">
        <v>24</v>
      </c>
      <c r="H256" s="5">
        <v>36553</v>
      </c>
      <c r="I256" s="5">
        <v>327</v>
      </c>
      <c r="J256" s="6">
        <f t="shared" si="3"/>
        <v>36226</v>
      </c>
    </row>
    <row r="257" spans="1:10">
      <c r="A257" s="5">
        <v>106980</v>
      </c>
      <c r="B257" s="5" t="s">
        <v>10</v>
      </c>
      <c r="C257" s="5" t="s">
        <v>25</v>
      </c>
      <c r="D257" s="5" t="s">
        <v>23</v>
      </c>
      <c r="E257" s="5" t="s">
        <v>13</v>
      </c>
      <c r="F257" s="5" t="s">
        <v>14</v>
      </c>
      <c r="G257" s="5" t="s">
        <v>24</v>
      </c>
      <c r="H257" s="5">
        <v>92204</v>
      </c>
      <c r="I257" s="5">
        <v>0</v>
      </c>
      <c r="J257" s="6">
        <f t="shared" si="3"/>
        <v>92204</v>
      </c>
    </row>
    <row r="258" spans="1:10">
      <c r="A258" s="5">
        <v>211071</v>
      </c>
      <c r="B258" s="5" t="s">
        <v>16</v>
      </c>
      <c r="C258" s="5" t="s">
        <v>34</v>
      </c>
      <c r="D258" s="5" t="s">
        <v>32</v>
      </c>
      <c r="E258" s="5" t="s">
        <v>13</v>
      </c>
      <c r="F258" s="5" t="s">
        <v>14</v>
      </c>
      <c r="G258" s="5" t="s">
        <v>15</v>
      </c>
      <c r="H258" s="5">
        <v>46032</v>
      </c>
      <c r="I258" s="5">
        <v>0</v>
      </c>
      <c r="J258" s="6">
        <f t="shared" ref="J258:J321" si="4">H258-I258</f>
        <v>46032</v>
      </c>
    </row>
    <row r="259" spans="1:10">
      <c r="A259" s="5">
        <v>199778</v>
      </c>
      <c r="B259" s="5" t="s">
        <v>16</v>
      </c>
      <c r="C259" s="5" t="s">
        <v>37</v>
      </c>
      <c r="D259" s="5" t="s">
        <v>12</v>
      </c>
      <c r="E259" s="5" t="s">
        <v>13</v>
      </c>
      <c r="F259" s="5" t="s">
        <v>28</v>
      </c>
      <c r="G259" s="5" t="s">
        <v>15</v>
      </c>
      <c r="H259" s="5">
        <v>164860</v>
      </c>
      <c r="I259" s="5">
        <v>1078</v>
      </c>
      <c r="J259" s="6">
        <f t="shared" si="4"/>
        <v>163782</v>
      </c>
    </row>
    <row r="260" spans="1:10">
      <c r="A260" s="5">
        <v>108475</v>
      </c>
      <c r="B260" s="5" t="s">
        <v>10</v>
      </c>
      <c r="C260" s="5" t="s">
        <v>25</v>
      </c>
      <c r="D260" s="5" t="s">
        <v>29</v>
      </c>
      <c r="E260" s="5" t="s">
        <v>19</v>
      </c>
      <c r="F260" s="5" t="s">
        <v>28</v>
      </c>
      <c r="G260" s="5" t="s">
        <v>24</v>
      </c>
      <c r="H260" s="5">
        <v>20390</v>
      </c>
      <c r="I260" s="5">
        <v>3838</v>
      </c>
      <c r="J260" s="6">
        <f t="shared" si="4"/>
        <v>16552</v>
      </c>
    </row>
    <row r="261" spans="1:10">
      <c r="A261" s="5">
        <v>190176</v>
      </c>
      <c r="B261" s="5" t="s">
        <v>10</v>
      </c>
      <c r="C261" s="5" t="s">
        <v>20</v>
      </c>
      <c r="D261" s="5" t="s">
        <v>32</v>
      </c>
      <c r="E261" s="5" t="s">
        <v>19</v>
      </c>
      <c r="F261" s="5" t="s">
        <v>28</v>
      </c>
      <c r="G261" s="5" t="s">
        <v>24</v>
      </c>
      <c r="H261" s="5">
        <v>411</v>
      </c>
      <c r="I261" s="5">
        <v>0</v>
      </c>
      <c r="J261" s="6">
        <f t="shared" si="4"/>
        <v>411</v>
      </c>
    </row>
    <row r="262" spans="1:10">
      <c r="A262" s="5">
        <v>52074</v>
      </c>
      <c r="B262" s="5" t="s">
        <v>10</v>
      </c>
      <c r="C262" s="5" t="s">
        <v>35</v>
      </c>
      <c r="D262" s="5" t="s">
        <v>12</v>
      </c>
      <c r="E262" s="5" t="s">
        <v>13</v>
      </c>
      <c r="F262" s="5" t="s">
        <v>14</v>
      </c>
      <c r="G262" s="5" t="s">
        <v>15</v>
      </c>
      <c r="H262" s="5">
        <v>362528</v>
      </c>
      <c r="I262" s="5">
        <v>8664</v>
      </c>
      <c r="J262" s="6">
        <f t="shared" si="4"/>
        <v>353864</v>
      </c>
    </row>
    <row r="263" spans="1:10">
      <c r="A263" s="5">
        <v>178274</v>
      </c>
      <c r="B263" s="5" t="s">
        <v>16</v>
      </c>
      <c r="C263" s="5" t="s">
        <v>27</v>
      </c>
      <c r="D263" s="5" t="s">
        <v>12</v>
      </c>
      <c r="E263" s="5" t="s">
        <v>13</v>
      </c>
      <c r="F263" s="5" t="s">
        <v>28</v>
      </c>
      <c r="G263" s="5" t="s">
        <v>15</v>
      </c>
      <c r="H263" s="5">
        <v>84012</v>
      </c>
      <c r="I263" s="5">
        <v>414</v>
      </c>
      <c r="J263" s="6">
        <f t="shared" si="4"/>
        <v>83598</v>
      </c>
    </row>
    <row r="264" spans="1:10">
      <c r="A264" s="5">
        <v>180373</v>
      </c>
      <c r="B264" s="5" t="s">
        <v>16</v>
      </c>
      <c r="C264" s="5" t="s">
        <v>31</v>
      </c>
      <c r="D264" s="5" t="s">
        <v>18</v>
      </c>
      <c r="E264" s="5" t="s">
        <v>19</v>
      </c>
      <c r="F264" s="5" t="s">
        <v>28</v>
      </c>
      <c r="G264" s="5" t="s">
        <v>24</v>
      </c>
      <c r="H264" s="5">
        <v>11932</v>
      </c>
      <c r="I264" s="5">
        <v>47</v>
      </c>
      <c r="J264" s="6">
        <f t="shared" si="4"/>
        <v>11885</v>
      </c>
    </row>
    <row r="265" spans="1:10">
      <c r="A265" s="5">
        <v>119636</v>
      </c>
      <c r="B265" s="5" t="s">
        <v>10</v>
      </c>
      <c r="C265" s="5" t="s">
        <v>27</v>
      </c>
      <c r="D265" s="5" t="s">
        <v>23</v>
      </c>
      <c r="E265" s="5" t="s">
        <v>19</v>
      </c>
      <c r="F265" s="5" t="s">
        <v>28</v>
      </c>
      <c r="G265" s="5" t="s">
        <v>15</v>
      </c>
      <c r="H265" s="5">
        <v>87820</v>
      </c>
      <c r="I265" s="5">
        <v>0</v>
      </c>
      <c r="J265" s="6">
        <f t="shared" si="4"/>
        <v>87820</v>
      </c>
    </row>
    <row r="266" spans="1:10">
      <c r="A266" s="5">
        <v>167884</v>
      </c>
      <c r="B266" s="5" t="s">
        <v>10</v>
      </c>
      <c r="C266" s="5" t="s">
        <v>27</v>
      </c>
      <c r="D266" s="5" t="s">
        <v>12</v>
      </c>
      <c r="E266" s="5" t="s">
        <v>13</v>
      </c>
      <c r="F266" s="5" t="s">
        <v>14</v>
      </c>
      <c r="G266" s="5" t="s">
        <v>24</v>
      </c>
      <c r="H266" s="5">
        <v>63677</v>
      </c>
      <c r="I266" s="5">
        <v>2524</v>
      </c>
      <c r="J266" s="6">
        <f t="shared" si="4"/>
        <v>61153</v>
      </c>
    </row>
    <row r="267" spans="1:10">
      <c r="A267" s="5">
        <v>197204</v>
      </c>
      <c r="B267" s="5" t="s">
        <v>10</v>
      </c>
      <c r="C267" s="5" t="s">
        <v>34</v>
      </c>
      <c r="D267" s="5" t="s">
        <v>29</v>
      </c>
      <c r="E267" s="5" t="s">
        <v>13</v>
      </c>
      <c r="F267" s="5" t="s">
        <v>28</v>
      </c>
      <c r="G267" s="5" t="s">
        <v>24</v>
      </c>
      <c r="H267" s="5">
        <v>41408</v>
      </c>
      <c r="I267" s="5">
        <v>403</v>
      </c>
      <c r="J267" s="6">
        <f t="shared" si="4"/>
        <v>41005</v>
      </c>
    </row>
    <row r="268" spans="1:10">
      <c r="A268" s="5">
        <v>109440</v>
      </c>
      <c r="B268" s="5" t="s">
        <v>10</v>
      </c>
      <c r="C268" s="5" t="s">
        <v>22</v>
      </c>
      <c r="D268" s="5" t="s">
        <v>36</v>
      </c>
      <c r="E268" s="5" t="s">
        <v>19</v>
      </c>
      <c r="F268" s="5" t="s">
        <v>28</v>
      </c>
      <c r="G268" s="5" t="s">
        <v>24</v>
      </c>
      <c r="H268" s="5">
        <v>687</v>
      </c>
      <c r="I268" s="5">
        <v>0</v>
      </c>
      <c r="J268" s="6">
        <f t="shared" si="4"/>
        <v>687</v>
      </c>
    </row>
    <row r="269" spans="1:10">
      <c r="A269" s="5">
        <v>86176</v>
      </c>
      <c r="B269" s="5" t="s">
        <v>10</v>
      </c>
      <c r="C269" s="5" t="s">
        <v>20</v>
      </c>
      <c r="D269" s="5" t="s">
        <v>32</v>
      </c>
      <c r="E269" s="5" t="s">
        <v>13</v>
      </c>
      <c r="F269" s="5" t="s">
        <v>14</v>
      </c>
      <c r="G269" s="5" t="s">
        <v>15</v>
      </c>
      <c r="H269" s="5">
        <v>24043</v>
      </c>
      <c r="I269" s="5">
        <v>344</v>
      </c>
      <c r="J269" s="6">
        <f t="shared" si="4"/>
        <v>23699</v>
      </c>
    </row>
    <row r="270" spans="1:10">
      <c r="A270" s="5">
        <v>208917</v>
      </c>
      <c r="B270" s="5" t="s">
        <v>10</v>
      </c>
      <c r="C270" s="5" t="s">
        <v>20</v>
      </c>
      <c r="D270" s="5" t="s">
        <v>32</v>
      </c>
      <c r="E270" s="5" t="s">
        <v>13</v>
      </c>
      <c r="F270" s="5" t="s">
        <v>14</v>
      </c>
      <c r="G270" s="5" t="s">
        <v>15</v>
      </c>
      <c r="H270" s="5">
        <v>18083</v>
      </c>
      <c r="I270" s="5">
        <v>0</v>
      </c>
      <c r="J270" s="6">
        <f t="shared" si="4"/>
        <v>18083</v>
      </c>
    </row>
    <row r="271" spans="1:10">
      <c r="A271" s="5">
        <v>118722</v>
      </c>
      <c r="B271" s="5" t="s">
        <v>10</v>
      </c>
      <c r="C271" s="5" t="s">
        <v>31</v>
      </c>
      <c r="D271" s="5" t="s">
        <v>26</v>
      </c>
      <c r="E271" s="5" t="s">
        <v>19</v>
      </c>
      <c r="F271" s="5" t="s">
        <v>14</v>
      </c>
      <c r="G271" s="5" t="s">
        <v>24</v>
      </c>
      <c r="H271" s="5">
        <v>21621</v>
      </c>
      <c r="I271" s="5">
        <v>388</v>
      </c>
      <c r="J271" s="6">
        <f t="shared" si="4"/>
        <v>21233</v>
      </c>
    </row>
    <row r="272" spans="1:10">
      <c r="A272" s="5">
        <v>93846</v>
      </c>
      <c r="B272" s="5" t="s">
        <v>10</v>
      </c>
      <c r="C272" s="5" t="s">
        <v>39</v>
      </c>
      <c r="D272" s="5" t="s">
        <v>23</v>
      </c>
      <c r="E272" s="5" t="s">
        <v>13</v>
      </c>
      <c r="F272" s="5" t="s">
        <v>14</v>
      </c>
      <c r="G272" s="5" t="s">
        <v>15</v>
      </c>
      <c r="H272" s="5">
        <v>45731</v>
      </c>
      <c r="I272" s="5">
        <v>243</v>
      </c>
      <c r="J272" s="6">
        <f t="shared" si="4"/>
        <v>45488</v>
      </c>
    </row>
    <row r="273" spans="1:10">
      <c r="A273" s="5">
        <v>20849</v>
      </c>
      <c r="B273" s="5" t="s">
        <v>16</v>
      </c>
      <c r="C273" s="5" t="s">
        <v>11</v>
      </c>
      <c r="D273" s="5" t="s">
        <v>32</v>
      </c>
      <c r="E273" s="5" t="s">
        <v>13</v>
      </c>
      <c r="F273" s="5" t="s">
        <v>14</v>
      </c>
      <c r="G273" s="5" t="s">
        <v>24</v>
      </c>
      <c r="H273" s="5">
        <v>-989</v>
      </c>
      <c r="I273" s="5">
        <v>0</v>
      </c>
      <c r="J273" s="6">
        <f t="shared" si="4"/>
        <v>-989</v>
      </c>
    </row>
    <row r="274" spans="1:10">
      <c r="A274" s="5">
        <v>28219</v>
      </c>
      <c r="B274" s="5" t="s">
        <v>10</v>
      </c>
      <c r="C274" s="5" t="s">
        <v>35</v>
      </c>
      <c r="D274" s="5" t="s">
        <v>36</v>
      </c>
      <c r="E274" s="5" t="s">
        <v>13</v>
      </c>
      <c r="F274" s="5" t="s">
        <v>14</v>
      </c>
      <c r="G274" s="5" t="s">
        <v>24</v>
      </c>
      <c r="H274" s="5">
        <v>66338</v>
      </c>
      <c r="I274" s="5">
        <v>883</v>
      </c>
      <c r="J274" s="6">
        <f t="shared" si="4"/>
        <v>65455</v>
      </c>
    </row>
    <row r="275" spans="1:10">
      <c r="A275" s="5">
        <v>151465</v>
      </c>
      <c r="B275" s="5" t="s">
        <v>10</v>
      </c>
      <c r="C275" s="5" t="s">
        <v>11</v>
      </c>
      <c r="D275" s="5" t="s">
        <v>26</v>
      </c>
      <c r="E275" s="5" t="s">
        <v>13</v>
      </c>
      <c r="F275" s="5" t="s">
        <v>14</v>
      </c>
      <c r="G275" s="5" t="s">
        <v>24</v>
      </c>
      <c r="H275" s="5">
        <v>63322</v>
      </c>
      <c r="I275" s="5">
        <v>252</v>
      </c>
      <c r="J275" s="6">
        <f t="shared" si="4"/>
        <v>63070</v>
      </c>
    </row>
    <row r="276" spans="1:10">
      <c r="A276" s="5">
        <v>63809</v>
      </c>
      <c r="B276" s="5" t="s">
        <v>10</v>
      </c>
      <c r="C276" s="5" t="s">
        <v>27</v>
      </c>
      <c r="D276" s="5" t="s">
        <v>26</v>
      </c>
      <c r="E276" s="5" t="s">
        <v>19</v>
      </c>
      <c r="F276" s="5" t="s">
        <v>14</v>
      </c>
      <c r="G276" s="5" t="s">
        <v>24</v>
      </c>
      <c r="H276" s="5">
        <v>19786</v>
      </c>
      <c r="I276" s="5">
        <v>338</v>
      </c>
      <c r="J276" s="6">
        <f t="shared" si="4"/>
        <v>19448</v>
      </c>
    </row>
    <row r="277" spans="1:10">
      <c r="A277" s="5">
        <v>46731</v>
      </c>
      <c r="B277" s="5" t="s">
        <v>16</v>
      </c>
      <c r="C277" s="5" t="s">
        <v>37</v>
      </c>
      <c r="D277" s="5" t="s">
        <v>33</v>
      </c>
      <c r="E277" s="5" t="s">
        <v>13</v>
      </c>
      <c r="F277" s="5" t="s">
        <v>14</v>
      </c>
      <c r="G277" s="5" t="s">
        <v>15</v>
      </c>
      <c r="H277" s="5">
        <v>46660</v>
      </c>
      <c r="I277" s="5">
        <v>963</v>
      </c>
      <c r="J277" s="6">
        <f t="shared" si="4"/>
        <v>45697</v>
      </c>
    </row>
    <row r="278" spans="1:10">
      <c r="A278" s="5">
        <v>57607</v>
      </c>
      <c r="B278" s="5" t="s">
        <v>10</v>
      </c>
      <c r="C278" s="5" t="s">
        <v>34</v>
      </c>
      <c r="D278" s="5" t="s">
        <v>32</v>
      </c>
      <c r="E278" s="5" t="s">
        <v>13</v>
      </c>
      <c r="F278" s="5" t="s">
        <v>28</v>
      </c>
      <c r="G278" s="5" t="s">
        <v>15</v>
      </c>
      <c r="H278" s="5">
        <v>115874</v>
      </c>
      <c r="I278" s="5">
        <v>1715</v>
      </c>
      <c r="J278" s="6">
        <f t="shared" si="4"/>
        <v>114159</v>
      </c>
    </row>
    <row r="279" spans="1:10">
      <c r="A279" s="5">
        <v>252311</v>
      </c>
      <c r="B279" s="5" t="s">
        <v>10</v>
      </c>
      <c r="C279" s="5" t="s">
        <v>17</v>
      </c>
      <c r="D279" s="5" t="s">
        <v>30</v>
      </c>
      <c r="E279" s="5" t="s">
        <v>19</v>
      </c>
      <c r="F279" s="5" t="s">
        <v>14</v>
      </c>
      <c r="G279" s="5" t="s">
        <v>15</v>
      </c>
      <c r="H279" s="5">
        <v>23868</v>
      </c>
      <c r="I279" s="5">
        <v>0</v>
      </c>
      <c r="J279" s="6">
        <f t="shared" si="4"/>
        <v>23868</v>
      </c>
    </row>
    <row r="280" spans="1:10">
      <c r="A280" s="5">
        <v>222043</v>
      </c>
      <c r="B280" s="5" t="s">
        <v>16</v>
      </c>
      <c r="C280" s="5" t="s">
        <v>25</v>
      </c>
      <c r="D280" s="5" t="s">
        <v>33</v>
      </c>
      <c r="E280" s="5" t="s">
        <v>13</v>
      </c>
      <c r="F280" s="5" t="s">
        <v>14</v>
      </c>
      <c r="G280" s="5" t="s">
        <v>15</v>
      </c>
      <c r="H280" s="5">
        <v>43868</v>
      </c>
      <c r="I280" s="5">
        <v>471</v>
      </c>
      <c r="J280" s="6">
        <f t="shared" si="4"/>
        <v>43397</v>
      </c>
    </row>
    <row r="281" spans="1:10">
      <c r="A281" s="5">
        <v>78939</v>
      </c>
      <c r="B281" s="5" t="s">
        <v>16</v>
      </c>
      <c r="C281" s="5" t="s">
        <v>20</v>
      </c>
      <c r="D281" s="5" t="s">
        <v>32</v>
      </c>
      <c r="E281" s="5" t="s">
        <v>13</v>
      </c>
      <c r="F281" s="5" t="s">
        <v>28</v>
      </c>
      <c r="G281" s="5" t="s">
        <v>15</v>
      </c>
      <c r="H281" s="5">
        <v>10966</v>
      </c>
      <c r="I281" s="5">
        <v>0</v>
      </c>
      <c r="J281" s="6">
        <f t="shared" si="4"/>
        <v>10966</v>
      </c>
    </row>
    <row r="282" spans="1:10">
      <c r="A282" s="5">
        <v>128173</v>
      </c>
      <c r="B282" s="5" t="s">
        <v>16</v>
      </c>
      <c r="C282" s="5" t="s">
        <v>22</v>
      </c>
      <c r="D282" s="5" t="s">
        <v>30</v>
      </c>
      <c r="E282" s="5" t="s">
        <v>13</v>
      </c>
      <c r="F282" s="5" t="s">
        <v>28</v>
      </c>
      <c r="G282" s="5" t="s">
        <v>15</v>
      </c>
      <c r="H282" s="5">
        <v>75468</v>
      </c>
      <c r="I282" s="5">
        <v>12</v>
      </c>
      <c r="J282" s="6">
        <f t="shared" si="4"/>
        <v>75456</v>
      </c>
    </row>
    <row r="283" spans="1:10">
      <c r="A283" s="5">
        <v>13408</v>
      </c>
      <c r="B283" s="5" t="s">
        <v>16</v>
      </c>
      <c r="C283" s="5" t="s">
        <v>34</v>
      </c>
      <c r="D283" s="5" t="s">
        <v>36</v>
      </c>
      <c r="E283" s="5" t="s">
        <v>13</v>
      </c>
      <c r="F283" s="5" t="s">
        <v>14</v>
      </c>
      <c r="G283" s="5" t="s">
        <v>24</v>
      </c>
      <c r="H283" s="5">
        <v>19340</v>
      </c>
      <c r="I283" s="5">
        <v>4583</v>
      </c>
      <c r="J283" s="6">
        <f t="shared" si="4"/>
        <v>14757</v>
      </c>
    </row>
    <row r="284" spans="1:10">
      <c r="A284" s="5">
        <v>176095</v>
      </c>
      <c r="B284" s="5" t="s">
        <v>16</v>
      </c>
      <c r="C284" s="5" t="s">
        <v>22</v>
      </c>
      <c r="D284" s="5" t="s">
        <v>30</v>
      </c>
      <c r="E284" s="5" t="s">
        <v>13</v>
      </c>
      <c r="F284" s="5" t="s">
        <v>28</v>
      </c>
      <c r="G284" s="5" t="s">
        <v>15</v>
      </c>
      <c r="H284" s="5">
        <v>204515</v>
      </c>
      <c r="I284" s="5">
        <v>3131</v>
      </c>
      <c r="J284" s="6">
        <f t="shared" si="4"/>
        <v>201384</v>
      </c>
    </row>
    <row r="285" spans="1:10">
      <c r="A285" s="5">
        <v>208936</v>
      </c>
      <c r="B285" s="5" t="s">
        <v>10</v>
      </c>
      <c r="C285" s="5" t="s">
        <v>38</v>
      </c>
      <c r="D285" s="5" t="s">
        <v>12</v>
      </c>
      <c r="E285" s="5" t="s">
        <v>13</v>
      </c>
      <c r="F285" s="5" t="s">
        <v>14</v>
      </c>
      <c r="G285" s="5" t="s">
        <v>15</v>
      </c>
      <c r="H285" s="5">
        <v>76777</v>
      </c>
      <c r="I285" s="5">
        <v>877</v>
      </c>
      <c r="J285" s="6">
        <f t="shared" si="4"/>
        <v>75900</v>
      </c>
    </row>
    <row r="286" spans="1:10">
      <c r="A286" s="5">
        <v>226207</v>
      </c>
      <c r="B286" s="5" t="s">
        <v>16</v>
      </c>
      <c r="C286" s="5" t="s">
        <v>25</v>
      </c>
      <c r="D286" s="5" t="s">
        <v>18</v>
      </c>
      <c r="E286" s="5" t="s">
        <v>19</v>
      </c>
      <c r="F286" s="5" t="s">
        <v>28</v>
      </c>
      <c r="G286" s="5" t="s">
        <v>24</v>
      </c>
      <c r="H286" s="5">
        <v>22865</v>
      </c>
      <c r="I286" s="5">
        <v>1045</v>
      </c>
      <c r="J286" s="6">
        <f t="shared" si="4"/>
        <v>21820</v>
      </c>
    </row>
    <row r="287" spans="1:10">
      <c r="A287" s="5">
        <v>79718</v>
      </c>
      <c r="B287" s="5" t="s">
        <v>16</v>
      </c>
      <c r="C287" s="5" t="s">
        <v>38</v>
      </c>
      <c r="D287" s="5" t="s">
        <v>30</v>
      </c>
      <c r="E287" s="5" t="s">
        <v>19</v>
      </c>
      <c r="F287" s="5" t="s">
        <v>14</v>
      </c>
      <c r="G287" s="5" t="s">
        <v>15</v>
      </c>
      <c r="H287" s="5">
        <v>170613</v>
      </c>
      <c r="I287" s="5">
        <v>9240</v>
      </c>
      <c r="J287" s="6">
        <f t="shared" si="4"/>
        <v>161373</v>
      </c>
    </row>
    <row r="288" spans="1:10">
      <c r="A288" s="5">
        <v>22739</v>
      </c>
      <c r="B288" s="5" t="s">
        <v>16</v>
      </c>
      <c r="C288" s="5" t="s">
        <v>11</v>
      </c>
      <c r="D288" s="5" t="s">
        <v>18</v>
      </c>
      <c r="E288" s="5" t="s">
        <v>13</v>
      </c>
      <c r="F288" s="5" t="s">
        <v>14</v>
      </c>
      <c r="G288" s="5" t="s">
        <v>15</v>
      </c>
      <c r="H288" s="5">
        <v>39073</v>
      </c>
      <c r="I288" s="5">
        <v>135</v>
      </c>
      <c r="J288" s="6">
        <f t="shared" si="4"/>
        <v>38938</v>
      </c>
    </row>
    <row r="289" spans="1:10">
      <c r="A289" s="5">
        <v>255004</v>
      </c>
      <c r="B289" s="5" t="s">
        <v>10</v>
      </c>
      <c r="C289" s="5" t="s">
        <v>17</v>
      </c>
      <c r="D289" s="5" t="s">
        <v>21</v>
      </c>
      <c r="E289" s="5" t="s">
        <v>19</v>
      </c>
      <c r="F289" s="5" t="s">
        <v>14</v>
      </c>
      <c r="G289" s="5" t="s">
        <v>24</v>
      </c>
      <c r="H289" s="5">
        <v>22825</v>
      </c>
      <c r="I289" s="5">
        <v>269</v>
      </c>
      <c r="J289" s="6">
        <f t="shared" si="4"/>
        <v>22556</v>
      </c>
    </row>
    <row r="290" spans="1:10">
      <c r="A290" s="5">
        <v>15439</v>
      </c>
      <c r="B290" s="5" t="s">
        <v>10</v>
      </c>
      <c r="C290" s="5" t="s">
        <v>11</v>
      </c>
      <c r="D290" s="5" t="s">
        <v>23</v>
      </c>
      <c r="E290" s="5" t="s">
        <v>13</v>
      </c>
      <c r="F290" s="5" t="s">
        <v>14</v>
      </c>
      <c r="G290" s="5" t="s">
        <v>24</v>
      </c>
      <c r="H290" s="5">
        <v>68022</v>
      </c>
      <c r="I290" s="5">
        <v>553</v>
      </c>
      <c r="J290" s="6">
        <f t="shared" si="4"/>
        <v>67469</v>
      </c>
    </row>
    <row r="291" spans="1:10">
      <c r="A291" s="5">
        <v>246317</v>
      </c>
      <c r="B291" s="5" t="s">
        <v>16</v>
      </c>
      <c r="C291" s="5" t="s">
        <v>17</v>
      </c>
      <c r="D291" s="5" t="s">
        <v>18</v>
      </c>
      <c r="E291" s="5" t="s">
        <v>19</v>
      </c>
      <c r="F291" s="5" t="s">
        <v>14</v>
      </c>
      <c r="G291" s="5" t="s">
        <v>15</v>
      </c>
      <c r="H291" s="5">
        <v>15649</v>
      </c>
      <c r="I291" s="5">
        <v>130</v>
      </c>
      <c r="J291" s="6">
        <f t="shared" si="4"/>
        <v>15519</v>
      </c>
    </row>
    <row r="292" spans="1:10">
      <c r="A292" s="5">
        <v>30618</v>
      </c>
      <c r="B292" s="5" t="s">
        <v>10</v>
      </c>
      <c r="C292" s="5" t="s">
        <v>11</v>
      </c>
      <c r="D292" s="5" t="s">
        <v>29</v>
      </c>
      <c r="E292" s="5" t="s">
        <v>19</v>
      </c>
      <c r="F292" s="5" t="s">
        <v>28</v>
      </c>
      <c r="G292" s="5" t="s">
        <v>24</v>
      </c>
      <c r="H292" s="5">
        <v>14902</v>
      </c>
      <c r="I292" s="5">
        <v>71</v>
      </c>
      <c r="J292" s="6">
        <f t="shared" si="4"/>
        <v>14831</v>
      </c>
    </row>
    <row r="293" spans="1:10">
      <c r="A293" s="5">
        <v>138220</v>
      </c>
      <c r="B293" s="5" t="s">
        <v>16</v>
      </c>
      <c r="C293" s="5" t="s">
        <v>25</v>
      </c>
      <c r="D293" s="5" t="s">
        <v>23</v>
      </c>
      <c r="E293" s="5" t="s">
        <v>19</v>
      </c>
      <c r="F293" s="5" t="s">
        <v>14</v>
      </c>
      <c r="G293" s="5" t="s">
        <v>15</v>
      </c>
      <c r="H293" s="5">
        <v>50117</v>
      </c>
      <c r="I293" s="5">
        <v>1579</v>
      </c>
      <c r="J293" s="6">
        <f t="shared" si="4"/>
        <v>48538</v>
      </c>
    </row>
    <row r="294" spans="1:10">
      <c r="A294" s="5">
        <v>14608</v>
      </c>
      <c r="B294" s="5" t="s">
        <v>16</v>
      </c>
      <c r="C294" s="5" t="s">
        <v>39</v>
      </c>
      <c r="D294" s="5" t="s">
        <v>32</v>
      </c>
      <c r="E294" s="5" t="s">
        <v>13</v>
      </c>
      <c r="F294" s="5" t="s">
        <v>14</v>
      </c>
      <c r="G294" s="5" t="s">
        <v>15</v>
      </c>
      <c r="H294" s="5">
        <v>10032</v>
      </c>
      <c r="I294" s="5">
        <v>1311</v>
      </c>
      <c r="J294" s="6">
        <f t="shared" si="4"/>
        <v>8721</v>
      </c>
    </row>
    <row r="295" spans="1:10">
      <c r="A295" s="5">
        <v>176137</v>
      </c>
      <c r="B295" s="5" t="s">
        <v>16</v>
      </c>
      <c r="C295" s="5" t="s">
        <v>25</v>
      </c>
      <c r="D295" s="5" t="s">
        <v>33</v>
      </c>
      <c r="E295" s="5" t="s">
        <v>13</v>
      </c>
      <c r="F295" s="5" t="s">
        <v>14</v>
      </c>
      <c r="G295" s="5" t="s">
        <v>15</v>
      </c>
      <c r="H295" s="5">
        <v>145393</v>
      </c>
      <c r="I295" s="5">
        <v>3046</v>
      </c>
      <c r="J295" s="6">
        <f t="shared" si="4"/>
        <v>142347</v>
      </c>
    </row>
    <row r="296" spans="1:10">
      <c r="A296" s="5">
        <v>93869</v>
      </c>
      <c r="B296" s="5" t="s">
        <v>10</v>
      </c>
      <c r="C296" s="5" t="s">
        <v>20</v>
      </c>
      <c r="D296" s="5" t="s">
        <v>32</v>
      </c>
      <c r="E296" s="5" t="s">
        <v>13</v>
      </c>
      <c r="F296" s="5" t="s">
        <v>14</v>
      </c>
      <c r="G296" s="5" t="s">
        <v>15</v>
      </c>
      <c r="H296" s="5">
        <v>1530</v>
      </c>
      <c r="I296" s="5">
        <v>0</v>
      </c>
      <c r="J296" s="6">
        <f t="shared" si="4"/>
        <v>1530</v>
      </c>
    </row>
    <row r="297" spans="1:10">
      <c r="A297" s="5">
        <v>122150</v>
      </c>
      <c r="B297" s="5" t="s">
        <v>16</v>
      </c>
      <c r="C297" s="5" t="s">
        <v>25</v>
      </c>
      <c r="D297" s="5" t="s">
        <v>30</v>
      </c>
      <c r="E297" s="5" t="s">
        <v>19</v>
      </c>
      <c r="F297" s="5" t="s">
        <v>14</v>
      </c>
      <c r="G297" s="5" t="s">
        <v>15</v>
      </c>
      <c r="H297" s="5">
        <v>45494</v>
      </c>
      <c r="I297" s="5">
        <v>2619</v>
      </c>
      <c r="J297" s="6">
        <f t="shared" si="4"/>
        <v>42875</v>
      </c>
    </row>
    <row r="298" spans="1:10">
      <c r="A298" s="5">
        <v>214004</v>
      </c>
      <c r="B298" s="5" t="s">
        <v>16</v>
      </c>
      <c r="C298" s="5" t="s">
        <v>38</v>
      </c>
      <c r="D298" s="5" t="s">
        <v>21</v>
      </c>
      <c r="E298" s="5" t="s">
        <v>19</v>
      </c>
      <c r="F298" s="5" t="s">
        <v>14</v>
      </c>
      <c r="G298" s="5" t="s">
        <v>24</v>
      </c>
      <c r="H298" s="5">
        <v>33927</v>
      </c>
      <c r="I298" s="5">
        <v>625</v>
      </c>
      <c r="J298" s="6">
        <f t="shared" si="4"/>
        <v>33302</v>
      </c>
    </row>
    <row r="299" spans="1:10">
      <c r="A299" s="5">
        <v>212726</v>
      </c>
      <c r="B299" s="5" t="s">
        <v>16</v>
      </c>
      <c r="C299" s="5" t="s">
        <v>34</v>
      </c>
      <c r="D299" s="5" t="s">
        <v>30</v>
      </c>
      <c r="E299" s="5" t="s">
        <v>13</v>
      </c>
      <c r="F299" s="5" t="s">
        <v>14</v>
      </c>
      <c r="G299" s="5" t="s">
        <v>15</v>
      </c>
      <c r="H299" s="5">
        <v>40478</v>
      </c>
      <c r="I299" s="5">
        <v>1196</v>
      </c>
      <c r="J299" s="6">
        <f t="shared" si="4"/>
        <v>39282</v>
      </c>
    </row>
    <row r="300" spans="1:10">
      <c r="A300" s="5">
        <v>138196</v>
      </c>
      <c r="B300" s="5" t="s">
        <v>10</v>
      </c>
      <c r="C300" s="5" t="s">
        <v>22</v>
      </c>
      <c r="D300" s="5" t="s">
        <v>32</v>
      </c>
      <c r="E300" s="5" t="s">
        <v>13</v>
      </c>
      <c r="F300" s="5" t="s">
        <v>14</v>
      </c>
      <c r="G300" s="5" t="s">
        <v>24</v>
      </c>
      <c r="H300" s="5">
        <v>48598</v>
      </c>
      <c r="I300" s="5">
        <v>89</v>
      </c>
      <c r="J300" s="6">
        <f t="shared" si="4"/>
        <v>48509</v>
      </c>
    </row>
    <row r="301" spans="1:10">
      <c r="A301" s="5">
        <v>197142</v>
      </c>
      <c r="B301" s="5" t="s">
        <v>10</v>
      </c>
      <c r="C301" s="5" t="s">
        <v>11</v>
      </c>
      <c r="D301" s="5" t="s">
        <v>29</v>
      </c>
      <c r="E301" s="5" t="s">
        <v>13</v>
      </c>
      <c r="F301" s="5" t="s">
        <v>14</v>
      </c>
      <c r="G301" s="5" t="s">
        <v>15</v>
      </c>
      <c r="H301" s="5">
        <v>64041</v>
      </c>
      <c r="I301" s="5">
        <v>479</v>
      </c>
      <c r="J301" s="6">
        <f t="shared" si="4"/>
        <v>63562</v>
      </c>
    </row>
    <row r="302" spans="1:10">
      <c r="A302" s="5">
        <v>16982</v>
      </c>
      <c r="B302" s="5" t="s">
        <v>16</v>
      </c>
      <c r="C302" s="5" t="s">
        <v>11</v>
      </c>
      <c r="D302" s="5" t="s">
        <v>36</v>
      </c>
      <c r="E302" s="5" t="s">
        <v>13</v>
      </c>
      <c r="F302" s="5" t="s">
        <v>14</v>
      </c>
      <c r="G302" s="5" t="s">
        <v>24</v>
      </c>
      <c r="H302" s="5">
        <v>278</v>
      </c>
      <c r="I302" s="5">
        <v>0</v>
      </c>
      <c r="J302" s="6">
        <f t="shared" si="4"/>
        <v>278</v>
      </c>
    </row>
    <row r="303" spans="1:10">
      <c r="A303" s="5">
        <v>195385</v>
      </c>
      <c r="B303" s="5" t="s">
        <v>10</v>
      </c>
      <c r="C303" s="5" t="s">
        <v>11</v>
      </c>
      <c r="D303" s="5" t="s">
        <v>29</v>
      </c>
      <c r="E303" s="5" t="s">
        <v>13</v>
      </c>
      <c r="F303" s="5" t="s">
        <v>14</v>
      </c>
      <c r="G303" s="5" t="s">
        <v>15</v>
      </c>
      <c r="H303" s="5">
        <v>107092</v>
      </c>
      <c r="I303" s="5">
        <v>9015</v>
      </c>
      <c r="J303" s="6">
        <f t="shared" si="4"/>
        <v>98077</v>
      </c>
    </row>
    <row r="304" spans="1:10">
      <c r="A304" s="5">
        <v>93997</v>
      </c>
      <c r="B304" s="5" t="s">
        <v>16</v>
      </c>
      <c r="C304" s="5" t="s">
        <v>38</v>
      </c>
      <c r="D304" s="5" t="s">
        <v>32</v>
      </c>
      <c r="E304" s="5" t="s">
        <v>13</v>
      </c>
      <c r="F304" s="5" t="s">
        <v>14</v>
      </c>
      <c r="G304" s="5" t="s">
        <v>15</v>
      </c>
      <c r="H304" s="5">
        <v>3202</v>
      </c>
      <c r="I304" s="5">
        <v>1089</v>
      </c>
      <c r="J304" s="6">
        <f t="shared" si="4"/>
        <v>2113</v>
      </c>
    </row>
    <row r="305" spans="1:10">
      <c r="A305" s="5">
        <v>95481</v>
      </c>
      <c r="B305" s="5" t="s">
        <v>16</v>
      </c>
      <c r="C305" s="5" t="s">
        <v>37</v>
      </c>
      <c r="D305" s="5" t="s">
        <v>30</v>
      </c>
      <c r="E305" s="5" t="s">
        <v>13</v>
      </c>
      <c r="F305" s="5" t="s">
        <v>14</v>
      </c>
      <c r="G305" s="5" t="s">
        <v>15</v>
      </c>
      <c r="H305" s="5">
        <v>45498</v>
      </c>
      <c r="I305" s="5">
        <v>3331</v>
      </c>
      <c r="J305" s="6">
        <f t="shared" si="4"/>
        <v>42167</v>
      </c>
    </row>
    <row r="306" spans="1:10">
      <c r="A306" s="5">
        <v>96643</v>
      </c>
      <c r="B306" s="5" t="s">
        <v>10</v>
      </c>
      <c r="C306" s="5" t="s">
        <v>34</v>
      </c>
      <c r="D306" s="5" t="s">
        <v>32</v>
      </c>
      <c r="E306" s="5" t="s">
        <v>13</v>
      </c>
      <c r="F306" s="5" t="s">
        <v>14</v>
      </c>
      <c r="G306" s="5" t="s">
        <v>15</v>
      </c>
      <c r="H306" s="5">
        <v>68615</v>
      </c>
      <c r="I306" s="5">
        <v>129</v>
      </c>
      <c r="J306" s="6">
        <f t="shared" si="4"/>
        <v>68486</v>
      </c>
    </row>
    <row r="307" spans="1:10">
      <c r="A307" s="5">
        <v>89401</v>
      </c>
      <c r="B307" s="5" t="s">
        <v>16</v>
      </c>
      <c r="C307" s="5" t="s">
        <v>37</v>
      </c>
      <c r="D307" s="5" t="s">
        <v>30</v>
      </c>
      <c r="E307" s="5" t="s">
        <v>19</v>
      </c>
      <c r="F307" s="5" t="s">
        <v>14</v>
      </c>
      <c r="G307" s="5" t="s">
        <v>24</v>
      </c>
      <c r="H307" s="5">
        <v>31488</v>
      </c>
      <c r="I307" s="5">
        <v>1881</v>
      </c>
      <c r="J307" s="6">
        <f t="shared" si="4"/>
        <v>29607</v>
      </c>
    </row>
    <row r="308" spans="1:10">
      <c r="A308" s="5">
        <v>257573</v>
      </c>
      <c r="B308" s="5" t="s">
        <v>10</v>
      </c>
      <c r="C308" s="5" t="s">
        <v>35</v>
      </c>
      <c r="D308" s="5" t="s">
        <v>33</v>
      </c>
      <c r="E308" s="5" t="s">
        <v>19</v>
      </c>
      <c r="F308" s="5" t="s">
        <v>14</v>
      </c>
      <c r="G308" s="5" t="s">
        <v>24</v>
      </c>
      <c r="H308" s="5">
        <v>38450</v>
      </c>
      <c r="I308" s="5">
        <v>3238</v>
      </c>
      <c r="J308" s="6">
        <f t="shared" si="4"/>
        <v>35212</v>
      </c>
    </row>
    <row r="309" spans="1:10">
      <c r="A309" s="5">
        <v>178658</v>
      </c>
      <c r="B309" s="5" t="s">
        <v>10</v>
      </c>
      <c r="C309" s="5" t="s">
        <v>17</v>
      </c>
      <c r="D309" s="5" t="s">
        <v>18</v>
      </c>
      <c r="E309" s="5" t="s">
        <v>19</v>
      </c>
      <c r="F309" s="5" t="s">
        <v>14</v>
      </c>
      <c r="G309" s="5" t="s">
        <v>24</v>
      </c>
      <c r="H309" s="5">
        <v>41728</v>
      </c>
      <c r="I309" s="5">
        <v>1119</v>
      </c>
      <c r="J309" s="6">
        <f t="shared" si="4"/>
        <v>40609</v>
      </c>
    </row>
    <row r="310" spans="1:10">
      <c r="A310" s="5">
        <v>225363</v>
      </c>
      <c r="B310" s="5" t="s">
        <v>10</v>
      </c>
      <c r="C310" s="5" t="s">
        <v>25</v>
      </c>
      <c r="D310" s="5" t="s">
        <v>23</v>
      </c>
      <c r="E310" s="5" t="s">
        <v>13</v>
      </c>
      <c r="F310" s="5" t="s">
        <v>28</v>
      </c>
      <c r="G310" s="5" t="s">
        <v>24</v>
      </c>
      <c r="H310" s="5">
        <v>52404</v>
      </c>
      <c r="I310" s="5">
        <v>2907</v>
      </c>
      <c r="J310" s="6">
        <f t="shared" si="4"/>
        <v>49497</v>
      </c>
    </row>
    <row r="311" spans="1:10">
      <c r="A311" s="5">
        <v>5070</v>
      </c>
      <c r="B311" s="5" t="s">
        <v>16</v>
      </c>
      <c r="C311" s="5" t="s">
        <v>37</v>
      </c>
      <c r="D311" s="5" t="s">
        <v>23</v>
      </c>
      <c r="E311" s="5" t="s">
        <v>13</v>
      </c>
      <c r="F311" s="5" t="s">
        <v>14</v>
      </c>
      <c r="G311" s="5" t="s">
        <v>24</v>
      </c>
      <c r="H311" s="5">
        <v>15171</v>
      </c>
      <c r="I311" s="5">
        <v>1358</v>
      </c>
      <c r="J311" s="6">
        <f t="shared" si="4"/>
        <v>13813</v>
      </c>
    </row>
    <row r="312" spans="1:10">
      <c r="A312" s="5">
        <v>48077</v>
      </c>
      <c r="B312" s="5" t="s">
        <v>16</v>
      </c>
      <c r="C312" s="5" t="s">
        <v>34</v>
      </c>
      <c r="D312" s="5" t="s">
        <v>36</v>
      </c>
      <c r="E312" s="5" t="s">
        <v>13</v>
      </c>
      <c r="F312" s="5" t="s">
        <v>14</v>
      </c>
      <c r="G312" s="5" t="s">
        <v>24</v>
      </c>
      <c r="H312" s="5">
        <v>74453</v>
      </c>
      <c r="I312" s="5">
        <v>689</v>
      </c>
      <c r="J312" s="6">
        <f t="shared" si="4"/>
        <v>73764</v>
      </c>
    </row>
    <row r="313" spans="1:10">
      <c r="A313" s="5">
        <v>16539</v>
      </c>
      <c r="B313" s="5" t="s">
        <v>16</v>
      </c>
      <c r="C313" s="5" t="s">
        <v>11</v>
      </c>
      <c r="D313" s="5" t="s">
        <v>32</v>
      </c>
      <c r="E313" s="5" t="s">
        <v>13</v>
      </c>
      <c r="F313" s="5" t="s">
        <v>28</v>
      </c>
      <c r="G313" s="5" t="s">
        <v>24</v>
      </c>
      <c r="H313" s="5">
        <v>19648</v>
      </c>
      <c r="I313" s="5">
        <v>675</v>
      </c>
      <c r="J313" s="6">
        <f t="shared" si="4"/>
        <v>18973</v>
      </c>
    </row>
    <row r="314" spans="1:10">
      <c r="A314" s="5">
        <v>54288</v>
      </c>
      <c r="B314" s="5" t="s">
        <v>10</v>
      </c>
      <c r="C314" s="5" t="s">
        <v>35</v>
      </c>
      <c r="D314" s="5" t="s">
        <v>30</v>
      </c>
      <c r="E314" s="5" t="s">
        <v>13</v>
      </c>
      <c r="F314" s="5" t="s">
        <v>14</v>
      </c>
      <c r="G314" s="5" t="s">
        <v>15</v>
      </c>
      <c r="H314" s="5">
        <v>80271</v>
      </c>
      <c r="I314" s="5">
        <v>1491</v>
      </c>
      <c r="J314" s="6">
        <f t="shared" si="4"/>
        <v>78780</v>
      </c>
    </row>
    <row r="315" spans="1:10">
      <c r="A315" s="5">
        <v>213966</v>
      </c>
      <c r="B315" s="5" t="s">
        <v>16</v>
      </c>
      <c r="C315" s="5" t="s">
        <v>11</v>
      </c>
      <c r="D315" s="5" t="s">
        <v>12</v>
      </c>
      <c r="E315" s="5" t="s">
        <v>13</v>
      </c>
      <c r="F315" s="5" t="s">
        <v>28</v>
      </c>
      <c r="G315" s="5" t="s">
        <v>15</v>
      </c>
      <c r="H315" s="5">
        <v>119681</v>
      </c>
      <c r="I315" s="5">
        <v>9</v>
      </c>
      <c r="J315" s="6">
        <f t="shared" si="4"/>
        <v>119672</v>
      </c>
    </row>
    <row r="316" spans="1:10">
      <c r="A316" s="5">
        <v>184551</v>
      </c>
      <c r="B316" s="5" t="s">
        <v>16</v>
      </c>
      <c r="C316" s="5" t="s">
        <v>34</v>
      </c>
      <c r="D316" s="5" t="s">
        <v>32</v>
      </c>
      <c r="E316" s="5" t="s">
        <v>13</v>
      </c>
      <c r="F316" s="5" t="s">
        <v>14</v>
      </c>
      <c r="G316" s="5" t="s">
        <v>24</v>
      </c>
      <c r="H316" s="5">
        <v>2629</v>
      </c>
      <c r="I316" s="5">
        <v>0</v>
      </c>
      <c r="J316" s="6">
        <f t="shared" si="4"/>
        <v>2629</v>
      </c>
    </row>
    <row r="317" spans="1:10">
      <c r="A317" s="5">
        <v>7022</v>
      </c>
      <c r="B317" s="5" t="s">
        <v>10</v>
      </c>
      <c r="C317" s="5" t="s">
        <v>20</v>
      </c>
      <c r="D317" s="5" t="s">
        <v>32</v>
      </c>
      <c r="E317" s="5" t="s">
        <v>13</v>
      </c>
      <c r="F317" s="5" t="s">
        <v>14</v>
      </c>
      <c r="G317" s="5" t="s">
        <v>15</v>
      </c>
      <c r="H317" s="5">
        <v>130322</v>
      </c>
      <c r="I317" s="5">
        <v>211</v>
      </c>
      <c r="J317" s="6">
        <f t="shared" si="4"/>
        <v>130111</v>
      </c>
    </row>
    <row r="318" spans="1:10">
      <c r="A318" s="5">
        <v>95674</v>
      </c>
      <c r="B318" s="5" t="s">
        <v>16</v>
      </c>
      <c r="C318" s="5" t="s">
        <v>37</v>
      </c>
      <c r="D318" s="5" t="s">
        <v>33</v>
      </c>
      <c r="E318" s="5" t="s">
        <v>13</v>
      </c>
      <c r="F318" s="5" t="s">
        <v>14</v>
      </c>
      <c r="G318" s="5" t="s">
        <v>15</v>
      </c>
      <c r="H318" s="5">
        <v>42586</v>
      </c>
      <c r="I318" s="5">
        <v>0</v>
      </c>
      <c r="J318" s="6">
        <f t="shared" si="4"/>
        <v>42586</v>
      </c>
    </row>
    <row r="319" spans="1:10">
      <c r="A319" s="5">
        <v>191306</v>
      </c>
      <c r="B319" s="5" t="s">
        <v>10</v>
      </c>
      <c r="C319" s="5" t="s">
        <v>34</v>
      </c>
      <c r="D319" s="5" t="s">
        <v>29</v>
      </c>
      <c r="E319" s="5" t="s">
        <v>13</v>
      </c>
      <c r="F319" s="5" t="s">
        <v>28</v>
      </c>
      <c r="G319" s="5" t="s">
        <v>24</v>
      </c>
      <c r="H319" s="5">
        <v>116709</v>
      </c>
      <c r="I319" s="5">
        <v>25855</v>
      </c>
      <c r="J319" s="6">
        <f t="shared" si="4"/>
        <v>90854</v>
      </c>
    </row>
    <row r="320" spans="1:10">
      <c r="A320" s="5">
        <v>15144</v>
      </c>
      <c r="B320" s="5" t="s">
        <v>16</v>
      </c>
      <c r="C320" s="5" t="s">
        <v>11</v>
      </c>
      <c r="D320" s="5" t="s">
        <v>36</v>
      </c>
      <c r="E320" s="5" t="s">
        <v>19</v>
      </c>
      <c r="F320" s="5" t="s">
        <v>14</v>
      </c>
      <c r="G320" s="5" t="s">
        <v>24</v>
      </c>
      <c r="H320" s="5">
        <v>77766</v>
      </c>
      <c r="I320" s="5">
        <v>3966</v>
      </c>
      <c r="J320" s="6">
        <f t="shared" si="4"/>
        <v>73800</v>
      </c>
    </row>
    <row r="321" spans="1:10">
      <c r="A321" s="5">
        <v>228842</v>
      </c>
      <c r="B321" s="5" t="s">
        <v>10</v>
      </c>
      <c r="C321" s="5" t="s">
        <v>22</v>
      </c>
      <c r="D321" s="5" t="s">
        <v>23</v>
      </c>
      <c r="E321" s="5" t="s">
        <v>19</v>
      </c>
      <c r="F321" s="5" t="s">
        <v>14</v>
      </c>
      <c r="G321" s="5" t="s">
        <v>24</v>
      </c>
      <c r="H321" s="5">
        <v>76166</v>
      </c>
      <c r="I321" s="5">
        <v>1318</v>
      </c>
      <c r="J321" s="6">
        <f t="shared" si="4"/>
        <v>74848</v>
      </c>
    </row>
    <row r="322" spans="1:10">
      <c r="A322" s="5">
        <v>85804</v>
      </c>
      <c r="B322" s="5" t="s">
        <v>16</v>
      </c>
      <c r="C322" s="5" t="s">
        <v>34</v>
      </c>
      <c r="D322" s="5" t="s">
        <v>18</v>
      </c>
      <c r="E322" s="5" t="s">
        <v>19</v>
      </c>
      <c r="F322" s="5" t="s">
        <v>28</v>
      </c>
      <c r="G322" s="5" t="s">
        <v>15</v>
      </c>
      <c r="H322" s="5">
        <v>28863</v>
      </c>
      <c r="I322" s="5">
        <v>643</v>
      </c>
      <c r="J322" s="6">
        <f t="shared" ref="J322:J385" si="5">H322-I322</f>
        <v>28220</v>
      </c>
    </row>
    <row r="323" spans="1:10">
      <c r="A323" s="5">
        <v>236644</v>
      </c>
      <c r="B323" s="5" t="s">
        <v>10</v>
      </c>
      <c r="C323" s="5" t="s">
        <v>17</v>
      </c>
      <c r="D323" s="5" t="s">
        <v>33</v>
      </c>
      <c r="E323" s="5" t="s">
        <v>19</v>
      </c>
      <c r="F323" s="5" t="s">
        <v>28</v>
      </c>
      <c r="G323" s="5" t="s">
        <v>15</v>
      </c>
      <c r="H323" s="5">
        <v>45633</v>
      </c>
      <c r="I323" s="5">
        <v>378</v>
      </c>
      <c r="J323" s="6">
        <f t="shared" si="5"/>
        <v>45255</v>
      </c>
    </row>
    <row r="324" spans="1:10">
      <c r="A324" s="5">
        <v>25262</v>
      </c>
      <c r="B324" s="5" t="s">
        <v>10</v>
      </c>
      <c r="C324" s="5" t="s">
        <v>35</v>
      </c>
      <c r="D324" s="5" t="s">
        <v>18</v>
      </c>
      <c r="E324" s="5" t="s">
        <v>19</v>
      </c>
      <c r="F324" s="5" t="s">
        <v>14</v>
      </c>
      <c r="G324" s="5" t="s">
        <v>24</v>
      </c>
      <c r="H324" s="5">
        <v>75128</v>
      </c>
      <c r="I324" s="5">
        <v>5039</v>
      </c>
      <c r="J324" s="6">
        <f t="shared" si="5"/>
        <v>70089</v>
      </c>
    </row>
    <row r="325" spans="1:10">
      <c r="A325" s="5">
        <v>51196</v>
      </c>
      <c r="B325" s="5" t="s">
        <v>10</v>
      </c>
      <c r="C325" s="5" t="s">
        <v>35</v>
      </c>
      <c r="D325" s="5" t="s">
        <v>18</v>
      </c>
      <c r="E325" s="5" t="s">
        <v>13</v>
      </c>
      <c r="F325" s="5" t="s">
        <v>14</v>
      </c>
      <c r="G325" s="5" t="s">
        <v>24</v>
      </c>
      <c r="H325" s="5">
        <v>78897</v>
      </c>
      <c r="I325" s="5">
        <v>27267</v>
      </c>
      <c r="J325" s="6">
        <f t="shared" si="5"/>
        <v>51630</v>
      </c>
    </row>
    <row r="326" spans="1:10">
      <c r="A326" s="5">
        <v>224954</v>
      </c>
      <c r="B326" s="5" t="s">
        <v>16</v>
      </c>
      <c r="C326" s="5" t="s">
        <v>25</v>
      </c>
      <c r="D326" s="5" t="s">
        <v>21</v>
      </c>
      <c r="E326" s="5" t="s">
        <v>19</v>
      </c>
      <c r="F326" s="5" t="s">
        <v>14</v>
      </c>
      <c r="G326" s="5" t="s">
        <v>24</v>
      </c>
      <c r="H326" s="5">
        <v>67510</v>
      </c>
      <c r="I326" s="5">
        <v>328</v>
      </c>
      <c r="J326" s="6">
        <f t="shared" si="5"/>
        <v>67182</v>
      </c>
    </row>
    <row r="327" spans="1:10">
      <c r="A327" s="5">
        <v>215569</v>
      </c>
      <c r="B327" s="5" t="s">
        <v>10</v>
      </c>
      <c r="C327" s="5" t="s">
        <v>38</v>
      </c>
      <c r="D327" s="5" t="s">
        <v>26</v>
      </c>
      <c r="E327" s="5" t="s">
        <v>13</v>
      </c>
      <c r="F327" s="5" t="s">
        <v>14</v>
      </c>
      <c r="G327" s="5" t="s">
        <v>24</v>
      </c>
      <c r="H327" s="5">
        <v>43561</v>
      </c>
      <c r="I327" s="5">
        <v>1110</v>
      </c>
      <c r="J327" s="6">
        <f t="shared" si="5"/>
        <v>42451</v>
      </c>
    </row>
    <row r="328" spans="1:10">
      <c r="A328" s="5">
        <v>160367</v>
      </c>
      <c r="B328" s="5" t="s">
        <v>16</v>
      </c>
      <c r="C328" s="5" t="s">
        <v>25</v>
      </c>
      <c r="D328" s="5" t="s">
        <v>30</v>
      </c>
      <c r="E328" s="5" t="s">
        <v>19</v>
      </c>
      <c r="F328" s="5" t="s">
        <v>28</v>
      </c>
      <c r="G328" s="5" t="s">
        <v>24</v>
      </c>
      <c r="H328" s="5">
        <v>59184</v>
      </c>
      <c r="I328" s="5">
        <v>3283</v>
      </c>
      <c r="J328" s="6">
        <f t="shared" si="5"/>
        <v>55901</v>
      </c>
    </row>
    <row r="329" spans="1:10">
      <c r="A329" s="5">
        <v>97324</v>
      </c>
      <c r="B329" s="5" t="s">
        <v>16</v>
      </c>
      <c r="C329" s="5" t="s">
        <v>38</v>
      </c>
      <c r="D329" s="5" t="s">
        <v>12</v>
      </c>
      <c r="E329" s="5" t="s">
        <v>13</v>
      </c>
      <c r="F329" s="5" t="s">
        <v>14</v>
      </c>
      <c r="G329" s="5" t="s">
        <v>15</v>
      </c>
      <c r="H329" s="5">
        <v>69530</v>
      </c>
      <c r="I329" s="5">
        <v>1666</v>
      </c>
      <c r="J329" s="6">
        <f t="shared" si="5"/>
        <v>67864</v>
      </c>
    </row>
    <row r="330" spans="1:10">
      <c r="A330" s="5">
        <v>9440</v>
      </c>
      <c r="B330" s="5" t="s">
        <v>16</v>
      </c>
      <c r="C330" s="5" t="s">
        <v>20</v>
      </c>
      <c r="D330" s="5" t="s">
        <v>32</v>
      </c>
      <c r="E330" s="5" t="s">
        <v>13</v>
      </c>
      <c r="F330" s="5" t="s">
        <v>14</v>
      </c>
      <c r="G330" s="5" t="s">
        <v>15</v>
      </c>
      <c r="H330" s="5">
        <v>138540</v>
      </c>
      <c r="I330" s="5">
        <v>0</v>
      </c>
      <c r="J330" s="6">
        <f t="shared" si="5"/>
        <v>138540</v>
      </c>
    </row>
    <row r="331" spans="1:10">
      <c r="A331" s="5">
        <v>57702</v>
      </c>
      <c r="B331" s="5" t="s">
        <v>10</v>
      </c>
      <c r="C331" s="5" t="s">
        <v>27</v>
      </c>
      <c r="D331" s="5" t="s">
        <v>12</v>
      </c>
      <c r="E331" s="5" t="s">
        <v>13</v>
      </c>
      <c r="F331" s="5" t="s">
        <v>14</v>
      </c>
      <c r="G331" s="5" t="s">
        <v>15</v>
      </c>
      <c r="H331" s="5">
        <v>49108</v>
      </c>
      <c r="I331" s="5">
        <v>526</v>
      </c>
      <c r="J331" s="6">
        <f t="shared" si="5"/>
        <v>48582</v>
      </c>
    </row>
    <row r="332" spans="1:10">
      <c r="A332" s="5">
        <v>204160</v>
      </c>
      <c r="B332" s="5" t="s">
        <v>16</v>
      </c>
      <c r="C332" s="5" t="s">
        <v>37</v>
      </c>
      <c r="D332" s="5" t="s">
        <v>33</v>
      </c>
      <c r="E332" s="5" t="s">
        <v>19</v>
      </c>
      <c r="F332" s="5" t="s">
        <v>28</v>
      </c>
      <c r="G332" s="5" t="s">
        <v>15</v>
      </c>
      <c r="H332" s="5">
        <v>48662</v>
      </c>
      <c r="I332" s="5">
        <v>5455</v>
      </c>
      <c r="J332" s="6">
        <f t="shared" si="5"/>
        <v>43207</v>
      </c>
    </row>
    <row r="333" spans="1:10">
      <c r="A333" s="5">
        <v>55923</v>
      </c>
      <c r="B333" s="5" t="s">
        <v>10</v>
      </c>
      <c r="C333" s="5" t="s">
        <v>11</v>
      </c>
      <c r="D333" s="5" t="s">
        <v>30</v>
      </c>
      <c r="E333" s="5" t="s">
        <v>13</v>
      </c>
      <c r="F333" s="5" t="s">
        <v>28</v>
      </c>
      <c r="G333" s="5" t="s">
        <v>24</v>
      </c>
      <c r="H333" s="5">
        <v>37481</v>
      </c>
      <c r="I333" s="5">
        <v>6022</v>
      </c>
      <c r="J333" s="6">
        <f t="shared" si="5"/>
        <v>31459</v>
      </c>
    </row>
    <row r="334" spans="1:10">
      <c r="A334" s="5">
        <v>5092</v>
      </c>
      <c r="B334" s="5" t="s">
        <v>10</v>
      </c>
      <c r="C334" s="5" t="s">
        <v>37</v>
      </c>
      <c r="D334" s="5" t="s">
        <v>33</v>
      </c>
      <c r="E334" s="5" t="s">
        <v>13</v>
      </c>
      <c r="F334" s="5" t="s">
        <v>28</v>
      </c>
      <c r="G334" s="5" t="s">
        <v>15</v>
      </c>
      <c r="H334" s="5">
        <v>65253</v>
      </c>
      <c r="I334" s="5">
        <v>756</v>
      </c>
      <c r="J334" s="6">
        <f t="shared" si="5"/>
        <v>64497</v>
      </c>
    </row>
    <row r="335" spans="1:10">
      <c r="A335" s="5">
        <v>29172</v>
      </c>
      <c r="B335" s="5" t="s">
        <v>10</v>
      </c>
      <c r="C335" s="5" t="s">
        <v>11</v>
      </c>
      <c r="D335" s="5" t="s">
        <v>23</v>
      </c>
      <c r="E335" s="5" t="s">
        <v>13</v>
      </c>
      <c r="F335" s="5" t="s">
        <v>14</v>
      </c>
      <c r="G335" s="5" t="s">
        <v>15</v>
      </c>
      <c r="H335" s="5">
        <v>59928</v>
      </c>
      <c r="I335" s="5">
        <v>8756</v>
      </c>
      <c r="J335" s="6">
        <f t="shared" si="5"/>
        <v>51172</v>
      </c>
    </row>
    <row r="336" spans="1:10">
      <c r="A336" s="5">
        <v>30658</v>
      </c>
      <c r="B336" s="5" t="s">
        <v>16</v>
      </c>
      <c r="C336" s="5" t="s">
        <v>35</v>
      </c>
      <c r="D336" s="5" t="s">
        <v>36</v>
      </c>
      <c r="E336" s="5" t="s">
        <v>13</v>
      </c>
      <c r="F336" s="5" t="s">
        <v>14</v>
      </c>
      <c r="G336" s="5" t="s">
        <v>24</v>
      </c>
      <c r="H336" s="5">
        <v>11159</v>
      </c>
      <c r="I336" s="5">
        <v>725</v>
      </c>
      <c r="J336" s="6">
        <f t="shared" si="5"/>
        <v>10434</v>
      </c>
    </row>
    <row r="337" spans="1:10">
      <c r="A337" s="5">
        <v>192430</v>
      </c>
      <c r="B337" s="5" t="s">
        <v>16</v>
      </c>
      <c r="C337" s="5" t="s">
        <v>20</v>
      </c>
      <c r="D337" s="5" t="s">
        <v>32</v>
      </c>
      <c r="E337" s="5" t="s">
        <v>19</v>
      </c>
      <c r="F337" s="5" t="s">
        <v>14</v>
      </c>
      <c r="G337" s="5" t="s">
        <v>24</v>
      </c>
      <c r="H337" s="5">
        <v>58984</v>
      </c>
      <c r="I337" s="5">
        <v>232</v>
      </c>
      <c r="J337" s="6">
        <f t="shared" si="5"/>
        <v>58752</v>
      </c>
    </row>
    <row r="338" spans="1:10">
      <c r="A338" s="5">
        <v>169428</v>
      </c>
      <c r="B338" s="5" t="s">
        <v>10</v>
      </c>
      <c r="C338" s="5" t="s">
        <v>25</v>
      </c>
      <c r="D338" s="5" t="s">
        <v>30</v>
      </c>
      <c r="E338" s="5" t="s">
        <v>13</v>
      </c>
      <c r="F338" s="5" t="s">
        <v>14</v>
      </c>
      <c r="G338" s="5" t="s">
        <v>15</v>
      </c>
      <c r="H338" s="5">
        <v>91953</v>
      </c>
      <c r="I338" s="5">
        <v>7294</v>
      </c>
      <c r="J338" s="6">
        <f t="shared" si="5"/>
        <v>84659</v>
      </c>
    </row>
    <row r="339" spans="1:10">
      <c r="A339" s="5">
        <v>10903</v>
      </c>
      <c r="B339" s="5" t="s">
        <v>10</v>
      </c>
      <c r="C339" s="5" t="s">
        <v>34</v>
      </c>
      <c r="D339" s="5" t="s">
        <v>29</v>
      </c>
      <c r="E339" s="5" t="s">
        <v>19</v>
      </c>
      <c r="F339" s="5" t="s">
        <v>14</v>
      </c>
      <c r="G339" s="5" t="s">
        <v>15</v>
      </c>
      <c r="H339" s="5">
        <v>106104</v>
      </c>
      <c r="I339" s="5">
        <v>6908</v>
      </c>
      <c r="J339" s="6">
        <f t="shared" si="5"/>
        <v>99196</v>
      </c>
    </row>
    <row r="340" spans="1:10">
      <c r="A340" s="5">
        <v>134946</v>
      </c>
      <c r="B340" s="5" t="s">
        <v>16</v>
      </c>
      <c r="C340" s="5" t="s">
        <v>27</v>
      </c>
      <c r="D340" s="5" t="s">
        <v>18</v>
      </c>
      <c r="E340" s="5" t="s">
        <v>19</v>
      </c>
      <c r="F340" s="5" t="s">
        <v>14</v>
      </c>
      <c r="G340" s="5" t="s">
        <v>24</v>
      </c>
      <c r="H340" s="5">
        <v>15205</v>
      </c>
      <c r="I340" s="5">
        <v>674</v>
      </c>
      <c r="J340" s="6">
        <f t="shared" si="5"/>
        <v>14531</v>
      </c>
    </row>
    <row r="341" spans="1:10">
      <c r="A341" s="5">
        <v>197088</v>
      </c>
      <c r="B341" s="5" t="s">
        <v>16</v>
      </c>
      <c r="C341" s="5" t="s">
        <v>11</v>
      </c>
      <c r="D341" s="5" t="s">
        <v>32</v>
      </c>
      <c r="E341" s="5" t="s">
        <v>13</v>
      </c>
      <c r="F341" s="5" t="s">
        <v>28</v>
      </c>
      <c r="G341" s="5" t="s">
        <v>15</v>
      </c>
      <c r="H341" s="5">
        <v>36653</v>
      </c>
      <c r="I341" s="5">
        <v>164</v>
      </c>
      <c r="J341" s="6">
        <f t="shared" si="5"/>
        <v>36489</v>
      </c>
    </row>
    <row r="342" spans="1:10">
      <c r="A342" s="5">
        <v>101764</v>
      </c>
      <c r="B342" s="5" t="s">
        <v>16</v>
      </c>
      <c r="C342" s="5" t="s">
        <v>37</v>
      </c>
      <c r="D342" s="5" t="s">
        <v>26</v>
      </c>
      <c r="E342" s="5" t="s">
        <v>13</v>
      </c>
      <c r="F342" s="5" t="s">
        <v>28</v>
      </c>
      <c r="G342" s="5" t="s">
        <v>24</v>
      </c>
      <c r="H342" s="5">
        <v>27258</v>
      </c>
      <c r="I342" s="5">
        <v>718</v>
      </c>
      <c r="J342" s="6">
        <f t="shared" si="5"/>
        <v>26540</v>
      </c>
    </row>
    <row r="343" spans="1:10">
      <c r="A343" s="5">
        <v>48965</v>
      </c>
      <c r="B343" s="5" t="s">
        <v>16</v>
      </c>
      <c r="C343" s="5" t="s">
        <v>34</v>
      </c>
      <c r="D343" s="5" t="s">
        <v>33</v>
      </c>
      <c r="E343" s="5" t="s">
        <v>13</v>
      </c>
      <c r="F343" s="5" t="s">
        <v>28</v>
      </c>
      <c r="G343" s="5" t="s">
        <v>24</v>
      </c>
      <c r="H343" s="5">
        <v>24223</v>
      </c>
      <c r="I343" s="5">
        <v>249</v>
      </c>
      <c r="J343" s="6">
        <f t="shared" si="5"/>
        <v>23974</v>
      </c>
    </row>
    <row r="344" spans="1:10">
      <c r="A344" s="5">
        <v>5440</v>
      </c>
      <c r="B344" s="5" t="s">
        <v>16</v>
      </c>
      <c r="C344" s="5" t="s">
        <v>20</v>
      </c>
      <c r="D344" s="5" t="s">
        <v>32</v>
      </c>
      <c r="E344" s="5" t="s">
        <v>13</v>
      </c>
      <c r="F344" s="5" t="s">
        <v>14</v>
      </c>
      <c r="G344" s="5" t="s">
        <v>15</v>
      </c>
      <c r="H344" s="5">
        <v>41210</v>
      </c>
      <c r="I344" s="5">
        <v>0</v>
      </c>
      <c r="J344" s="6">
        <f t="shared" si="5"/>
        <v>41210</v>
      </c>
    </row>
    <row r="345" spans="1:10">
      <c r="A345" s="5">
        <v>245387</v>
      </c>
      <c r="B345" s="5" t="s">
        <v>16</v>
      </c>
      <c r="C345" s="5" t="s">
        <v>35</v>
      </c>
      <c r="D345" s="5" t="s">
        <v>30</v>
      </c>
      <c r="E345" s="5" t="s">
        <v>13</v>
      </c>
      <c r="F345" s="5" t="s">
        <v>14</v>
      </c>
      <c r="G345" s="5" t="s">
        <v>15</v>
      </c>
      <c r="H345" s="5">
        <v>177747</v>
      </c>
      <c r="I345" s="5">
        <v>9284</v>
      </c>
      <c r="J345" s="6">
        <f t="shared" si="5"/>
        <v>168463</v>
      </c>
    </row>
    <row r="346" spans="1:10">
      <c r="A346" s="5">
        <v>97118</v>
      </c>
      <c r="B346" s="5" t="s">
        <v>16</v>
      </c>
      <c r="C346" s="5" t="s">
        <v>34</v>
      </c>
      <c r="D346" s="5" t="s">
        <v>36</v>
      </c>
      <c r="E346" s="5" t="s">
        <v>13</v>
      </c>
      <c r="F346" s="5" t="s">
        <v>14</v>
      </c>
      <c r="G346" s="5" t="s">
        <v>24</v>
      </c>
      <c r="H346" s="5">
        <v>26670</v>
      </c>
      <c r="I346" s="5">
        <v>253</v>
      </c>
      <c r="J346" s="6">
        <f t="shared" si="5"/>
        <v>26417</v>
      </c>
    </row>
    <row r="347" spans="1:10">
      <c r="A347" s="5">
        <v>71915</v>
      </c>
      <c r="B347" s="5" t="s">
        <v>16</v>
      </c>
      <c r="C347" s="5" t="s">
        <v>34</v>
      </c>
      <c r="D347" s="5" t="s">
        <v>32</v>
      </c>
      <c r="E347" s="5" t="s">
        <v>19</v>
      </c>
      <c r="F347" s="5" t="s">
        <v>14</v>
      </c>
      <c r="G347" s="5" t="s">
        <v>24</v>
      </c>
      <c r="H347" s="5">
        <v>6392</v>
      </c>
      <c r="I347" s="5">
        <v>0</v>
      </c>
      <c r="J347" s="6">
        <f t="shared" si="5"/>
        <v>6392</v>
      </c>
    </row>
    <row r="348" spans="1:10">
      <c r="A348" s="5">
        <v>84842</v>
      </c>
      <c r="B348" s="5" t="s">
        <v>10</v>
      </c>
      <c r="C348" s="5" t="s">
        <v>11</v>
      </c>
      <c r="D348" s="5" t="s">
        <v>33</v>
      </c>
      <c r="E348" s="5" t="s">
        <v>19</v>
      </c>
      <c r="F348" s="5" t="s">
        <v>14</v>
      </c>
      <c r="G348" s="5" t="s">
        <v>24</v>
      </c>
      <c r="H348" s="5">
        <v>64042</v>
      </c>
      <c r="I348" s="5">
        <v>454</v>
      </c>
      <c r="J348" s="6">
        <f t="shared" si="5"/>
        <v>63588</v>
      </c>
    </row>
    <row r="349" spans="1:10">
      <c r="A349" s="5">
        <v>70130</v>
      </c>
      <c r="B349" s="5" t="s">
        <v>16</v>
      </c>
      <c r="C349" s="5" t="s">
        <v>34</v>
      </c>
      <c r="D349" s="5" t="s">
        <v>36</v>
      </c>
      <c r="E349" s="5" t="s">
        <v>19</v>
      </c>
      <c r="F349" s="5" t="s">
        <v>14</v>
      </c>
      <c r="G349" s="5" t="s">
        <v>15</v>
      </c>
      <c r="H349" s="5">
        <v>59677</v>
      </c>
      <c r="I349" s="5">
        <v>347</v>
      </c>
      <c r="J349" s="6">
        <f t="shared" si="5"/>
        <v>59330</v>
      </c>
    </row>
    <row r="350" spans="1:10">
      <c r="A350" s="5">
        <v>207543</v>
      </c>
      <c r="B350" s="5" t="s">
        <v>16</v>
      </c>
      <c r="C350" s="5" t="s">
        <v>20</v>
      </c>
      <c r="D350" s="5" t="s">
        <v>32</v>
      </c>
      <c r="E350" s="5" t="s">
        <v>19</v>
      </c>
      <c r="F350" s="5" t="s">
        <v>28</v>
      </c>
      <c r="G350" s="5" t="s">
        <v>15</v>
      </c>
      <c r="H350" s="5">
        <v>205028</v>
      </c>
      <c r="I350" s="5">
        <v>2841</v>
      </c>
      <c r="J350" s="6">
        <f t="shared" si="5"/>
        <v>202187</v>
      </c>
    </row>
    <row r="351" spans="1:10">
      <c r="A351" s="5">
        <v>7084</v>
      </c>
      <c r="B351" s="5" t="s">
        <v>16</v>
      </c>
      <c r="C351" s="5" t="s">
        <v>20</v>
      </c>
      <c r="D351" s="5" t="s">
        <v>32</v>
      </c>
      <c r="E351" s="5" t="s">
        <v>19</v>
      </c>
      <c r="F351" s="5" t="s">
        <v>14</v>
      </c>
      <c r="G351" s="5" t="s">
        <v>24</v>
      </c>
      <c r="H351" s="5">
        <v>121759</v>
      </c>
      <c r="I351" s="5">
        <v>678</v>
      </c>
      <c r="J351" s="6">
        <f t="shared" si="5"/>
        <v>121081</v>
      </c>
    </row>
    <row r="352" spans="1:10">
      <c r="A352" s="5">
        <v>218811</v>
      </c>
      <c r="B352" s="5" t="s">
        <v>16</v>
      </c>
      <c r="C352" s="5" t="s">
        <v>34</v>
      </c>
      <c r="D352" s="5" t="s">
        <v>36</v>
      </c>
      <c r="E352" s="5" t="s">
        <v>13</v>
      </c>
      <c r="F352" s="5" t="s">
        <v>14</v>
      </c>
      <c r="G352" s="5" t="s">
        <v>15</v>
      </c>
      <c r="H352" s="5">
        <v>50248</v>
      </c>
      <c r="I352" s="5">
        <v>735</v>
      </c>
      <c r="J352" s="6">
        <f t="shared" si="5"/>
        <v>49513</v>
      </c>
    </row>
    <row r="353" spans="1:10">
      <c r="A353" s="5">
        <v>61612</v>
      </c>
      <c r="B353" s="5" t="s">
        <v>16</v>
      </c>
      <c r="C353" s="5" t="s">
        <v>27</v>
      </c>
      <c r="D353" s="5" t="s">
        <v>30</v>
      </c>
      <c r="E353" s="5" t="s">
        <v>13</v>
      </c>
      <c r="F353" s="5" t="s">
        <v>14</v>
      </c>
      <c r="G353" s="5" t="s">
        <v>15</v>
      </c>
      <c r="H353" s="5">
        <v>81260</v>
      </c>
      <c r="I353" s="5">
        <v>3698</v>
      </c>
      <c r="J353" s="6">
        <f t="shared" si="5"/>
        <v>77562</v>
      </c>
    </row>
    <row r="354" spans="1:10">
      <c r="A354" s="5">
        <v>130394</v>
      </c>
      <c r="B354" s="5" t="s">
        <v>16</v>
      </c>
      <c r="C354" s="5" t="s">
        <v>25</v>
      </c>
      <c r="D354" s="5" t="s">
        <v>33</v>
      </c>
      <c r="E354" s="5" t="s">
        <v>13</v>
      </c>
      <c r="F354" s="5" t="s">
        <v>28</v>
      </c>
      <c r="G354" s="5" t="s">
        <v>15</v>
      </c>
      <c r="H354" s="5">
        <v>26314</v>
      </c>
      <c r="I354" s="5">
        <v>965</v>
      </c>
      <c r="J354" s="6">
        <f t="shared" si="5"/>
        <v>25349</v>
      </c>
    </row>
    <row r="355" spans="1:10">
      <c r="A355" s="5">
        <v>81720</v>
      </c>
      <c r="B355" s="5" t="s">
        <v>16</v>
      </c>
      <c r="C355" s="5" t="s">
        <v>20</v>
      </c>
      <c r="D355" s="5" t="s">
        <v>32</v>
      </c>
      <c r="E355" s="5" t="s">
        <v>19</v>
      </c>
      <c r="F355" s="5" t="s">
        <v>14</v>
      </c>
      <c r="G355" s="5" t="s">
        <v>24</v>
      </c>
      <c r="H355" s="5">
        <v>308266</v>
      </c>
      <c r="I355" s="5">
        <v>154</v>
      </c>
      <c r="J355" s="6">
        <f t="shared" si="5"/>
        <v>308112</v>
      </c>
    </row>
    <row r="356" spans="1:10">
      <c r="A356" s="5">
        <v>22716</v>
      </c>
      <c r="B356" s="5" t="s">
        <v>10</v>
      </c>
      <c r="C356" s="5" t="s">
        <v>11</v>
      </c>
      <c r="D356" s="5" t="s">
        <v>26</v>
      </c>
      <c r="E356" s="5" t="s">
        <v>19</v>
      </c>
      <c r="F356" s="5" t="s">
        <v>14</v>
      </c>
      <c r="G356" s="5" t="s">
        <v>24</v>
      </c>
      <c r="H356" s="5">
        <v>94643</v>
      </c>
      <c r="I356" s="5">
        <v>799</v>
      </c>
      <c r="J356" s="6">
        <f t="shared" si="5"/>
        <v>93844</v>
      </c>
    </row>
    <row r="357" spans="1:10">
      <c r="A357" s="5">
        <v>191020</v>
      </c>
      <c r="B357" s="5" t="s">
        <v>10</v>
      </c>
      <c r="C357" s="5" t="s">
        <v>39</v>
      </c>
      <c r="D357" s="5" t="s">
        <v>32</v>
      </c>
      <c r="E357" s="5" t="s">
        <v>13</v>
      </c>
      <c r="F357" s="5" t="s">
        <v>14</v>
      </c>
      <c r="G357" s="5" t="s">
        <v>15</v>
      </c>
      <c r="H357" s="5">
        <v>14091</v>
      </c>
      <c r="I357" s="5">
        <v>0</v>
      </c>
      <c r="J357" s="6">
        <f t="shared" si="5"/>
        <v>14091</v>
      </c>
    </row>
    <row r="358" spans="1:10">
      <c r="A358" s="5">
        <v>216782</v>
      </c>
      <c r="B358" s="5" t="s">
        <v>10</v>
      </c>
      <c r="C358" s="5" t="s">
        <v>34</v>
      </c>
      <c r="D358" s="5" t="s">
        <v>23</v>
      </c>
      <c r="E358" s="5" t="s">
        <v>19</v>
      </c>
      <c r="F358" s="5" t="s">
        <v>14</v>
      </c>
      <c r="G358" s="5" t="s">
        <v>15</v>
      </c>
      <c r="H358" s="5">
        <v>37766</v>
      </c>
      <c r="I358" s="5">
        <v>2634</v>
      </c>
      <c r="J358" s="6">
        <f t="shared" si="5"/>
        <v>35132</v>
      </c>
    </row>
    <row r="359" spans="1:10">
      <c r="A359" s="5">
        <v>189241</v>
      </c>
      <c r="B359" s="5" t="s">
        <v>10</v>
      </c>
      <c r="C359" s="5" t="s">
        <v>37</v>
      </c>
      <c r="D359" s="5" t="s">
        <v>29</v>
      </c>
      <c r="E359" s="5" t="s">
        <v>13</v>
      </c>
      <c r="F359" s="5" t="s">
        <v>14</v>
      </c>
      <c r="G359" s="5" t="s">
        <v>15</v>
      </c>
      <c r="H359" s="5">
        <v>91854</v>
      </c>
      <c r="I359" s="5">
        <v>573</v>
      </c>
      <c r="J359" s="6">
        <f t="shared" si="5"/>
        <v>91281</v>
      </c>
    </row>
    <row r="360" spans="1:10">
      <c r="A360" s="5">
        <v>47904</v>
      </c>
      <c r="B360" s="5" t="s">
        <v>10</v>
      </c>
      <c r="C360" s="5" t="s">
        <v>35</v>
      </c>
      <c r="D360" s="5" t="s">
        <v>21</v>
      </c>
      <c r="E360" s="5" t="s">
        <v>13</v>
      </c>
      <c r="F360" s="5" t="s">
        <v>28</v>
      </c>
      <c r="G360" s="5" t="s">
        <v>24</v>
      </c>
      <c r="H360" s="5">
        <v>14003</v>
      </c>
      <c r="I360" s="5">
        <v>0</v>
      </c>
      <c r="J360" s="6">
        <f t="shared" si="5"/>
        <v>14003</v>
      </c>
    </row>
    <row r="361" spans="1:10">
      <c r="A361" s="5">
        <v>139376</v>
      </c>
      <c r="B361" s="5" t="s">
        <v>16</v>
      </c>
      <c r="C361" s="5" t="s">
        <v>35</v>
      </c>
      <c r="D361" s="5" t="s">
        <v>21</v>
      </c>
      <c r="E361" s="5" t="s">
        <v>19</v>
      </c>
      <c r="F361" s="5" t="s">
        <v>14</v>
      </c>
      <c r="G361" s="5" t="s">
        <v>15</v>
      </c>
      <c r="H361" s="5">
        <v>101018</v>
      </c>
      <c r="I361" s="5">
        <v>7032</v>
      </c>
      <c r="J361" s="6">
        <f t="shared" si="5"/>
        <v>93986</v>
      </c>
    </row>
    <row r="362" spans="1:10">
      <c r="A362" s="5">
        <v>183710</v>
      </c>
      <c r="B362" s="5" t="s">
        <v>16</v>
      </c>
      <c r="C362" s="5" t="s">
        <v>37</v>
      </c>
      <c r="D362" s="5" t="s">
        <v>30</v>
      </c>
      <c r="E362" s="5" t="s">
        <v>13</v>
      </c>
      <c r="F362" s="5" t="s">
        <v>14</v>
      </c>
      <c r="G362" s="5" t="s">
        <v>15</v>
      </c>
      <c r="H362" s="5">
        <v>88363</v>
      </c>
      <c r="I362" s="5">
        <v>2264</v>
      </c>
      <c r="J362" s="6">
        <f t="shared" si="5"/>
        <v>86099</v>
      </c>
    </row>
    <row r="363" spans="1:10">
      <c r="A363" s="5">
        <v>135276</v>
      </c>
      <c r="B363" s="5" t="s">
        <v>16</v>
      </c>
      <c r="C363" s="5" t="s">
        <v>27</v>
      </c>
      <c r="D363" s="5" t="s">
        <v>30</v>
      </c>
      <c r="E363" s="5" t="s">
        <v>13</v>
      </c>
      <c r="F363" s="5" t="s">
        <v>14</v>
      </c>
      <c r="G363" s="5" t="s">
        <v>15</v>
      </c>
      <c r="H363" s="5">
        <v>125755</v>
      </c>
      <c r="I363" s="5">
        <v>7855</v>
      </c>
      <c r="J363" s="6">
        <f t="shared" si="5"/>
        <v>117900</v>
      </c>
    </row>
    <row r="364" spans="1:10">
      <c r="A364" s="5">
        <v>21306</v>
      </c>
      <c r="B364" s="5" t="s">
        <v>16</v>
      </c>
      <c r="C364" s="5" t="s">
        <v>11</v>
      </c>
      <c r="D364" s="5" t="s">
        <v>30</v>
      </c>
      <c r="E364" s="5" t="s">
        <v>19</v>
      </c>
      <c r="F364" s="5" t="s">
        <v>14</v>
      </c>
      <c r="G364" s="5" t="s">
        <v>15</v>
      </c>
      <c r="H364" s="5">
        <v>102712</v>
      </c>
      <c r="I364" s="5">
        <v>5118</v>
      </c>
      <c r="J364" s="6">
        <f t="shared" si="5"/>
        <v>97594</v>
      </c>
    </row>
    <row r="365" spans="1:10">
      <c r="A365" s="5">
        <v>179834</v>
      </c>
      <c r="B365" s="5" t="s">
        <v>16</v>
      </c>
      <c r="C365" s="5" t="s">
        <v>17</v>
      </c>
      <c r="D365" s="5" t="s">
        <v>33</v>
      </c>
      <c r="E365" s="5" t="s">
        <v>19</v>
      </c>
      <c r="F365" s="5" t="s">
        <v>14</v>
      </c>
      <c r="G365" s="5" t="s">
        <v>24</v>
      </c>
      <c r="H365" s="5">
        <v>62999</v>
      </c>
      <c r="I365" s="5">
        <v>503</v>
      </c>
      <c r="J365" s="6">
        <f t="shared" si="5"/>
        <v>62496</v>
      </c>
    </row>
    <row r="366" spans="1:10">
      <c r="A366" s="5">
        <v>140296</v>
      </c>
      <c r="B366" s="5" t="s">
        <v>16</v>
      </c>
      <c r="C366" s="5" t="s">
        <v>25</v>
      </c>
      <c r="D366" s="5" t="s">
        <v>36</v>
      </c>
      <c r="E366" s="5" t="s">
        <v>19</v>
      </c>
      <c r="F366" s="5" t="s">
        <v>28</v>
      </c>
      <c r="G366" s="5" t="s">
        <v>24</v>
      </c>
      <c r="H366" s="5">
        <v>35008</v>
      </c>
      <c r="I366" s="5">
        <v>0</v>
      </c>
      <c r="J366" s="6">
        <f t="shared" si="5"/>
        <v>35008</v>
      </c>
    </row>
    <row r="367" spans="1:10">
      <c r="A367" s="5">
        <v>19161</v>
      </c>
      <c r="B367" s="5" t="s">
        <v>16</v>
      </c>
      <c r="C367" s="5" t="s">
        <v>11</v>
      </c>
      <c r="D367" s="5" t="s">
        <v>26</v>
      </c>
      <c r="E367" s="5" t="s">
        <v>13</v>
      </c>
      <c r="F367" s="5" t="s">
        <v>14</v>
      </c>
      <c r="G367" s="5" t="s">
        <v>15</v>
      </c>
      <c r="H367" s="5">
        <v>37744</v>
      </c>
      <c r="I367" s="5">
        <v>2773</v>
      </c>
      <c r="J367" s="6">
        <f t="shared" si="5"/>
        <v>34971</v>
      </c>
    </row>
    <row r="368" spans="1:10">
      <c r="A368" s="5">
        <v>212937</v>
      </c>
      <c r="B368" s="5" t="s">
        <v>16</v>
      </c>
      <c r="C368" s="5" t="s">
        <v>38</v>
      </c>
      <c r="D368" s="5" t="s">
        <v>32</v>
      </c>
      <c r="E368" s="5" t="s">
        <v>13</v>
      </c>
      <c r="F368" s="5" t="s">
        <v>14</v>
      </c>
      <c r="G368" s="5" t="s">
        <v>15</v>
      </c>
      <c r="H368" s="5">
        <v>1011</v>
      </c>
      <c r="I368" s="5">
        <v>0</v>
      </c>
      <c r="J368" s="6">
        <f t="shared" si="5"/>
        <v>1011</v>
      </c>
    </row>
    <row r="369" spans="1:10">
      <c r="A369" s="5">
        <v>197479</v>
      </c>
      <c r="B369" s="5" t="s">
        <v>10</v>
      </c>
      <c r="C369" s="5" t="s">
        <v>37</v>
      </c>
      <c r="D369" s="5" t="s">
        <v>32</v>
      </c>
      <c r="E369" s="5" t="s">
        <v>19</v>
      </c>
      <c r="F369" s="5" t="s">
        <v>14</v>
      </c>
      <c r="G369" s="5" t="s">
        <v>24</v>
      </c>
      <c r="H369" s="5">
        <v>23655</v>
      </c>
      <c r="I369" s="5">
        <v>4700</v>
      </c>
      <c r="J369" s="6">
        <f t="shared" si="5"/>
        <v>18955</v>
      </c>
    </row>
    <row r="370" spans="1:10">
      <c r="A370" s="5">
        <v>32705</v>
      </c>
      <c r="B370" s="5" t="s">
        <v>10</v>
      </c>
      <c r="C370" s="5" t="s">
        <v>11</v>
      </c>
      <c r="D370" s="5" t="s">
        <v>12</v>
      </c>
      <c r="E370" s="5" t="s">
        <v>13</v>
      </c>
      <c r="F370" s="5" t="s">
        <v>14</v>
      </c>
      <c r="G370" s="5" t="s">
        <v>15</v>
      </c>
      <c r="H370" s="5">
        <v>488320</v>
      </c>
      <c r="I370" s="5">
        <v>1768</v>
      </c>
      <c r="J370" s="6">
        <f t="shared" si="5"/>
        <v>486552</v>
      </c>
    </row>
    <row r="371" spans="1:10">
      <c r="A371" s="5">
        <v>142772</v>
      </c>
      <c r="B371" s="5" t="s">
        <v>10</v>
      </c>
      <c r="C371" s="5" t="s">
        <v>27</v>
      </c>
      <c r="D371" s="5" t="s">
        <v>21</v>
      </c>
      <c r="E371" s="5" t="s">
        <v>19</v>
      </c>
      <c r="F371" s="5" t="s">
        <v>14</v>
      </c>
      <c r="G371" s="5" t="s">
        <v>24</v>
      </c>
      <c r="H371" s="5">
        <v>39860</v>
      </c>
      <c r="I371" s="5">
        <v>182</v>
      </c>
      <c r="J371" s="6">
        <f t="shared" si="5"/>
        <v>39678</v>
      </c>
    </row>
    <row r="372" spans="1:10">
      <c r="A372" s="5">
        <v>185174</v>
      </c>
      <c r="B372" s="5" t="s">
        <v>10</v>
      </c>
      <c r="C372" s="5" t="s">
        <v>34</v>
      </c>
      <c r="D372" s="5" t="s">
        <v>30</v>
      </c>
      <c r="E372" s="5" t="s">
        <v>13</v>
      </c>
      <c r="F372" s="5" t="s">
        <v>14</v>
      </c>
      <c r="G372" s="5" t="s">
        <v>15</v>
      </c>
      <c r="H372" s="5">
        <v>151110</v>
      </c>
      <c r="I372" s="5">
        <v>2173</v>
      </c>
      <c r="J372" s="6">
        <f t="shared" si="5"/>
        <v>148937</v>
      </c>
    </row>
    <row r="373" spans="1:10">
      <c r="A373" s="5">
        <v>147525</v>
      </c>
      <c r="B373" s="5" t="s">
        <v>10</v>
      </c>
      <c r="C373" s="5" t="s">
        <v>34</v>
      </c>
      <c r="D373" s="5" t="s">
        <v>12</v>
      </c>
      <c r="E373" s="5" t="s">
        <v>13</v>
      </c>
      <c r="F373" s="5" t="s">
        <v>14</v>
      </c>
      <c r="G373" s="5" t="s">
        <v>15</v>
      </c>
      <c r="H373" s="5">
        <v>308194</v>
      </c>
      <c r="I373" s="5">
        <v>1506</v>
      </c>
      <c r="J373" s="6">
        <f t="shared" si="5"/>
        <v>306688</v>
      </c>
    </row>
    <row r="374" spans="1:10">
      <c r="A374" s="5">
        <v>225887</v>
      </c>
      <c r="B374" s="5" t="s">
        <v>16</v>
      </c>
      <c r="C374" s="5" t="s">
        <v>27</v>
      </c>
      <c r="D374" s="5" t="s">
        <v>23</v>
      </c>
      <c r="E374" s="5" t="s">
        <v>13</v>
      </c>
      <c r="F374" s="5" t="s">
        <v>28</v>
      </c>
      <c r="G374" s="5" t="s">
        <v>24</v>
      </c>
      <c r="H374" s="5">
        <v>18363</v>
      </c>
      <c r="I374" s="5">
        <v>0</v>
      </c>
      <c r="J374" s="6">
        <f t="shared" si="5"/>
        <v>18363</v>
      </c>
    </row>
    <row r="375" spans="1:10">
      <c r="A375" s="5">
        <v>39222</v>
      </c>
      <c r="B375" s="5" t="s">
        <v>10</v>
      </c>
      <c r="C375" s="5" t="s">
        <v>35</v>
      </c>
      <c r="D375" s="5" t="s">
        <v>23</v>
      </c>
      <c r="E375" s="5" t="s">
        <v>19</v>
      </c>
      <c r="F375" s="5" t="s">
        <v>14</v>
      </c>
      <c r="G375" s="5" t="s">
        <v>15</v>
      </c>
      <c r="H375" s="5">
        <v>181275</v>
      </c>
      <c r="I375" s="5">
        <v>25183</v>
      </c>
      <c r="J375" s="6">
        <f t="shared" si="5"/>
        <v>156092</v>
      </c>
    </row>
    <row r="376" spans="1:10">
      <c r="A376" s="5">
        <v>128724</v>
      </c>
      <c r="B376" s="5" t="s">
        <v>16</v>
      </c>
      <c r="C376" s="5" t="s">
        <v>22</v>
      </c>
      <c r="D376" s="5" t="s">
        <v>12</v>
      </c>
      <c r="E376" s="5" t="s">
        <v>19</v>
      </c>
      <c r="F376" s="5" t="s">
        <v>28</v>
      </c>
      <c r="G376" s="5" t="s">
        <v>15</v>
      </c>
      <c r="H376" s="5">
        <v>78850</v>
      </c>
      <c r="I376" s="5">
        <v>63</v>
      </c>
      <c r="J376" s="6">
        <f t="shared" si="5"/>
        <v>78787</v>
      </c>
    </row>
    <row r="377" spans="1:10">
      <c r="A377" s="5">
        <v>136594</v>
      </c>
      <c r="B377" s="5" t="s">
        <v>10</v>
      </c>
      <c r="C377" s="5" t="s">
        <v>34</v>
      </c>
      <c r="D377" s="5" t="s">
        <v>23</v>
      </c>
      <c r="E377" s="5" t="s">
        <v>13</v>
      </c>
      <c r="F377" s="5" t="s">
        <v>14</v>
      </c>
      <c r="G377" s="5" t="s">
        <v>15</v>
      </c>
      <c r="H377" s="5">
        <v>41389</v>
      </c>
      <c r="I377" s="5">
        <v>2307</v>
      </c>
      <c r="J377" s="6">
        <f t="shared" si="5"/>
        <v>39082</v>
      </c>
    </row>
    <row r="378" spans="1:10">
      <c r="A378" s="5">
        <v>209290</v>
      </c>
      <c r="B378" s="5" t="s">
        <v>16</v>
      </c>
      <c r="C378" s="5" t="s">
        <v>38</v>
      </c>
      <c r="D378" s="5" t="s">
        <v>12</v>
      </c>
      <c r="E378" s="5" t="s">
        <v>13</v>
      </c>
      <c r="F378" s="5" t="s">
        <v>14</v>
      </c>
      <c r="G378" s="5" t="s">
        <v>15</v>
      </c>
      <c r="H378" s="5">
        <v>87181</v>
      </c>
      <c r="I378" s="5">
        <v>0</v>
      </c>
      <c r="J378" s="6">
        <f t="shared" si="5"/>
        <v>87181</v>
      </c>
    </row>
    <row r="379" spans="1:10">
      <c r="A379" s="5">
        <v>200944</v>
      </c>
      <c r="B379" s="5" t="s">
        <v>16</v>
      </c>
      <c r="C379" s="5" t="s">
        <v>38</v>
      </c>
      <c r="D379" s="5" t="s">
        <v>21</v>
      </c>
      <c r="E379" s="5" t="s">
        <v>19</v>
      </c>
      <c r="F379" s="5" t="s">
        <v>14</v>
      </c>
      <c r="G379" s="5" t="s">
        <v>15</v>
      </c>
      <c r="H379" s="5">
        <v>38618</v>
      </c>
      <c r="I379" s="5">
        <v>5701</v>
      </c>
      <c r="J379" s="6">
        <f t="shared" si="5"/>
        <v>32917</v>
      </c>
    </row>
    <row r="380" spans="1:10">
      <c r="A380" s="5">
        <v>173364</v>
      </c>
      <c r="B380" s="5" t="s">
        <v>10</v>
      </c>
      <c r="C380" s="5" t="s">
        <v>27</v>
      </c>
      <c r="D380" s="5" t="s">
        <v>30</v>
      </c>
      <c r="E380" s="5" t="s">
        <v>13</v>
      </c>
      <c r="F380" s="5" t="s">
        <v>14</v>
      </c>
      <c r="G380" s="5" t="s">
        <v>24</v>
      </c>
      <c r="H380" s="5">
        <v>108263</v>
      </c>
      <c r="I380" s="5">
        <v>967</v>
      </c>
      <c r="J380" s="6">
        <f t="shared" si="5"/>
        <v>107296</v>
      </c>
    </row>
    <row r="381" spans="1:10">
      <c r="A381" s="5">
        <v>194486</v>
      </c>
      <c r="B381" s="5" t="s">
        <v>10</v>
      </c>
      <c r="C381" s="5" t="s">
        <v>34</v>
      </c>
      <c r="D381" s="5" t="s">
        <v>29</v>
      </c>
      <c r="E381" s="5" t="s">
        <v>13</v>
      </c>
      <c r="F381" s="5" t="s">
        <v>28</v>
      </c>
      <c r="G381" s="5" t="s">
        <v>15</v>
      </c>
      <c r="H381" s="5">
        <v>164958</v>
      </c>
      <c r="I381" s="5">
        <v>1024</v>
      </c>
      <c r="J381" s="6">
        <f t="shared" si="5"/>
        <v>163934</v>
      </c>
    </row>
    <row r="382" spans="1:10">
      <c r="A382" s="5">
        <v>211554</v>
      </c>
      <c r="B382" s="5" t="s">
        <v>16</v>
      </c>
      <c r="C382" s="5" t="s">
        <v>38</v>
      </c>
      <c r="D382" s="5" t="s">
        <v>12</v>
      </c>
      <c r="E382" s="5" t="s">
        <v>13</v>
      </c>
      <c r="F382" s="5" t="s">
        <v>28</v>
      </c>
      <c r="G382" s="5" t="s">
        <v>24</v>
      </c>
      <c r="H382" s="5">
        <v>33655</v>
      </c>
      <c r="I382" s="5">
        <v>157</v>
      </c>
      <c r="J382" s="6">
        <f t="shared" si="5"/>
        <v>33498</v>
      </c>
    </row>
    <row r="383" spans="1:10">
      <c r="A383" s="5">
        <v>49303</v>
      </c>
      <c r="B383" s="5" t="s">
        <v>10</v>
      </c>
      <c r="C383" s="5" t="s">
        <v>35</v>
      </c>
      <c r="D383" s="5" t="s">
        <v>36</v>
      </c>
      <c r="E383" s="5" t="s">
        <v>13</v>
      </c>
      <c r="F383" s="5" t="s">
        <v>14</v>
      </c>
      <c r="G383" s="5" t="s">
        <v>15</v>
      </c>
      <c r="H383" s="5">
        <v>69036</v>
      </c>
      <c r="I383" s="5">
        <v>25466</v>
      </c>
      <c r="J383" s="6">
        <f t="shared" si="5"/>
        <v>43570</v>
      </c>
    </row>
    <row r="384" spans="1:10">
      <c r="A384" s="5">
        <v>96878</v>
      </c>
      <c r="B384" s="5" t="s">
        <v>10</v>
      </c>
      <c r="C384" s="5" t="s">
        <v>37</v>
      </c>
      <c r="D384" s="5" t="s">
        <v>12</v>
      </c>
      <c r="E384" s="5" t="s">
        <v>13</v>
      </c>
      <c r="F384" s="5" t="s">
        <v>14</v>
      </c>
      <c r="G384" s="5" t="s">
        <v>15</v>
      </c>
      <c r="H384" s="5">
        <v>74892</v>
      </c>
      <c r="I384" s="5">
        <v>495</v>
      </c>
      <c r="J384" s="6">
        <f t="shared" si="5"/>
        <v>74397</v>
      </c>
    </row>
    <row r="385" spans="1:10">
      <c r="A385" s="5">
        <v>228761</v>
      </c>
      <c r="B385" s="5" t="s">
        <v>10</v>
      </c>
      <c r="C385" s="5" t="s">
        <v>17</v>
      </c>
      <c r="D385" s="5" t="s">
        <v>18</v>
      </c>
      <c r="E385" s="5" t="s">
        <v>19</v>
      </c>
      <c r="F385" s="5" t="s">
        <v>14</v>
      </c>
      <c r="G385" s="5" t="s">
        <v>15</v>
      </c>
      <c r="H385" s="5">
        <v>96112</v>
      </c>
      <c r="I385" s="5">
        <v>5788</v>
      </c>
      <c r="J385" s="6">
        <f t="shared" si="5"/>
        <v>90324</v>
      </c>
    </row>
    <row r="386" spans="1:10">
      <c r="A386" s="5">
        <v>117040</v>
      </c>
      <c r="B386" s="5" t="s">
        <v>10</v>
      </c>
      <c r="C386" s="5" t="s">
        <v>31</v>
      </c>
      <c r="D386" s="5" t="s">
        <v>21</v>
      </c>
      <c r="E386" s="5" t="s">
        <v>19</v>
      </c>
      <c r="F386" s="5" t="s">
        <v>28</v>
      </c>
      <c r="G386" s="5" t="s">
        <v>24</v>
      </c>
      <c r="H386" s="5">
        <v>30087</v>
      </c>
      <c r="I386" s="5">
        <v>783</v>
      </c>
      <c r="J386" s="6">
        <f t="shared" ref="J386:J449" si="6">H386-I386</f>
        <v>29304</v>
      </c>
    </row>
    <row r="387" spans="1:10">
      <c r="A387" s="5">
        <v>186395</v>
      </c>
      <c r="B387" s="5" t="s">
        <v>16</v>
      </c>
      <c r="C387" s="5" t="s">
        <v>38</v>
      </c>
      <c r="D387" s="5" t="s">
        <v>33</v>
      </c>
      <c r="E387" s="5" t="s">
        <v>13</v>
      </c>
      <c r="F387" s="5" t="s">
        <v>14</v>
      </c>
      <c r="G387" s="5" t="s">
        <v>15</v>
      </c>
      <c r="H387" s="5">
        <v>91742</v>
      </c>
      <c r="I387" s="5">
        <v>2148</v>
      </c>
      <c r="J387" s="6">
        <f t="shared" si="6"/>
        <v>89594</v>
      </c>
    </row>
    <row r="388" spans="1:10">
      <c r="A388" s="5">
        <v>2128</v>
      </c>
      <c r="B388" s="5" t="s">
        <v>10</v>
      </c>
      <c r="C388" s="5" t="s">
        <v>39</v>
      </c>
      <c r="D388" s="5" t="s">
        <v>12</v>
      </c>
      <c r="E388" s="5" t="s">
        <v>13</v>
      </c>
      <c r="F388" s="5" t="s">
        <v>14</v>
      </c>
      <c r="G388" s="5" t="s">
        <v>15</v>
      </c>
      <c r="H388" s="5">
        <v>28828</v>
      </c>
      <c r="I388" s="5">
        <v>352</v>
      </c>
      <c r="J388" s="6">
        <f t="shared" si="6"/>
        <v>28476</v>
      </c>
    </row>
    <row r="389" spans="1:10">
      <c r="A389" s="5">
        <v>89037</v>
      </c>
      <c r="B389" s="5" t="s">
        <v>10</v>
      </c>
      <c r="C389" s="5" t="s">
        <v>37</v>
      </c>
      <c r="D389" s="5" t="s">
        <v>30</v>
      </c>
      <c r="E389" s="5" t="s">
        <v>13</v>
      </c>
      <c r="F389" s="5" t="s">
        <v>14</v>
      </c>
      <c r="G389" s="5" t="s">
        <v>15</v>
      </c>
      <c r="H389" s="5">
        <v>64806</v>
      </c>
      <c r="I389" s="5">
        <v>1159</v>
      </c>
      <c r="J389" s="6">
        <f t="shared" si="6"/>
        <v>63647</v>
      </c>
    </row>
    <row r="390" spans="1:10">
      <c r="A390" s="5">
        <v>129259</v>
      </c>
      <c r="B390" s="5" t="s">
        <v>16</v>
      </c>
      <c r="C390" s="5" t="s">
        <v>22</v>
      </c>
      <c r="D390" s="5" t="s">
        <v>36</v>
      </c>
      <c r="E390" s="5" t="s">
        <v>19</v>
      </c>
      <c r="F390" s="5" t="s">
        <v>28</v>
      </c>
      <c r="G390" s="5" t="s">
        <v>24</v>
      </c>
      <c r="H390" s="5">
        <v>35360</v>
      </c>
      <c r="I390" s="5">
        <v>9295</v>
      </c>
      <c r="J390" s="6">
        <f t="shared" si="6"/>
        <v>26065</v>
      </c>
    </row>
    <row r="391" spans="1:10">
      <c r="A391" s="5">
        <v>73845</v>
      </c>
      <c r="B391" s="5" t="s">
        <v>16</v>
      </c>
      <c r="C391" s="5" t="s">
        <v>11</v>
      </c>
      <c r="D391" s="5" t="s">
        <v>18</v>
      </c>
      <c r="E391" s="5" t="s">
        <v>19</v>
      </c>
      <c r="F391" s="5" t="s">
        <v>14</v>
      </c>
      <c r="G391" s="5" t="s">
        <v>24</v>
      </c>
      <c r="H391" s="5">
        <v>72218</v>
      </c>
      <c r="I391" s="5">
        <v>1140</v>
      </c>
      <c r="J391" s="6">
        <f t="shared" si="6"/>
        <v>71078</v>
      </c>
    </row>
    <row r="392" spans="1:10">
      <c r="A392" s="5">
        <v>67588</v>
      </c>
      <c r="B392" s="5" t="s">
        <v>10</v>
      </c>
      <c r="C392" s="5" t="s">
        <v>27</v>
      </c>
      <c r="D392" s="5" t="s">
        <v>29</v>
      </c>
      <c r="E392" s="5" t="s">
        <v>13</v>
      </c>
      <c r="F392" s="5" t="s">
        <v>28</v>
      </c>
      <c r="G392" s="5" t="s">
        <v>24</v>
      </c>
      <c r="H392" s="5">
        <v>79835</v>
      </c>
      <c r="I392" s="5">
        <v>1357</v>
      </c>
      <c r="J392" s="6">
        <f t="shared" si="6"/>
        <v>78478</v>
      </c>
    </row>
    <row r="393" spans="1:10">
      <c r="A393" s="5">
        <v>105731</v>
      </c>
      <c r="B393" s="5" t="s">
        <v>10</v>
      </c>
      <c r="C393" s="5" t="s">
        <v>22</v>
      </c>
      <c r="D393" s="5" t="s">
        <v>23</v>
      </c>
      <c r="E393" s="5" t="s">
        <v>13</v>
      </c>
      <c r="F393" s="5" t="s">
        <v>14</v>
      </c>
      <c r="G393" s="5" t="s">
        <v>15</v>
      </c>
      <c r="H393" s="5">
        <v>85896</v>
      </c>
      <c r="I393" s="5">
        <v>6278</v>
      </c>
      <c r="J393" s="6">
        <f t="shared" si="6"/>
        <v>79618</v>
      </c>
    </row>
    <row r="394" spans="1:10">
      <c r="A394" s="5">
        <v>185676</v>
      </c>
      <c r="B394" s="5" t="s">
        <v>10</v>
      </c>
      <c r="C394" s="5" t="s">
        <v>37</v>
      </c>
      <c r="D394" s="5" t="s">
        <v>12</v>
      </c>
      <c r="E394" s="5" t="s">
        <v>13</v>
      </c>
      <c r="F394" s="5" t="s">
        <v>14</v>
      </c>
      <c r="G394" s="5" t="s">
        <v>15</v>
      </c>
      <c r="H394" s="5">
        <v>51113</v>
      </c>
      <c r="I394" s="5">
        <v>1575</v>
      </c>
      <c r="J394" s="6">
        <f t="shared" si="6"/>
        <v>49538</v>
      </c>
    </row>
    <row r="395" spans="1:10">
      <c r="A395" s="5">
        <v>150676</v>
      </c>
      <c r="B395" s="5" t="s">
        <v>10</v>
      </c>
      <c r="C395" s="5" t="s">
        <v>27</v>
      </c>
      <c r="D395" s="5" t="s">
        <v>23</v>
      </c>
      <c r="E395" s="5" t="s">
        <v>13</v>
      </c>
      <c r="F395" s="5" t="s">
        <v>14</v>
      </c>
      <c r="G395" s="5" t="s">
        <v>24</v>
      </c>
      <c r="H395" s="5">
        <v>50304</v>
      </c>
      <c r="I395" s="5">
        <v>8420</v>
      </c>
      <c r="J395" s="6">
        <f t="shared" si="6"/>
        <v>41884</v>
      </c>
    </row>
    <row r="396" spans="1:10">
      <c r="A396" s="5">
        <v>209389</v>
      </c>
      <c r="B396" s="5" t="s">
        <v>10</v>
      </c>
      <c r="C396" s="5" t="s">
        <v>38</v>
      </c>
      <c r="D396" s="5" t="s">
        <v>32</v>
      </c>
      <c r="E396" s="5" t="s">
        <v>13</v>
      </c>
      <c r="F396" s="5" t="s">
        <v>14</v>
      </c>
      <c r="G396" s="5" t="s">
        <v>15</v>
      </c>
      <c r="H396" s="5">
        <v>15571</v>
      </c>
      <c r="I396" s="5">
        <v>1705</v>
      </c>
      <c r="J396" s="6">
        <f t="shared" si="6"/>
        <v>13866</v>
      </c>
    </row>
    <row r="397" spans="1:10">
      <c r="A397" s="5">
        <v>143332</v>
      </c>
      <c r="B397" s="5" t="s">
        <v>10</v>
      </c>
      <c r="C397" s="5" t="s">
        <v>22</v>
      </c>
      <c r="D397" s="5" t="s">
        <v>12</v>
      </c>
      <c r="E397" s="5" t="s">
        <v>13</v>
      </c>
      <c r="F397" s="5" t="s">
        <v>14</v>
      </c>
      <c r="G397" s="5" t="s">
        <v>15</v>
      </c>
      <c r="H397" s="5">
        <v>81769</v>
      </c>
      <c r="I397" s="5">
        <v>2726</v>
      </c>
      <c r="J397" s="6">
        <f t="shared" si="6"/>
        <v>79043</v>
      </c>
    </row>
    <row r="398" spans="1:10">
      <c r="A398" s="5">
        <v>190050</v>
      </c>
      <c r="B398" s="5" t="s">
        <v>16</v>
      </c>
      <c r="C398" s="5" t="s">
        <v>37</v>
      </c>
      <c r="D398" s="5" t="s">
        <v>32</v>
      </c>
      <c r="E398" s="5" t="s">
        <v>19</v>
      </c>
      <c r="F398" s="5" t="s">
        <v>28</v>
      </c>
      <c r="G398" s="5" t="s">
        <v>24</v>
      </c>
      <c r="H398" s="5">
        <v>1144</v>
      </c>
      <c r="I398" s="5">
        <v>0</v>
      </c>
      <c r="J398" s="6">
        <f t="shared" si="6"/>
        <v>1144</v>
      </c>
    </row>
    <row r="399" spans="1:10">
      <c r="A399" s="5">
        <v>194148</v>
      </c>
      <c r="B399" s="5" t="s">
        <v>16</v>
      </c>
      <c r="C399" s="5" t="s">
        <v>34</v>
      </c>
      <c r="D399" s="5" t="s">
        <v>26</v>
      </c>
      <c r="E399" s="5" t="s">
        <v>19</v>
      </c>
      <c r="F399" s="5" t="s">
        <v>14</v>
      </c>
      <c r="G399" s="5" t="s">
        <v>24</v>
      </c>
      <c r="H399" s="5">
        <v>19039</v>
      </c>
      <c r="I399" s="5">
        <v>678</v>
      </c>
      <c r="J399" s="6">
        <f t="shared" si="6"/>
        <v>18361</v>
      </c>
    </row>
    <row r="400" spans="1:10">
      <c r="A400" s="5">
        <v>165016</v>
      </c>
      <c r="B400" s="5" t="s">
        <v>16</v>
      </c>
      <c r="C400" s="5" t="s">
        <v>17</v>
      </c>
      <c r="D400" s="5" t="s">
        <v>21</v>
      </c>
      <c r="E400" s="5" t="s">
        <v>19</v>
      </c>
      <c r="F400" s="5" t="s">
        <v>14</v>
      </c>
      <c r="G400" s="5" t="s">
        <v>24</v>
      </c>
      <c r="H400" s="5">
        <v>31289</v>
      </c>
      <c r="I400" s="5">
        <v>308</v>
      </c>
      <c r="J400" s="6">
        <f t="shared" si="6"/>
        <v>30981</v>
      </c>
    </row>
    <row r="401" spans="1:10">
      <c r="A401" s="5">
        <v>57633</v>
      </c>
      <c r="B401" s="5" t="s">
        <v>16</v>
      </c>
      <c r="C401" s="5" t="s">
        <v>11</v>
      </c>
      <c r="D401" s="5" t="s">
        <v>36</v>
      </c>
      <c r="E401" s="5" t="s">
        <v>13</v>
      </c>
      <c r="F401" s="5" t="s">
        <v>14</v>
      </c>
      <c r="G401" s="5" t="s">
        <v>24</v>
      </c>
      <c r="H401" s="5">
        <v>12492</v>
      </c>
      <c r="I401" s="5">
        <v>47</v>
      </c>
      <c r="J401" s="6">
        <f t="shared" si="6"/>
        <v>12445</v>
      </c>
    </row>
    <row r="402" spans="1:10">
      <c r="A402" s="5">
        <v>251900</v>
      </c>
      <c r="B402" s="5" t="s">
        <v>10</v>
      </c>
      <c r="C402" s="5" t="s">
        <v>25</v>
      </c>
      <c r="D402" s="5" t="s">
        <v>26</v>
      </c>
      <c r="E402" s="5" t="s">
        <v>19</v>
      </c>
      <c r="F402" s="5" t="s">
        <v>28</v>
      </c>
      <c r="G402" s="5" t="s">
        <v>24</v>
      </c>
      <c r="H402" s="5">
        <v>34940</v>
      </c>
      <c r="I402" s="5">
        <v>225</v>
      </c>
      <c r="J402" s="6">
        <f t="shared" si="6"/>
        <v>34715</v>
      </c>
    </row>
    <row r="403" spans="1:10">
      <c r="A403" s="5">
        <v>143187</v>
      </c>
      <c r="B403" s="5" t="s">
        <v>10</v>
      </c>
      <c r="C403" s="5" t="s">
        <v>38</v>
      </c>
      <c r="D403" s="5" t="s">
        <v>21</v>
      </c>
      <c r="E403" s="5" t="s">
        <v>13</v>
      </c>
      <c r="F403" s="5" t="s">
        <v>28</v>
      </c>
      <c r="G403" s="5" t="s">
        <v>15</v>
      </c>
      <c r="H403" s="5">
        <v>14743</v>
      </c>
      <c r="I403" s="5">
        <v>0</v>
      </c>
      <c r="J403" s="6">
        <f t="shared" si="6"/>
        <v>14743</v>
      </c>
    </row>
    <row r="404" spans="1:10">
      <c r="A404" s="5">
        <v>237902</v>
      </c>
      <c r="B404" s="5" t="s">
        <v>10</v>
      </c>
      <c r="C404" s="5" t="s">
        <v>22</v>
      </c>
      <c r="D404" s="5" t="s">
        <v>29</v>
      </c>
      <c r="E404" s="5" t="s">
        <v>13</v>
      </c>
      <c r="F404" s="5" t="s">
        <v>14</v>
      </c>
      <c r="G404" s="5" t="s">
        <v>24</v>
      </c>
      <c r="H404" s="5">
        <v>59661</v>
      </c>
      <c r="I404" s="5">
        <v>1843</v>
      </c>
      <c r="J404" s="6">
        <f t="shared" si="6"/>
        <v>57818</v>
      </c>
    </row>
    <row r="405" spans="1:10">
      <c r="A405" s="5">
        <v>171585</v>
      </c>
      <c r="B405" s="5" t="s">
        <v>16</v>
      </c>
      <c r="C405" s="5" t="s">
        <v>31</v>
      </c>
      <c r="D405" s="5" t="s">
        <v>21</v>
      </c>
      <c r="E405" s="5" t="s">
        <v>19</v>
      </c>
      <c r="F405" s="5" t="s">
        <v>14</v>
      </c>
      <c r="G405" s="5" t="s">
        <v>24</v>
      </c>
      <c r="H405" s="5">
        <v>37787</v>
      </c>
      <c r="I405" s="5">
        <v>0</v>
      </c>
      <c r="J405" s="6">
        <f t="shared" si="6"/>
        <v>37787</v>
      </c>
    </row>
    <row r="406" spans="1:10">
      <c r="A406" s="5">
        <v>132046</v>
      </c>
      <c r="B406" s="5" t="s">
        <v>16</v>
      </c>
      <c r="C406" s="5" t="s">
        <v>25</v>
      </c>
      <c r="D406" s="5" t="s">
        <v>33</v>
      </c>
      <c r="E406" s="5" t="s">
        <v>19</v>
      </c>
      <c r="F406" s="5" t="s">
        <v>14</v>
      </c>
      <c r="G406" s="5" t="s">
        <v>15</v>
      </c>
      <c r="H406" s="5">
        <v>67807</v>
      </c>
      <c r="I406" s="5">
        <v>1266</v>
      </c>
      <c r="J406" s="6">
        <f t="shared" si="6"/>
        <v>66541</v>
      </c>
    </row>
    <row r="407" spans="1:10">
      <c r="A407" s="5">
        <v>196833</v>
      </c>
      <c r="B407" s="5" t="s">
        <v>16</v>
      </c>
      <c r="C407" s="5" t="s">
        <v>11</v>
      </c>
      <c r="D407" s="5" t="s">
        <v>33</v>
      </c>
      <c r="E407" s="5" t="s">
        <v>13</v>
      </c>
      <c r="F407" s="5" t="s">
        <v>14</v>
      </c>
      <c r="G407" s="5" t="s">
        <v>15</v>
      </c>
      <c r="H407" s="5">
        <v>66885</v>
      </c>
      <c r="I407" s="5">
        <v>2920</v>
      </c>
      <c r="J407" s="6">
        <f t="shared" si="6"/>
        <v>63965</v>
      </c>
    </row>
    <row r="408" spans="1:10">
      <c r="A408" s="5">
        <v>116001</v>
      </c>
      <c r="B408" s="5" t="s">
        <v>16</v>
      </c>
      <c r="C408" s="5" t="s">
        <v>25</v>
      </c>
      <c r="D408" s="5" t="s">
        <v>30</v>
      </c>
      <c r="E408" s="5" t="s">
        <v>13</v>
      </c>
      <c r="F408" s="5" t="s">
        <v>14</v>
      </c>
      <c r="G408" s="5" t="s">
        <v>24</v>
      </c>
      <c r="H408" s="5">
        <v>32101</v>
      </c>
      <c r="I408" s="5">
        <v>375</v>
      </c>
      <c r="J408" s="6">
        <f t="shared" si="6"/>
        <v>31726</v>
      </c>
    </row>
    <row r="409" spans="1:10">
      <c r="A409" s="5">
        <v>123013</v>
      </c>
      <c r="B409" s="5" t="s">
        <v>10</v>
      </c>
      <c r="C409" s="5" t="s">
        <v>25</v>
      </c>
      <c r="D409" s="5" t="s">
        <v>26</v>
      </c>
      <c r="E409" s="5" t="s">
        <v>19</v>
      </c>
      <c r="F409" s="5" t="s">
        <v>14</v>
      </c>
      <c r="G409" s="5" t="s">
        <v>24</v>
      </c>
      <c r="H409" s="5">
        <v>73390</v>
      </c>
      <c r="I409" s="5">
        <v>7469</v>
      </c>
      <c r="J409" s="6">
        <f t="shared" si="6"/>
        <v>65921</v>
      </c>
    </row>
    <row r="410" spans="1:10">
      <c r="A410" s="5">
        <v>152663</v>
      </c>
      <c r="B410" s="5" t="s">
        <v>16</v>
      </c>
      <c r="C410" s="5" t="s">
        <v>22</v>
      </c>
      <c r="D410" s="5" t="s">
        <v>12</v>
      </c>
      <c r="E410" s="5" t="s">
        <v>13</v>
      </c>
      <c r="F410" s="5" t="s">
        <v>14</v>
      </c>
      <c r="G410" s="5" t="s">
        <v>15</v>
      </c>
      <c r="H410" s="5">
        <v>61922</v>
      </c>
      <c r="I410" s="5">
        <v>2084</v>
      </c>
      <c r="J410" s="6">
        <f t="shared" si="6"/>
        <v>59838</v>
      </c>
    </row>
    <row r="411" spans="1:10">
      <c r="A411" s="5">
        <v>84840</v>
      </c>
      <c r="B411" s="5" t="s">
        <v>10</v>
      </c>
      <c r="C411" s="5" t="s">
        <v>11</v>
      </c>
      <c r="D411" s="5" t="s">
        <v>12</v>
      </c>
      <c r="E411" s="5" t="s">
        <v>13</v>
      </c>
      <c r="F411" s="5" t="s">
        <v>14</v>
      </c>
      <c r="G411" s="5" t="s">
        <v>15</v>
      </c>
      <c r="H411" s="5">
        <v>215808</v>
      </c>
      <c r="I411" s="5">
        <v>1447</v>
      </c>
      <c r="J411" s="6">
        <f t="shared" si="6"/>
        <v>214361</v>
      </c>
    </row>
    <row r="412" spans="1:10">
      <c r="A412" s="5">
        <v>236789</v>
      </c>
      <c r="B412" s="5" t="s">
        <v>16</v>
      </c>
      <c r="C412" s="5" t="s">
        <v>17</v>
      </c>
      <c r="D412" s="5" t="s">
        <v>21</v>
      </c>
      <c r="E412" s="5" t="s">
        <v>19</v>
      </c>
      <c r="F412" s="5" t="s">
        <v>28</v>
      </c>
      <c r="G412" s="5" t="s">
        <v>24</v>
      </c>
      <c r="H412" s="5">
        <v>9150</v>
      </c>
      <c r="I412" s="5">
        <v>135</v>
      </c>
      <c r="J412" s="6">
        <f t="shared" si="6"/>
        <v>9015</v>
      </c>
    </row>
    <row r="413" spans="1:10">
      <c r="A413" s="5">
        <v>178503</v>
      </c>
      <c r="B413" s="5" t="s">
        <v>16</v>
      </c>
      <c r="C413" s="5" t="s">
        <v>22</v>
      </c>
      <c r="D413" s="5" t="s">
        <v>30</v>
      </c>
      <c r="E413" s="5" t="s">
        <v>19</v>
      </c>
      <c r="F413" s="5" t="s">
        <v>28</v>
      </c>
      <c r="G413" s="5" t="s">
        <v>24</v>
      </c>
      <c r="H413" s="5">
        <v>56215</v>
      </c>
      <c r="I413" s="5">
        <v>1479</v>
      </c>
      <c r="J413" s="6">
        <f t="shared" si="6"/>
        <v>54736</v>
      </c>
    </row>
    <row r="414" spans="1:10">
      <c r="A414" s="5">
        <v>116627</v>
      </c>
      <c r="B414" s="5" t="s">
        <v>10</v>
      </c>
      <c r="C414" s="5" t="s">
        <v>27</v>
      </c>
      <c r="D414" s="5" t="s">
        <v>36</v>
      </c>
      <c r="E414" s="5" t="s">
        <v>13</v>
      </c>
      <c r="F414" s="5" t="s">
        <v>14</v>
      </c>
      <c r="G414" s="5" t="s">
        <v>24</v>
      </c>
      <c r="H414" s="5">
        <v>45100</v>
      </c>
      <c r="I414" s="5">
        <v>1343</v>
      </c>
      <c r="J414" s="6">
        <f t="shared" si="6"/>
        <v>43757</v>
      </c>
    </row>
    <row r="415" spans="1:10">
      <c r="A415" s="5">
        <v>130432</v>
      </c>
      <c r="B415" s="5" t="s">
        <v>10</v>
      </c>
      <c r="C415" s="5" t="s">
        <v>25</v>
      </c>
      <c r="D415" s="5" t="s">
        <v>23</v>
      </c>
      <c r="E415" s="5" t="s">
        <v>19</v>
      </c>
      <c r="F415" s="5" t="s">
        <v>28</v>
      </c>
      <c r="G415" s="5" t="s">
        <v>15</v>
      </c>
      <c r="H415" s="5">
        <v>57408</v>
      </c>
      <c r="I415" s="5">
        <v>2133</v>
      </c>
      <c r="J415" s="6">
        <f t="shared" si="6"/>
        <v>55275</v>
      </c>
    </row>
    <row r="416" spans="1:10">
      <c r="A416" s="5">
        <v>16946</v>
      </c>
      <c r="B416" s="5" t="s">
        <v>10</v>
      </c>
      <c r="C416" s="5" t="s">
        <v>11</v>
      </c>
      <c r="D416" s="5" t="s">
        <v>33</v>
      </c>
      <c r="E416" s="5" t="s">
        <v>13</v>
      </c>
      <c r="F416" s="5" t="s">
        <v>14</v>
      </c>
      <c r="G416" s="5" t="s">
        <v>15</v>
      </c>
      <c r="H416" s="5">
        <v>72575</v>
      </c>
      <c r="I416" s="5">
        <v>2319</v>
      </c>
      <c r="J416" s="6">
        <f t="shared" si="6"/>
        <v>70256</v>
      </c>
    </row>
    <row r="417" spans="1:10">
      <c r="A417" s="5">
        <v>156832</v>
      </c>
      <c r="B417" s="5" t="s">
        <v>16</v>
      </c>
      <c r="C417" s="5" t="s">
        <v>25</v>
      </c>
      <c r="D417" s="5" t="s">
        <v>36</v>
      </c>
      <c r="E417" s="5" t="s">
        <v>13</v>
      </c>
      <c r="F417" s="5" t="s">
        <v>14</v>
      </c>
      <c r="G417" s="5" t="s">
        <v>24</v>
      </c>
      <c r="H417" s="5">
        <v>7581</v>
      </c>
      <c r="I417" s="5">
        <v>0</v>
      </c>
      <c r="J417" s="6">
        <f t="shared" si="6"/>
        <v>7581</v>
      </c>
    </row>
    <row r="418" spans="1:10">
      <c r="A418" s="5">
        <v>7881</v>
      </c>
      <c r="B418" s="5" t="s">
        <v>16</v>
      </c>
      <c r="C418" s="5" t="s">
        <v>37</v>
      </c>
      <c r="D418" s="5" t="s">
        <v>36</v>
      </c>
      <c r="E418" s="5" t="s">
        <v>13</v>
      </c>
      <c r="F418" s="5" t="s">
        <v>14</v>
      </c>
      <c r="G418" s="5" t="s">
        <v>15</v>
      </c>
      <c r="H418" s="5">
        <v>12457</v>
      </c>
      <c r="I418" s="5">
        <v>1625</v>
      </c>
      <c r="J418" s="6">
        <f t="shared" si="6"/>
        <v>10832</v>
      </c>
    </row>
    <row r="419" spans="1:10">
      <c r="A419" s="5">
        <v>79667</v>
      </c>
      <c r="B419" s="5" t="s">
        <v>16</v>
      </c>
      <c r="C419" s="5" t="s">
        <v>38</v>
      </c>
      <c r="D419" s="5" t="s">
        <v>30</v>
      </c>
      <c r="E419" s="5" t="s">
        <v>13</v>
      </c>
      <c r="F419" s="5" t="s">
        <v>14</v>
      </c>
      <c r="G419" s="5" t="s">
        <v>15</v>
      </c>
      <c r="H419" s="5">
        <v>60686</v>
      </c>
      <c r="I419" s="5">
        <v>766</v>
      </c>
      <c r="J419" s="6">
        <f t="shared" si="6"/>
        <v>59920</v>
      </c>
    </row>
    <row r="420" spans="1:10">
      <c r="A420" s="5">
        <v>246133</v>
      </c>
      <c r="B420" s="5" t="s">
        <v>10</v>
      </c>
      <c r="C420" s="5" t="s">
        <v>22</v>
      </c>
      <c r="D420" s="5" t="s">
        <v>12</v>
      </c>
      <c r="E420" s="5" t="s">
        <v>19</v>
      </c>
      <c r="F420" s="5" t="s">
        <v>14</v>
      </c>
      <c r="G420" s="5" t="s">
        <v>24</v>
      </c>
      <c r="H420" s="5">
        <v>65324</v>
      </c>
      <c r="I420" s="5">
        <v>3664</v>
      </c>
      <c r="J420" s="6">
        <f t="shared" si="6"/>
        <v>61660</v>
      </c>
    </row>
    <row r="421" spans="1:10">
      <c r="A421" s="5">
        <v>8786</v>
      </c>
      <c r="B421" s="5" t="s">
        <v>10</v>
      </c>
      <c r="C421" s="5" t="s">
        <v>37</v>
      </c>
      <c r="D421" s="5" t="s">
        <v>12</v>
      </c>
      <c r="E421" s="5" t="s">
        <v>13</v>
      </c>
      <c r="F421" s="5" t="s">
        <v>14</v>
      </c>
      <c r="G421" s="5" t="s">
        <v>24</v>
      </c>
      <c r="H421" s="5">
        <v>84938</v>
      </c>
      <c r="I421" s="5">
        <v>3891</v>
      </c>
      <c r="J421" s="6">
        <f t="shared" si="6"/>
        <v>81047</v>
      </c>
    </row>
    <row r="422" spans="1:10">
      <c r="A422" s="5">
        <v>152511</v>
      </c>
      <c r="B422" s="5" t="s">
        <v>16</v>
      </c>
      <c r="C422" s="5" t="s">
        <v>22</v>
      </c>
      <c r="D422" s="5" t="s">
        <v>21</v>
      </c>
      <c r="E422" s="5" t="s">
        <v>13</v>
      </c>
      <c r="F422" s="5" t="s">
        <v>28</v>
      </c>
      <c r="G422" s="5" t="s">
        <v>15</v>
      </c>
      <c r="H422" s="5">
        <v>55</v>
      </c>
      <c r="I422" s="5">
        <v>0</v>
      </c>
      <c r="J422" s="6">
        <f t="shared" si="6"/>
        <v>55</v>
      </c>
    </row>
    <row r="423" spans="1:10">
      <c r="A423" s="5">
        <v>87445</v>
      </c>
      <c r="B423" s="5" t="s">
        <v>16</v>
      </c>
      <c r="C423" s="5" t="s">
        <v>38</v>
      </c>
      <c r="D423" s="5" t="s">
        <v>33</v>
      </c>
      <c r="E423" s="5" t="s">
        <v>19</v>
      </c>
      <c r="F423" s="5" t="s">
        <v>14</v>
      </c>
      <c r="G423" s="5" t="s">
        <v>24</v>
      </c>
      <c r="H423" s="5">
        <v>33227</v>
      </c>
      <c r="I423" s="5">
        <v>601</v>
      </c>
      <c r="J423" s="6">
        <f t="shared" si="6"/>
        <v>32626</v>
      </c>
    </row>
    <row r="424" spans="1:10">
      <c r="A424" s="5">
        <v>42275</v>
      </c>
      <c r="B424" s="5" t="s">
        <v>16</v>
      </c>
      <c r="C424" s="5" t="s">
        <v>35</v>
      </c>
      <c r="D424" s="5" t="s">
        <v>21</v>
      </c>
      <c r="E424" s="5" t="s">
        <v>13</v>
      </c>
      <c r="F424" s="5" t="s">
        <v>14</v>
      </c>
      <c r="G424" s="5" t="s">
        <v>15</v>
      </c>
      <c r="H424" s="5">
        <v>259130</v>
      </c>
      <c r="I424" s="5">
        <v>2767</v>
      </c>
      <c r="J424" s="6">
        <f t="shared" si="6"/>
        <v>256363</v>
      </c>
    </row>
    <row r="425" spans="1:10">
      <c r="A425" s="5">
        <v>17240</v>
      </c>
      <c r="B425" s="5" t="s">
        <v>10</v>
      </c>
      <c r="C425" s="5" t="s">
        <v>34</v>
      </c>
      <c r="D425" s="5" t="s">
        <v>23</v>
      </c>
      <c r="E425" s="5" t="s">
        <v>19</v>
      </c>
      <c r="F425" s="5" t="s">
        <v>14</v>
      </c>
      <c r="G425" s="5" t="s">
        <v>15</v>
      </c>
      <c r="H425" s="5">
        <v>19372</v>
      </c>
      <c r="I425" s="5">
        <v>285</v>
      </c>
      <c r="J425" s="6">
        <f t="shared" si="6"/>
        <v>19087</v>
      </c>
    </row>
    <row r="426" spans="1:10">
      <c r="A426" s="5">
        <v>185176</v>
      </c>
      <c r="B426" s="5" t="s">
        <v>16</v>
      </c>
      <c r="C426" s="5" t="s">
        <v>11</v>
      </c>
      <c r="D426" s="5" t="s">
        <v>21</v>
      </c>
      <c r="E426" s="5" t="s">
        <v>13</v>
      </c>
      <c r="F426" s="5" t="s">
        <v>28</v>
      </c>
      <c r="G426" s="5" t="s">
        <v>15</v>
      </c>
      <c r="H426" s="5">
        <v>34027</v>
      </c>
      <c r="I426" s="5">
        <v>1431</v>
      </c>
      <c r="J426" s="6">
        <f t="shared" si="6"/>
        <v>32596</v>
      </c>
    </row>
    <row r="427" spans="1:10">
      <c r="A427" s="5">
        <v>141860</v>
      </c>
      <c r="B427" s="5" t="s">
        <v>16</v>
      </c>
      <c r="C427" s="5" t="s">
        <v>22</v>
      </c>
      <c r="D427" s="5" t="s">
        <v>26</v>
      </c>
      <c r="E427" s="5" t="s">
        <v>19</v>
      </c>
      <c r="F427" s="5" t="s">
        <v>28</v>
      </c>
      <c r="G427" s="5" t="s">
        <v>24</v>
      </c>
      <c r="H427" s="5">
        <v>11742</v>
      </c>
      <c r="I427" s="5">
        <v>0</v>
      </c>
      <c r="J427" s="6">
        <f t="shared" si="6"/>
        <v>11742</v>
      </c>
    </row>
    <row r="428" spans="1:10">
      <c r="A428" s="5">
        <v>211654</v>
      </c>
      <c r="B428" s="5" t="s">
        <v>16</v>
      </c>
      <c r="C428" s="5" t="s">
        <v>38</v>
      </c>
      <c r="D428" s="5" t="s">
        <v>36</v>
      </c>
      <c r="E428" s="5" t="s">
        <v>19</v>
      </c>
      <c r="F428" s="5" t="s">
        <v>14</v>
      </c>
      <c r="G428" s="5" t="s">
        <v>24</v>
      </c>
      <c r="H428" s="5">
        <v>47796</v>
      </c>
      <c r="I428" s="5">
        <v>670</v>
      </c>
      <c r="J428" s="6">
        <f t="shared" si="6"/>
        <v>47126</v>
      </c>
    </row>
    <row r="429" spans="1:10">
      <c r="A429" s="5">
        <v>190387</v>
      </c>
      <c r="B429" s="5" t="s">
        <v>10</v>
      </c>
      <c r="C429" s="5" t="s">
        <v>38</v>
      </c>
      <c r="D429" s="5" t="s">
        <v>30</v>
      </c>
      <c r="E429" s="5" t="s">
        <v>13</v>
      </c>
      <c r="F429" s="5" t="s">
        <v>14</v>
      </c>
      <c r="G429" s="5" t="s">
        <v>15</v>
      </c>
      <c r="H429" s="5">
        <v>177360</v>
      </c>
      <c r="I429" s="5">
        <v>521</v>
      </c>
      <c r="J429" s="6">
        <f t="shared" si="6"/>
        <v>176839</v>
      </c>
    </row>
    <row r="430" spans="1:10">
      <c r="A430" s="5">
        <v>38387</v>
      </c>
      <c r="B430" s="5" t="s">
        <v>16</v>
      </c>
      <c r="C430" s="5" t="s">
        <v>35</v>
      </c>
      <c r="D430" s="5" t="s">
        <v>30</v>
      </c>
      <c r="E430" s="5" t="s">
        <v>19</v>
      </c>
      <c r="F430" s="5" t="s">
        <v>14</v>
      </c>
      <c r="G430" s="5" t="s">
        <v>24</v>
      </c>
      <c r="H430" s="5">
        <v>103878</v>
      </c>
      <c r="I430" s="5">
        <v>6942</v>
      </c>
      <c r="J430" s="6">
        <f t="shared" si="6"/>
        <v>96936</v>
      </c>
    </row>
    <row r="431" spans="1:10">
      <c r="A431" s="5">
        <v>152262</v>
      </c>
      <c r="B431" s="5" t="s">
        <v>16</v>
      </c>
      <c r="C431" s="5" t="s">
        <v>22</v>
      </c>
      <c r="D431" s="5" t="s">
        <v>30</v>
      </c>
      <c r="E431" s="5" t="s">
        <v>19</v>
      </c>
      <c r="F431" s="5" t="s">
        <v>14</v>
      </c>
      <c r="G431" s="5" t="s">
        <v>24</v>
      </c>
      <c r="H431" s="5">
        <v>63636</v>
      </c>
      <c r="I431" s="5">
        <v>1077</v>
      </c>
      <c r="J431" s="6">
        <f t="shared" si="6"/>
        <v>62559</v>
      </c>
    </row>
    <row r="432" spans="1:10">
      <c r="A432" s="5">
        <v>183499</v>
      </c>
      <c r="B432" s="5" t="s">
        <v>16</v>
      </c>
      <c r="C432" s="5" t="s">
        <v>37</v>
      </c>
      <c r="D432" s="5" t="s">
        <v>33</v>
      </c>
      <c r="E432" s="5" t="s">
        <v>19</v>
      </c>
      <c r="F432" s="5" t="s">
        <v>28</v>
      </c>
      <c r="G432" s="5" t="s">
        <v>24</v>
      </c>
      <c r="H432" s="5">
        <v>38585</v>
      </c>
      <c r="I432" s="5">
        <v>737</v>
      </c>
      <c r="J432" s="6">
        <f t="shared" si="6"/>
        <v>37848</v>
      </c>
    </row>
    <row r="433" spans="1:10">
      <c r="A433" s="5">
        <v>198647</v>
      </c>
      <c r="B433" s="5" t="s">
        <v>16</v>
      </c>
      <c r="C433" s="5" t="s">
        <v>34</v>
      </c>
      <c r="D433" s="5" t="s">
        <v>33</v>
      </c>
      <c r="E433" s="5" t="s">
        <v>13</v>
      </c>
      <c r="F433" s="5" t="s">
        <v>14</v>
      </c>
      <c r="G433" s="5" t="s">
        <v>15</v>
      </c>
      <c r="H433" s="5">
        <v>13962</v>
      </c>
      <c r="I433" s="5">
        <v>99</v>
      </c>
      <c r="J433" s="6">
        <f t="shared" si="6"/>
        <v>13863</v>
      </c>
    </row>
    <row r="434" spans="1:10">
      <c r="A434" s="5">
        <v>221411</v>
      </c>
      <c r="B434" s="5" t="s">
        <v>16</v>
      </c>
      <c r="C434" s="5" t="s">
        <v>25</v>
      </c>
      <c r="D434" s="5" t="s">
        <v>12</v>
      </c>
      <c r="E434" s="5" t="s">
        <v>19</v>
      </c>
      <c r="F434" s="5" t="s">
        <v>14</v>
      </c>
      <c r="G434" s="5" t="s">
        <v>24</v>
      </c>
      <c r="H434" s="5">
        <v>34362</v>
      </c>
      <c r="I434" s="5">
        <v>3949</v>
      </c>
      <c r="J434" s="6">
        <f t="shared" si="6"/>
        <v>30413</v>
      </c>
    </row>
    <row r="435" spans="1:10">
      <c r="A435" s="5">
        <v>257043</v>
      </c>
      <c r="B435" s="5" t="s">
        <v>10</v>
      </c>
      <c r="C435" s="5" t="s">
        <v>17</v>
      </c>
      <c r="D435" s="5" t="s">
        <v>18</v>
      </c>
      <c r="E435" s="5" t="s">
        <v>19</v>
      </c>
      <c r="F435" s="5" t="s">
        <v>14</v>
      </c>
      <c r="G435" s="5" t="s">
        <v>15</v>
      </c>
      <c r="H435" s="5">
        <v>23269</v>
      </c>
      <c r="I435" s="5">
        <v>0</v>
      </c>
      <c r="J435" s="6">
        <f t="shared" si="6"/>
        <v>23269</v>
      </c>
    </row>
    <row r="436" spans="1:10">
      <c r="A436" s="5">
        <v>52701</v>
      </c>
      <c r="B436" s="5" t="s">
        <v>16</v>
      </c>
      <c r="C436" s="5" t="s">
        <v>35</v>
      </c>
      <c r="D436" s="5" t="s">
        <v>36</v>
      </c>
      <c r="E436" s="5" t="s">
        <v>19</v>
      </c>
      <c r="F436" s="5" t="s">
        <v>14</v>
      </c>
      <c r="G436" s="5" t="s">
        <v>15</v>
      </c>
      <c r="H436" s="5">
        <v>81530</v>
      </c>
      <c r="I436" s="5">
        <v>3849</v>
      </c>
      <c r="J436" s="6">
        <f t="shared" si="6"/>
        <v>77681</v>
      </c>
    </row>
    <row r="437" spans="1:10">
      <c r="A437" s="5">
        <v>129521</v>
      </c>
      <c r="B437" s="5" t="s">
        <v>10</v>
      </c>
      <c r="C437" s="5" t="s">
        <v>22</v>
      </c>
      <c r="D437" s="5" t="s">
        <v>12</v>
      </c>
      <c r="E437" s="5" t="s">
        <v>13</v>
      </c>
      <c r="F437" s="5" t="s">
        <v>14</v>
      </c>
      <c r="G437" s="5" t="s">
        <v>15</v>
      </c>
      <c r="H437" s="5">
        <v>87487</v>
      </c>
      <c r="I437" s="5">
        <v>159</v>
      </c>
      <c r="J437" s="6">
        <f t="shared" si="6"/>
        <v>87328</v>
      </c>
    </row>
    <row r="438" spans="1:10">
      <c r="A438" s="5">
        <v>135983</v>
      </c>
      <c r="B438" s="5" t="s">
        <v>10</v>
      </c>
      <c r="C438" s="5" t="s">
        <v>22</v>
      </c>
      <c r="D438" s="5" t="s">
        <v>26</v>
      </c>
      <c r="E438" s="5" t="s">
        <v>13</v>
      </c>
      <c r="F438" s="5" t="s">
        <v>14</v>
      </c>
      <c r="G438" s="5" t="s">
        <v>15</v>
      </c>
      <c r="H438" s="5">
        <v>84164</v>
      </c>
      <c r="I438" s="5">
        <v>2486</v>
      </c>
      <c r="J438" s="6">
        <f t="shared" si="6"/>
        <v>81678</v>
      </c>
    </row>
    <row r="439" spans="1:10">
      <c r="A439" s="5">
        <v>203631</v>
      </c>
      <c r="B439" s="5" t="s">
        <v>16</v>
      </c>
      <c r="C439" s="5" t="s">
        <v>37</v>
      </c>
      <c r="D439" s="5" t="s">
        <v>36</v>
      </c>
      <c r="E439" s="5" t="s">
        <v>19</v>
      </c>
      <c r="F439" s="5" t="s">
        <v>14</v>
      </c>
      <c r="G439" s="5" t="s">
        <v>24</v>
      </c>
      <c r="H439" s="5">
        <v>19278</v>
      </c>
      <c r="I439" s="5">
        <v>4388</v>
      </c>
      <c r="J439" s="6">
        <f t="shared" si="6"/>
        <v>14890</v>
      </c>
    </row>
    <row r="440" spans="1:10">
      <c r="A440" s="5">
        <v>45511</v>
      </c>
      <c r="B440" s="5" t="s">
        <v>16</v>
      </c>
      <c r="C440" s="5" t="s">
        <v>11</v>
      </c>
      <c r="D440" s="5" t="s">
        <v>32</v>
      </c>
      <c r="E440" s="5" t="s">
        <v>13</v>
      </c>
      <c r="F440" s="5" t="s">
        <v>14</v>
      </c>
      <c r="G440" s="5" t="s">
        <v>15</v>
      </c>
      <c r="H440" s="5">
        <v>28460</v>
      </c>
      <c r="I440" s="5">
        <v>0</v>
      </c>
      <c r="J440" s="6">
        <f t="shared" si="6"/>
        <v>28460</v>
      </c>
    </row>
    <row r="441" spans="1:10">
      <c r="A441" s="5">
        <v>12027</v>
      </c>
      <c r="B441" s="5" t="s">
        <v>16</v>
      </c>
      <c r="C441" s="5" t="s">
        <v>34</v>
      </c>
      <c r="D441" s="5" t="s">
        <v>33</v>
      </c>
      <c r="E441" s="5" t="s">
        <v>13</v>
      </c>
      <c r="F441" s="5" t="s">
        <v>14</v>
      </c>
      <c r="G441" s="5" t="s">
        <v>24</v>
      </c>
      <c r="H441" s="5">
        <v>20102</v>
      </c>
      <c r="I441" s="5">
        <v>265</v>
      </c>
      <c r="J441" s="6">
        <f t="shared" si="6"/>
        <v>19837</v>
      </c>
    </row>
    <row r="442" spans="1:10">
      <c r="A442" s="5">
        <v>177224</v>
      </c>
      <c r="B442" s="5" t="s">
        <v>16</v>
      </c>
      <c r="C442" s="5" t="s">
        <v>25</v>
      </c>
      <c r="D442" s="5" t="s">
        <v>33</v>
      </c>
      <c r="E442" s="5" t="s">
        <v>19</v>
      </c>
      <c r="F442" s="5" t="s">
        <v>14</v>
      </c>
      <c r="G442" s="5" t="s">
        <v>15</v>
      </c>
      <c r="H442" s="5">
        <v>86061</v>
      </c>
      <c r="I442" s="5">
        <v>7967</v>
      </c>
      <c r="J442" s="6">
        <f t="shared" si="6"/>
        <v>78094</v>
      </c>
    </row>
    <row r="443" spans="1:10">
      <c r="A443" s="5">
        <v>193137</v>
      </c>
      <c r="B443" s="5" t="s">
        <v>16</v>
      </c>
      <c r="C443" s="5" t="s">
        <v>11</v>
      </c>
      <c r="D443" s="5" t="s">
        <v>33</v>
      </c>
      <c r="E443" s="5" t="s">
        <v>13</v>
      </c>
      <c r="F443" s="5" t="s">
        <v>14</v>
      </c>
      <c r="G443" s="5" t="s">
        <v>24</v>
      </c>
      <c r="H443" s="5">
        <v>34008</v>
      </c>
      <c r="I443" s="5">
        <v>409</v>
      </c>
      <c r="J443" s="6">
        <f t="shared" si="6"/>
        <v>33599</v>
      </c>
    </row>
    <row r="444" spans="1:10">
      <c r="A444" s="5">
        <v>74519</v>
      </c>
      <c r="B444" s="5" t="s">
        <v>16</v>
      </c>
      <c r="C444" s="5" t="s">
        <v>27</v>
      </c>
      <c r="D444" s="5" t="s">
        <v>30</v>
      </c>
      <c r="E444" s="5" t="s">
        <v>13</v>
      </c>
      <c r="F444" s="5" t="s">
        <v>14</v>
      </c>
      <c r="G444" s="5" t="s">
        <v>15</v>
      </c>
      <c r="H444" s="5">
        <v>65604</v>
      </c>
      <c r="I444" s="5">
        <v>15205</v>
      </c>
      <c r="J444" s="6">
        <f t="shared" si="6"/>
        <v>50399</v>
      </c>
    </row>
    <row r="445" spans="1:10">
      <c r="A445" s="5">
        <v>26341</v>
      </c>
      <c r="B445" s="5" t="s">
        <v>16</v>
      </c>
      <c r="C445" s="5" t="s">
        <v>20</v>
      </c>
      <c r="D445" s="5" t="s">
        <v>32</v>
      </c>
      <c r="E445" s="5" t="s">
        <v>13</v>
      </c>
      <c r="F445" s="5" t="s">
        <v>28</v>
      </c>
      <c r="G445" s="5" t="s">
        <v>24</v>
      </c>
      <c r="H445" s="5">
        <v>23041</v>
      </c>
      <c r="I445" s="5">
        <v>0</v>
      </c>
      <c r="J445" s="6">
        <f t="shared" si="6"/>
        <v>23041</v>
      </c>
    </row>
    <row r="446" spans="1:10">
      <c r="A446" s="5">
        <v>166089</v>
      </c>
      <c r="B446" s="5" t="s">
        <v>10</v>
      </c>
      <c r="C446" s="5" t="s">
        <v>27</v>
      </c>
      <c r="D446" s="5" t="s">
        <v>23</v>
      </c>
      <c r="E446" s="5" t="s">
        <v>19</v>
      </c>
      <c r="F446" s="5" t="s">
        <v>28</v>
      </c>
      <c r="G446" s="5" t="s">
        <v>15</v>
      </c>
      <c r="H446" s="5">
        <v>49826</v>
      </c>
      <c r="I446" s="5">
        <v>257</v>
      </c>
      <c r="J446" s="6">
        <f t="shared" si="6"/>
        <v>49569</v>
      </c>
    </row>
    <row r="447" spans="1:10">
      <c r="A447" s="5">
        <v>121980</v>
      </c>
      <c r="B447" s="5" t="s">
        <v>16</v>
      </c>
      <c r="C447" s="5" t="s">
        <v>22</v>
      </c>
      <c r="D447" s="5" t="s">
        <v>33</v>
      </c>
      <c r="E447" s="5" t="s">
        <v>19</v>
      </c>
      <c r="F447" s="5" t="s">
        <v>14</v>
      </c>
      <c r="G447" s="5" t="s">
        <v>15</v>
      </c>
      <c r="H447" s="5">
        <v>53978</v>
      </c>
      <c r="I447" s="5">
        <v>3983</v>
      </c>
      <c r="J447" s="6">
        <f t="shared" si="6"/>
        <v>49995</v>
      </c>
    </row>
    <row r="448" spans="1:10">
      <c r="A448" s="5">
        <v>71975</v>
      </c>
      <c r="B448" s="5" t="s">
        <v>16</v>
      </c>
      <c r="C448" s="5" t="s">
        <v>27</v>
      </c>
      <c r="D448" s="5" t="s">
        <v>30</v>
      </c>
      <c r="E448" s="5" t="s">
        <v>19</v>
      </c>
      <c r="F448" s="5" t="s">
        <v>28</v>
      </c>
      <c r="G448" s="5" t="s">
        <v>15</v>
      </c>
      <c r="H448" s="5">
        <v>45598</v>
      </c>
      <c r="I448" s="5">
        <v>4271</v>
      </c>
      <c r="J448" s="6">
        <f t="shared" si="6"/>
        <v>41327</v>
      </c>
    </row>
    <row r="449" spans="1:10">
      <c r="A449" s="5">
        <v>46864</v>
      </c>
      <c r="B449" s="5" t="s">
        <v>16</v>
      </c>
      <c r="C449" s="5" t="s">
        <v>34</v>
      </c>
      <c r="D449" s="5" t="s">
        <v>12</v>
      </c>
      <c r="E449" s="5" t="s">
        <v>19</v>
      </c>
      <c r="F449" s="5" t="s">
        <v>14</v>
      </c>
      <c r="G449" s="5" t="s">
        <v>15</v>
      </c>
      <c r="H449" s="5">
        <v>16347</v>
      </c>
      <c r="I449" s="5">
        <v>0</v>
      </c>
      <c r="J449" s="6">
        <f t="shared" si="6"/>
        <v>16347</v>
      </c>
    </row>
    <row r="450" spans="1:10">
      <c r="A450" s="5">
        <v>234024</v>
      </c>
      <c r="B450" s="5" t="s">
        <v>16</v>
      </c>
      <c r="C450" s="5" t="s">
        <v>17</v>
      </c>
      <c r="D450" s="5" t="s">
        <v>21</v>
      </c>
      <c r="E450" s="5" t="s">
        <v>13</v>
      </c>
      <c r="F450" s="5" t="s">
        <v>28</v>
      </c>
      <c r="G450" s="5" t="s">
        <v>24</v>
      </c>
      <c r="H450" s="5">
        <v>52820</v>
      </c>
      <c r="I450" s="5">
        <v>1692</v>
      </c>
      <c r="J450" s="6">
        <f t="shared" ref="J450:J513" si="7">H450-I450</f>
        <v>51128</v>
      </c>
    </row>
    <row r="451" spans="1:10">
      <c r="A451" s="5">
        <v>94855</v>
      </c>
      <c r="B451" s="5" t="s">
        <v>10</v>
      </c>
      <c r="C451" s="5" t="s">
        <v>37</v>
      </c>
      <c r="D451" s="5" t="s">
        <v>12</v>
      </c>
      <c r="E451" s="5" t="s">
        <v>13</v>
      </c>
      <c r="F451" s="5" t="s">
        <v>28</v>
      </c>
      <c r="G451" s="5" t="s">
        <v>15</v>
      </c>
      <c r="H451" s="5">
        <v>196896</v>
      </c>
      <c r="I451" s="5">
        <v>2282</v>
      </c>
      <c r="J451" s="6">
        <f t="shared" si="7"/>
        <v>194614</v>
      </c>
    </row>
    <row r="452" spans="1:10">
      <c r="A452" s="5">
        <v>72779</v>
      </c>
      <c r="B452" s="5" t="s">
        <v>10</v>
      </c>
      <c r="C452" s="5" t="s">
        <v>27</v>
      </c>
      <c r="D452" s="5" t="s">
        <v>23</v>
      </c>
      <c r="E452" s="5" t="s">
        <v>13</v>
      </c>
      <c r="F452" s="5" t="s">
        <v>14</v>
      </c>
      <c r="G452" s="5" t="s">
        <v>15</v>
      </c>
      <c r="H452" s="5">
        <v>68475</v>
      </c>
      <c r="I452" s="5">
        <v>1263</v>
      </c>
      <c r="J452" s="6">
        <f t="shared" si="7"/>
        <v>67212</v>
      </c>
    </row>
    <row r="453" spans="1:10">
      <c r="A453" s="5">
        <v>223660</v>
      </c>
      <c r="B453" s="5" t="s">
        <v>16</v>
      </c>
      <c r="C453" s="5" t="s">
        <v>25</v>
      </c>
      <c r="D453" s="5" t="s">
        <v>18</v>
      </c>
      <c r="E453" s="5" t="s">
        <v>19</v>
      </c>
      <c r="F453" s="5" t="s">
        <v>14</v>
      </c>
      <c r="G453" s="5" t="s">
        <v>24</v>
      </c>
      <c r="H453" s="5">
        <v>22999</v>
      </c>
      <c r="I453" s="5">
        <v>105</v>
      </c>
      <c r="J453" s="6">
        <f t="shared" si="7"/>
        <v>22894</v>
      </c>
    </row>
    <row r="454" spans="1:10">
      <c r="A454" s="5">
        <v>127595</v>
      </c>
      <c r="B454" s="5" t="s">
        <v>10</v>
      </c>
      <c r="C454" s="5" t="s">
        <v>34</v>
      </c>
      <c r="D454" s="5" t="s">
        <v>30</v>
      </c>
      <c r="E454" s="5" t="s">
        <v>13</v>
      </c>
      <c r="F454" s="5" t="s">
        <v>28</v>
      </c>
      <c r="G454" s="5" t="s">
        <v>15</v>
      </c>
      <c r="H454" s="5">
        <v>112532</v>
      </c>
      <c r="I454" s="5">
        <v>2038</v>
      </c>
      <c r="J454" s="6">
        <f t="shared" si="7"/>
        <v>110494</v>
      </c>
    </row>
    <row r="455" spans="1:10">
      <c r="A455" s="5">
        <v>183779</v>
      </c>
      <c r="B455" s="5" t="s">
        <v>10</v>
      </c>
      <c r="C455" s="5" t="s">
        <v>37</v>
      </c>
      <c r="D455" s="5" t="s">
        <v>36</v>
      </c>
      <c r="E455" s="5" t="s">
        <v>19</v>
      </c>
      <c r="F455" s="5" t="s">
        <v>14</v>
      </c>
      <c r="G455" s="5" t="s">
        <v>24</v>
      </c>
      <c r="H455" s="5">
        <v>70096</v>
      </c>
      <c r="I455" s="5">
        <v>1626</v>
      </c>
      <c r="J455" s="6">
        <f t="shared" si="7"/>
        <v>68470</v>
      </c>
    </row>
    <row r="456" spans="1:10">
      <c r="A456" s="5">
        <v>236263</v>
      </c>
      <c r="B456" s="5" t="s">
        <v>10</v>
      </c>
      <c r="C456" s="5" t="s">
        <v>17</v>
      </c>
      <c r="D456" s="5" t="s">
        <v>36</v>
      </c>
      <c r="E456" s="5" t="s">
        <v>19</v>
      </c>
      <c r="F456" s="5" t="s">
        <v>28</v>
      </c>
      <c r="G456" s="5" t="s">
        <v>24</v>
      </c>
      <c r="H456" s="5">
        <v>51388</v>
      </c>
      <c r="I456" s="5">
        <v>0</v>
      </c>
      <c r="J456" s="6">
        <f t="shared" si="7"/>
        <v>51388</v>
      </c>
    </row>
    <row r="457" spans="1:10">
      <c r="A457" s="5">
        <v>218730</v>
      </c>
      <c r="B457" s="5" t="s">
        <v>10</v>
      </c>
      <c r="C457" s="5" t="s">
        <v>34</v>
      </c>
      <c r="D457" s="5" t="s">
        <v>33</v>
      </c>
      <c r="E457" s="5" t="s">
        <v>13</v>
      </c>
      <c r="F457" s="5" t="s">
        <v>14</v>
      </c>
      <c r="G457" s="5" t="s">
        <v>24</v>
      </c>
      <c r="H457" s="5">
        <v>80691</v>
      </c>
      <c r="I457" s="5">
        <v>1091</v>
      </c>
      <c r="J457" s="6">
        <f t="shared" si="7"/>
        <v>79600</v>
      </c>
    </row>
    <row r="458" spans="1:10">
      <c r="A458" s="5">
        <v>244216</v>
      </c>
      <c r="B458" s="5" t="s">
        <v>16</v>
      </c>
      <c r="C458" s="5" t="s">
        <v>35</v>
      </c>
      <c r="D458" s="5" t="s">
        <v>32</v>
      </c>
      <c r="E458" s="5" t="s">
        <v>13</v>
      </c>
      <c r="F458" s="5" t="s">
        <v>14</v>
      </c>
      <c r="G458" s="5" t="s">
        <v>24</v>
      </c>
      <c r="H458" s="5">
        <v>12875</v>
      </c>
      <c r="I458" s="5">
        <v>0</v>
      </c>
      <c r="J458" s="6">
        <f t="shared" si="7"/>
        <v>12875</v>
      </c>
    </row>
    <row r="459" spans="1:10">
      <c r="A459" s="5">
        <v>175921</v>
      </c>
      <c r="B459" s="5" t="s">
        <v>16</v>
      </c>
      <c r="C459" s="5" t="s">
        <v>25</v>
      </c>
      <c r="D459" s="5" t="s">
        <v>30</v>
      </c>
      <c r="E459" s="5" t="s">
        <v>13</v>
      </c>
      <c r="F459" s="5" t="s">
        <v>28</v>
      </c>
      <c r="G459" s="5" t="s">
        <v>15</v>
      </c>
      <c r="H459" s="5">
        <v>66797</v>
      </c>
      <c r="I459" s="5">
        <v>1379</v>
      </c>
      <c r="J459" s="6">
        <f t="shared" si="7"/>
        <v>65418</v>
      </c>
    </row>
    <row r="460" spans="1:10">
      <c r="A460" s="5">
        <v>169547</v>
      </c>
      <c r="B460" s="5" t="s">
        <v>10</v>
      </c>
      <c r="C460" s="5" t="s">
        <v>35</v>
      </c>
      <c r="D460" s="5" t="s">
        <v>29</v>
      </c>
      <c r="E460" s="5" t="s">
        <v>13</v>
      </c>
      <c r="F460" s="5" t="s">
        <v>28</v>
      </c>
      <c r="G460" s="5" t="s">
        <v>15</v>
      </c>
      <c r="H460" s="5">
        <v>60159</v>
      </c>
      <c r="I460" s="5">
        <v>0</v>
      </c>
      <c r="J460" s="6">
        <f t="shared" si="7"/>
        <v>60159</v>
      </c>
    </row>
    <row r="461" spans="1:10">
      <c r="A461" s="5">
        <v>149381</v>
      </c>
      <c r="B461" s="5" t="s">
        <v>10</v>
      </c>
      <c r="C461" s="5" t="s">
        <v>25</v>
      </c>
      <c r="D461" s="5" t="s">
        <v>18</v>
      </c>
      <c r="E461" s="5" t="s">
        <v>19</v>
      </c>
      <c r="F461" s="5" t="s">
        <v>14</v>
      </c>
      <c r="G461" s="5" t="s">
        <v>24</v>
      </c>
      <c r="H461" s="5">
        <v>2731</v>
      </c>
      <c r="I461" s="5">
        <v>0</v>
      </c>
      <c r="J461" s="6">
        <f t="shared" si="7"/>
        <v>2731</v>
      </c>
    </row>
    <row r="462" spans="1:10">
      <c r="A462" s="5">
        <v>87906</v>
      </c>
      <c r="B462" s="5" t="s">
        <v>16</v>
      </c>
      <c r="C462" s="5" t="s">
        <v>39</v>
      </c>
      <c r="D462" s="5" t="s">
        <v>36</v>
      </c>
      <c r="E462" s="5" t="s">
        <v>19</v>
      </c>
      <c r="F462" s="5" t="s">
        <v>14</v>
      </c>
      <c r="G462" s="5" t="s">
        <v>15</v>
      </c>
      <c r="H462" s="5">
        <v>60031</v>
      </c>
      <c r="I462" s="5">
        <v>3018</v>
      </c>
      <c r="J462" s="6">
        <f t="shared" si="7"/>
        <v>57013</v>
      </c>
    </row>
    <row r="463" spans="1:10">
      <c r="A463" s="5">
        <v>78327</v>
      </c>
      <c r="B463" s="5" t="s">
        <v>16</v>
      </c>
      <c r="C463" s="5" t="s">
        <v>27</v>
      </c>
      <c r="D463" s="5" t="s">
        <v>36</v>
      </c>
      <c r="E463" s="5" t="s">
        <v>19</v>
      </c>
      <c r="F463" s="5" t="s">
        <v>14</v>
      </c>
      <c r="G463" s="5" t="s">
        <v>24</v>
      </c>
      <c r="H463" s="5">
        <v>39657</v>
      </c>
      <c r="I463" s="5">
        <v>864</v>
      </c>
      <c r="J463" s="6">
        <f t="shared" si="7"/>
        <v>38793</v>
      </c>
    </row>
    <row r="464" spans="1:10">
      <c r="A464" s="5">
        <v>31266</v>
      </c>
      <c r="B464" s="5" t="s">
        <v>10</v>
      </c>
      <c r="C464" s="5" t="s">
        <v>11</v>
      </c>
      <c r="D464" s="5" t="s">
        <v>30</v>
      </c>
      <c r="E464" s="5" t="s">
        <v>19</v>
      </c>
      <c r="F464" s="5" t="s">
        <v>28</v>
      </c>
      <c r="G464" s="5" t="s">
        <v>15</v>
      </c>
      <c r="H464" s="5">
        <v>45622</v>
      </c>
      <c r="I464" s="5">
        <v>19379</v>
      </c>
      <c r="J464" s="6">
        <f t="shared" si="7"/>
        <v>26243</v>
      </c>
    </row>
    <row r="465" spans="1:10">
      <c r="A465" s="5">
        <v>26718</v>
      </c>
      <c r="B465" s="5" t="s">
        <v>16</v>
      </c>
      <c r="C465" s="5" t="s">
        <v>34</v>
      </c>
      <c r="D465" s="5" t="s">
        <v>30</v>
      </c>
      <c r="E465" s="5" t="s">
        <v>13</v>
      </c>
      <c r="F465" s="5" t="s">
        <v>14</v>
      </c>
      <c r="G465" s="5" t="s">
        <v>24</v>
      </c>
      <c r="H465" s="5">
        <v>76989</v>
      </c>
      <c r="I465" s="5">
        <v>1290</v>
      </c>
      <c r="J465" s="6">
        <f t="shared" si="7"/>
        <v>75699</v>
      </c>
    </row>
    <row r="466" spans="1:10">
      <c r="A466" s="5">
        <v>185729</v>
      </c>
      <c r="B466" s="5" t="s">
        <v>16</v>
      </c>
      <c r="C466" s="5" t="s">
        <v>39</v>
      </c>
      <c r="D466" s="5" t="s">
        <v>32</v>
      </c>
      <c r="E466" s="5" t="s">
        <v>19</v>
      </c>
      <c r="F466" s="5" t="s">
        <v>28</v>
      </c>
      <c r="G466" s="5" t="s">
        <v>24</v>
      </c>
      <c r="H466" s="5">
        <v>3687</v>
      </c>
      <c r="I466" s="5">
        <v>0</v>
      </c>
      <c r="J466" s="6">
        <f t="shared" si="7"/>
        <v>3687</v>
      </c>
    </row>
    <row r="467" spans="1:10">
      <c r="A467" s="5">
        <v>77260</v>
      </c>
      <c r="B467" s="5" t="s">
        <v>16</v>
      </c>
      <c r="C467" s="5" t="s">
        <v>34</v>
      </c>
      <c r="D467" s="5" t="s">
        <v>36</v>
      </c>
      <c r="E467" s="5" t="s">
        <v>19</v>
      </c>
      <c r="F467" s="5" t="s">
        <v>28</v>
      </c>
      <c r="G467" s="5" t="s">
        <v>24</v>
      </c>
      <c r="H467" s="5">
        <v>43819</v>
      </c>
      <c r="I467" s="5">
        <v>472</v>
      </c>
      <c r="J467" s="6">
        <f t="shared" si="7"/>
        <v>43347</v>
      </c>
    </row>
    <row r="468" spans="1:10">
      <c r="A468" s="5">
        <v>73894</v>
      </c>
      <c r="B468" s="5" t="s">
        <v>10</v>
      </c>
      <c r="C468" s="5" t="s">
        <v>27</v>
      </c>
      <c r="D468" s="5" t="s">
        <v>36</v>
      </c>
      <c r="E468" s="5" t="s">
        <v>19</v>
      </c>
      <c r="F468" s="5" t="s">
        <v>14</v>
      </c>
      <c r="G468" s="5" t="s">
        <v>24</v>
      </c>
      <c r="H468" s="5">
        <v>77295</v>
      </c>
      <c r="I468" s="5">
        <v>2441</v>
      </c>
      <c r="J468" s="6">
        <f t="shared" si="7"/>
        <v>74854</v>
      </c>
    </row>
    <row r="469" spans="1:10">
      <c r="A469" s="5">
        <v>249048</v>
      </c>
      <c r="B469" s="5" t="s">
        <v>10</v>
      </c>
      <c r="C469" s="5" t="s">
        <v>17</v>
      </c>
      <c r="D469" s="5" t="s">
        <v>26</v>
      </c>
      <c r="E469" s="5" t="s">
        <v>19</v>
      </c>
      <c r="F469" s="5" t="s">
        <v>28</v>
      </c>
      <c r="G469" s="5" t="s">
        <v>15</v>
      </c>
      <c r="H469" s="5">
        <v>57962</v>
      </c>
      <c r="I469" s="5">
        <v>4307</v>
      </c>
      <c r="J469" s="6">
        <f t="shared" si="7"/>
        <v>53655</v>
      </c>
    </row>
    <row r="470" spans="1:10">
      <c r="A470" s="5">
        <v>37325</v>
      </c>
      <c r="B470" s="5" t="s">
        <v>10</v>
      </c>
      <c r="C470" s="5" t="s">
        <v>35</v>
      </c>
      <c r="D470" s="5" t="s">
        <v>23</v>
      </c>
      <c r="E470" s="5" t="s">
        <v>13</v>
      </c>
      <c r="F470" s="5" t="s">
        <v>14</v>
      </c>
      <c r="G470" s="5" t="s">
        <v>15</v>
      </c>
      <c r="H470" s="5">
        <v>81639</v>
      </c>
      <c r="I470" s="5">
        <v>3385</v>
      </c>
      <c r="J470" s="6">
        <f t="shared" si="7"/>
        <v>78254</v>
      </c>
    </row>
    <row r="471" spans="1:10">
      <c r="A471" s="5">
        <v>187821</v>
      </c>
      <c r="B471" s="5" t="s">
        <v>10</v>
      </c>
      <c r="C471" s="5" t="s">
        <v>20</v>
      </c>
      <c r="D471" s="5" t="s">
        <v>32</v>
      </c>
      <c r="E471" s="5" t="s">
        <v>13</v>
      </c>
      <c r="F471" s="5" t="s">
        <v>14</v>
      </c>
      <c r="G471" s="5" t="s">
        <v>15</v>
      </c>
      <c r="H471" s="5">
        <v>8764</v>
      </c>
      <c r="I471" s="5">
        <v>0</v>
      </c>
      <c r="J471" s="6">
        <f t="shared" si="7"/>
        <v>8764</v>
      </c>
    </row>
    <row r="472" spans="1:10">
      <c r="A472" s="5">
        <v>15987</v>
      </c>
      <c r="B472" s="5" t="s">
        <v>10</v>
      </c>
      <c r="C472" s="5" t="s">
        <v>11</v>
      </c>
      <c r="D472" s="5" t="s">
        <v>36</v>
      </c>
      <c r="E472" s="5" t="s">
        <v>13</v>
      </c>
      <c r="F472" s="5" t="s">
        <v>14</v>
      </c>
      <c r="G472" s="5" t="s">
        <v>15</v>
      </c>
      <c r="H472" s="5">
        <v>144106</v>
      </c>
      <c r="I472" s="5">
        <v>7641</v>
      </c>
      <c r="J472" s="6">
        <f t="shared" si="7"/>
        <v>136465</v>
      </c>
    </row>
    <row r="473" spans="1:10">
      <c r="A473" s="5">
        <v>6290</v>
      </c>
      <c r="B473" s="5" t="s">
        <v>10</v>
      </c>
      <c r="C473" s="5" t="s">
        <v>38</v>
      </c>
      <c r="D473" s="5" t="s">
        <v>32</v>
      </c>
      <c r="E473" s="5" t="s">
        <v>19</v>
      </c>
      <c r="F473" s="5" t="s">
        <v>14</v>
      </c>
      <c r="G473" s="5" t="s">
        <v>15</v>
      </c>
      <c r="H473" s="5">
        <v>21902</v>
      </c>
      <c r="I473" s="5">
        <v>0</v>
      </c>
      <c r="J473" s="6">
        <f t="shared" si="7"/>
        <v>21902</v>
      </c>
    </row>
    <row r="474" spans="1:10">
      <c r="A474" s="5">
        <v>75024</v>
      </c>
      <c r="B474" s="5" t="s">
        <v>16</v>
      </c>
      <c r="C474" s="5" t="s">
        <v>27</v>
      </c>
      <c r="D474" s="5" t="s">
        <v>36</v>
      </c>
      <c r="E474" s="5" t="s">
        <v>19</v>
      </c>
      <c r="F474" s="5" t="s">
        <v>14</v>
      </c>
      <c r="G474" s="5" t="s">
        <v>24</v>
      </c>
      <c r="H474" s="5">
        <v>38707</v>
      </c>
      <c r="I474" s="5">
        <v>1531</v>
      </c>
      <c r="J474" s="6">
        <f t="shared" si="7"/>
        <v>37176</v>
      </c>
    </row>
    <row r="475" spans="1:10">
      <c r="A475" s="5">
        <v>40281</v>
      </c>
      <c r="B475" s="5" t="s">
        <v>10</v>
      </c>
      <c r="C475" s="5" t="s">
        <v>35</v>
      </c>
      <c r="D475" s="5" t="s">
        <v>12</v>
      </c>
      <c r="E475" s="5" t="s">
        <v>13</v>
      </c>
      <c r="F475" s="5" t="s">
        <v>14</v>
      </c>
      <c r="G475" s="5" t="s">
        <v>24</v>
      </c>
      <c r="H475" s="5">
        <v>67891</v>
      </c>
      <c r="I475" s="5">
        <v>2932</v>
      </c>
      <c r="J475" s="6">
        <f t="shared" si="7"/>
        <v>64959</v>
      </c>
    </row>
    <row r="476" spans="1:10">
      <c r="A476" s="5">
        <v>220032</v>
      </c>
      <c r="B476" s="5" t="s">
        <v>16</v>
      </c>
      <c r="C476" s="5" t="s">
        <v>22</v>
      </c>
      <c r="D476" s="5" t="s">
        <v>30</v>
      </c>
      <c r="E476" s="5" t="s">
        <v>19</v>
      </c>
      <c r="F476" s="5" t="s">
        <v>28</v>
      </c>
      <c r="G476" s="5" t="s">
        <v>15</v>
      </c>
      <c r="H476" s="5">
        <v>144994</v>
      </c>
      <c r="I476" s="5">
        <v>5530</v>
      </c>
      <c r="J476" s="6">
        <f t="shared" si="7"/>
        <v>139464</v>
      </c>
    </row>
    <row r="477" spans="1:10">
      <c r="A477" s="5">
        <v>46724</v>
      </c>
      <c r="B477" s="5" t="s">
        <v>16</v>
      </c>
      <c r="C477" s="5" t="s">
        <v>35</v>
      </c>
      <c r="D477" s="5" t="s">
        <v>36</v>
      </c>
      <c r="E477" s="5" t="s">
        <v>13</v>
      </c>
      <c r="F477" s="5" t="s">
        <v>14</v>
      </c>
      <c r="G477" s="5" t="s">
        <v>24</v>
      </c>
      <c r="H477" s="5">
        <v>39871</v>
      </c>
      <c r="I477" s="5">
        <v>8274</v>
      </c>
      <c r="J477" s="6">
        <f t="shared" si="7"/>
        <v>31597</v>
      </c>
    </row>
    <row r="478" spans="1:10">
      <c r="A478" s="5">
        <v>139387</v>
      </c>
      <c r="B478" s="5" t="s">
        <v>10</v>
      </c>
      <c r="C478" s="5" t="s">
        <v>25</v>
      </c>
      <c r="D478" s="5" t="s">
        <v>23</v>
      </c>
      <c r="E478" s="5" t="s">
        <v>19</v>
      </c>
      <c r="F478" s="5" t="s">
        <v>28</v>
      </c>
      <c r="G478" s="5" t="s">
        <v>15</v>
      </c>
      <c r="H478" s="5">
        <v>97853</v>
      </c>
      <c r="I478" s="5">
        <v>576</v>
      </c>
      <c r="J478" s="6">
        <f t="shared" si="7"/>
        <v>97277</v>
      </c>
    </row>
    <row r="479" spans="1:10">
      <c r="A479" s="5">
        <v>99351</v>
      </c>
      <c r="B479" s="5" t="s">
        <v>10</v>
      </c>
      <c r="C479" s="5" t="s">
        <v>34</v>
      </c>
      <c r="D479" s="5" t="s">
        <v>29</v>
      </c>
      <c r="E479" s="5" t="s">
        <v>13</v>
      </c>
      <c r="F479" s="5" t="s">
        <v>14</v>
      </c>
      <c r="G479" s="5" t="s">
        <v>24</v>
      </c>
      <c r="H479" s="5">
        <v>60979</v>
      </c>
      <c r="I479" s="5">
        <v>1805</v>
      </c>
      <c r="J479" s="6">
        <f t="shared" si="7"/>
        <v>59174</v>
      </c>
    </row>
    <row r="480" spans="1:10">
      <c r="A480" s="5">
        <v>79595</v>
      </c>
      <c r="B480" s="5" t="s">
        <v>10</v>
      </c>
      <c r="C480" s="5" t="s">
        <v>39</v>
      </c>
      <c r="D480" s="5" t="s">
        <v>26</v>
      </c>
      <c r="E480" s="5" t="s">
        <v>13</v>
      </c>
      <c r="F480" s="5" t="s">
        <v>14</v>
      </c>
      <c r="G480" s="5" t="s">
        <v>15</v>
      </c>
      <c r="H480" s="5">
        <v>87680</v>
      </c>
      <c r="I480" s="5">
        <v>750</v>
      </c>
      <c r="J480" s="6">
        <f t="shared" si="7"/>
        <v>86930</v>
      </c>
    </row>
    <row r="481" spans="1:10">
      <c r="A481" s="5">
        <v>206957</v>
      </c>
      <c r="B481" s="5" t="s">
        <v>10</v>
      </c>
      <c r="C481" s="5" t="s">
        <v>38</v>
      </c>
      <c r="D481" s="5" t="s">
        <v>12</v>
      </c>
      <c r="E481" s="5" t="s">
        <v>13</v>
      </c>
      <c r="F481" s="5" t="s">
        <v>14</v>
      </c>
      <c r="G481" s="5" t="s">
        <v>15</v>
      </c>
      <c r="H481" s="5">
        <v>92333</v>
      </c>
      <c r="I481" s="5">
        <v>6486</v>
      </c>
      <c r="J481" s="6">
        <f t="shared" si="7"/>
        <v>85847</v>
      </c>
    </row>
    <row r="482" spans="1:10">
      <c r="A482" s="5">
        <v>29576</v>
      </c>
      <c r="B482" s="5" t="s">
        <v>10</v>
      </c>
      <c r="C482" s="5" t="s">
        <v>35</v>
      </c>
      <c r="D482" s="5" t="s">
        <v>23</v>
      </c>
      <c r="E482" s="5" t="s">
        <v>13</v>
      </c>
      <c r="F482" s="5" t="s">
        <v>28</v>
      </c>
      <c r="G482" s="5" t="s">
        <v>24</v>
      </c>
      <c r="H482" s="5">
        <v>72324</v>
      </c>
      <c r="I482" s="5">
        <v>5444</v>
      </c>
      <c r="J482" s="6">
        <f t="shared" si="7"/>
        <v>66880</v>
      </c>
    </row>
    <row r="483" spans="1:10">
      <c r="A483" s="5">
        <v>114135</v>
      </c>
      <c r="B483" s="5" t="s">
        <v>10</v>
      </c>
      <c r="C483" s="5" t="s">
        <v>22</v>
      </c>
      <c r="D483" s="5" t="s">
        <v>26</v>
      </c>
      <c r="E483" s="5" t="s">
        <v>19</v>
      </c>
      <c r="F483" s="5" t="s">
        <v>28</v>
      </c>
      <c r="G483" s="5" t="s">
        <v>24</v>
      </c>
      <c r="H483" s="5">
        <v>34884</v>
      </c>
      <c r="I483" s="5">
        <v>999</v>
      </c>
      <c r="J483" s="6">
        <f t="shared" si="7"/>
        <v>33885</v>
      </c>
    </row>
    <row r="484" spans="1:10">
      <c r="A484" s="5">
        <v>223583</v>
      </c>
      <c r="B484" s="5" t="s">
        <v>10</v>
      </c>
      <c r="C484" s="5" t="s">
        <v>25</v>
      </c>
      <c r="D484" s="5" t="s">
        <v>30</v>
      </c>
      <c r="E484" s="5" t="s">
        <v>19</v>
      </c>
      <c r="F484" s="5" t="s">
        <v>14</v>
      </c>
      <c r="G484" s="5" t="s">
        <v>15</v>
      </c>
      <c r="H484" s="5">
        <v>78906</v>
      </c>
      <c r="I484" s="5">
        <v>244</v>
      </c>
      <c r="J484" s="6">
        <f t="shared" si="7"/>
        <v>78662</v>
      </c>
    </row>
    <row r="485" spans="1:10">
      <c r="A485" s="5">
        <v>90156</v>
      </c>
      <c r="B485" s="5" t="s">
        <v>16</v>
      </c>
      <c r="C485" s="5" t="s">
        <v>38</v>
      </c>
      <c r="D485" s="5" t="s">
        <v>32</v>
      </c>
      <c r="E485" s="5" t="s">
        <v>13</v>
      </c>
      <c r="F485" s="5" t="s">
        <v>28</v>
      </c>
      <c r="G485" s="5" t="s">
        <v>24</v>
      </c>
      <c r="H485" s="5">
        <v>8035</v>
      </c>
      <c r="I485" s="5">
        <v>0</v>
      </c>
      <c r="J485" s="6">
        <f t="shared" si="7"/>
        <v>8035</v>
      </c>
    </row>
    <row r="486" spans="1:10">
      <c r="A486" s="5">
        <v>24234</v>
      </c>
      <c r="B486" s="5" t="s">
        <v>16</v>
      </c>
      <c r="C486" s="5" t="s">
        <v>11</v>
      </c>
      <c r="D486" s="5" t="s">
        <v>30</v>
      </c>
      <c r="E486" s="5" t="s">
        <v>13</v>
      </c>
      <c r="F486" s="5" t="s">
        <v>14</v>
      </c>
      <c r="G486" s="5" t="s">
        <v>15</v>
      </c>
      <c r="H486" s="5">
        <v>34772</v>
      </c>
      <c r="I486" s="5">
        <v>3448</v>
      </c>
      <c r="J486" s="6">
        <f t="shared" si="7"/>
        <v>31324</v>
      </c>
    </row>
    <row r="487" spans="1:10">
      <c r="A487" s="5">
        <v>5389</v>
      </c>
      <c r="B487" s="5" t="s">
        <v>16</v>
      </c>
      <c r="C487" s="5" t="s">
        <v>37</v>
      </c>
      <c r="D487" s="5" t="s">
        <v>26</v>
      </c>
      <c r="E487" s="5" t="s">
        <v>13</v>
      </c>
      <c r="F487" s="5" t="s">
        <v>14</v>
      </c>
      <c r="G487" s="5" t="s">
        <v>24</v>
      </c>
      <c r="H487" s="5">
        <v>51584</v>
      </c>
      <c r="I487" s="5">
        <v>1079</v>
      </c>
      <c r="J487" s="6">
        <f t="shared" si="7"/>
        <v>50505</v>
      </c>
    </row>
    <row r="488" spans="1:10">
      <c r="A488" s="5">
        <v>86248</v>
      </c>
      <c r="B488" s="5" t="s">
        <v>10</v>
      </c>
      <c r="C488" s="5" t="s">
        <v>39</v>
      </c>
      <c r="D488" s="5" t="s">
        <v>12</v>
      </c>
      <c r="E488" s="5" t="s">
        <v>13</v>
      </c>
      <c r="F488" s="5" t="s">
        <v>14</v>
      </c>
      <c r="G488" s="5" t="s">
        <v>24</v>
      </c>
      <c r="H488" s="5">
        <v>43261</v>
      </c>
      <c r="I488" s="5">
        <v>0</v>
      </c>
      <c r="J488" s="6">
        <f t="shared" si="7"/>
        <v>43261</v>
      </c>
    </row>
    <row r="489" spans="1:10">
      <c r="A489" s="5">
        <v>102378</v>
      </c>
      <c r="B489" s="5" t="s">
        <v>16</v>
      </c>
      <c r="C489" s="5" t="s">
        <v>34</v>
      </c>
      <c r="D489" s="5" t="s">
        <v>30</v>
      </c>
      <c r="E489" s="5" t="s">
        <v>13</v>
      </c>
      <c r="F489" s="5" t="s">
        <v>28</v>
      </c>
      <c r="G489" s="5" t="s">
        <v>15</v>
      </c>
      <c r="H489" s="5">
        <v>65772</v>
      </c>
      <c r="I489" s="5">
        <v>856</v>
      </c>
      <c r="J489" s="6">
        <f t="shared" si="7"/>
        <v>64916</v>
      </c>
    </row>
    <row r="490" spans="1:10">
      <c r="A490" s="5">
        <v>117780</v>
      </c>
      <c r="B490" s="5" t="s">
        <v>10</v>
      </c>
      <c r="C490" s="5" t="s">
        <v>27</v>
      </c>
      <c r="D490" s="5" t="s">
        <v>30</v>
      </c>
      <c r="E490" s="5" t="s">
        <v>13</v>
      </c>
      <c r="F490" s="5" t="s">
        <v>14</v>
      </c>
      <c r="G490" s="5" t="s">
        <v>15</v>
      </c>
      <c r="H490" s="5">
        <v>133661</v>
      </c>
      <c r="I490" s="5">
        <v>6493</v>
      </c>
      <c r="J490" s="6">
        <f t="shared" si="7"/>
        <v>127168</v>
      </c>
    </row>
    <row r="491" spans="1:10">
      <c r="A491" s="5">
        <v>26057</v>
      </c>
      <c r="B491" s="5" t="s">
        <v>16</v>
      </c>
      <c r="C491" s="5" t="s">
        <v>11</v>
      </c>
      <c r="D491" s="5" t="s">
        <v>30</v>
      </c>
      <c r="E491" s="5" t="s">
        <v>19</v>
      </c>
      <c r="F491" s="5" t="s">
        <v>14</v>
      </c>
      <c r="G491" s="5" t="s">
        <v>15</v>
      </c>
      <c r="H491" s="5">
        <v>77401</v>
      </c>
      <c r="I491" s="5">
        <v>1806</v>
      </c>
      <c r="J491" s="6">
        <f t="shared" si="7"/>
        <v>75595</v>
      </c>
    </row>
    <row r="492" spans="1:10">
      <c r="A492" s="5">
        <v>106196</v>
      </c>
      <c r="B492" s="5" t="s">
        <v>16</v>
      </c>
      <c r="C492" s="5" t="s">
        <v>17</v>
      </c>
      <c r="D492" s="5" t="s">
        <v>23</v>
      </c>
      <c r="E492" s="5" t="s">
        <v>19</v>
      </c>
      <c r="F492" s="5" t="s">
        <v>28</v>
      </c>
      <c r="G492" s="5" t="s">
        <v>15</v>
      </c>
      <c r="H492" s="5">
        <v>12723</v>
      </c>
      <c r="I492" s="5">
        <v>132</v>
      </c>
      <c r="J492" s="6">
        <f t="shared" si="7"/>
        <v>12591</v>
      </c>
    </row>
    <row r="493" spans="1:10">
      <c r="A493" s="5">
        <v>7825</v>
      </c>
      <c r="B493" s="5" t="s">
        <v>16</v>
      </c>
      <c r="C493" s="5" t="s">
        <v>37</v>
      </c>
      <c r="D493" s="5" t="s">
        <v>12</v>
      </c>
      <c r="E493" s="5" t="s">
        <v>13</v>
      </c>
      <c r="F493" s="5" t="s">
        <v>14</v>
      </c>
      <c r="G493" s="5" t="s">
        <v>24</v>
      </c>
      <c r="H493" s="5">
        <v>29394</v>
      </c>
      <c r="I493" s="5">
        <v>1053</v>
      </c>
      <c r="J493" s="6">
        <f t="shared" si="7"/>
        <v>28341</v>
      </c>
    </row>
    <row r="494" spans="1:10">
      <c r="A494" s="5">
        <v>155591</v>
      </c>
      <c r="B494" s="5" t="s">
        <v>16</v>
      </c>
      <c r="C494" s="5" t="s">
        <v>31</v>
      </c>
      <c r="D494" s="5" t="s">
        <v>36</v>
      </c>
      <c r="E494" s="5" t="s">
        <v>19</v>
      </c>
      <c r="F494" s="5" t="s">
        <v>28</v>
      </c>
      <c r="G494" s="5" t="s">
        <v>15</v>
      </c>
      <c r="H494" s="5">
        <v>39927</v>
      </c>
      <c r="I494" s="5">
        <v>0</v>
      </c>
      <c r="J494" s="6">
        <f t="shared" si="7"/>
        <v>39927</v>
      </c>
    </row>
    <row r="495" spans="1:10">
      <c r="A495" s="5">
        <v>39078</v>
      </c>
      <c r="B495" s="5" t="s">
        <v>10</v>
      </c>
      <c r="C495" s="5" t="s">
        <v>35</v>
      </c>
      <c r="D495" s="5" t="s">
        <v>23</v>
      </c>
      <c r="E495" s="5" t="s">
        <v>13</v>
      </c>
      <c r="F495" s="5" t="s">
        <v>28</v>
      </c>
      <c r="G495" s="5" t="s">
        <v>15</v>
      </c>
      <c r="H495" s="5">
        <v>130740</v>
      </c>
      <c r="I495" s="5">
        <v>893</v>
      </c>
      <c r="J495" s="6">
        <f t="shared" si="7"/>
        <v>129847</v>
      </c>
    </row>
    <row r="496" spans="1:10">
      <c r="A496" s="5">
        <v>205166</v>
      </c>
      <c r="B496" s="5" t="s">
        <v>16</v>
      </c>
      <c r="C496" s="5" t="s">
        <v>34</v>
      </c>
      <c r="D496" s="5" t="s">
        <v>21</v>
      </c>
      <c r="E496" s="5" t="s">
        <v>13</v>
      </c>
      <c r="F496" s="5" t="s">
        <v>28</v>
      </c>
      <c r="G496" s="5" t="s">
        <v>24</v>
      </c>
      <c r="H496" s="5">
        <v>46461</v>
      </c>
      <c r="I496" s="5">
        <v>274</v>
      </c>
      <c r="J496" s="6">
        <f t="shared" si="7"/>
        <v>46187</v>
      </c>
    </row>
    <row r="497" spans="1:10">
      <c r="A497" s="5">
        <v>212188</v>
      </c>
      <c r="B497" s="5" t="s">
        <v>16</v>
      </c>
      <c r="C497" s="5" t="s">
        <v>37</v>
      </c>
      <c r="D497" s="5" t="s">
        <v>33</v>
      </c>
      <c r="E497" s="5" t="s">
        <v>19</v>
      </c>
      <c r="F497" s="5" t="s">
        <v>14</v>
      </c>
      <c r="G497" s="5" t="s">
        <v>24</v>
      </c>
      <c r="H497" s="5">
        <v>67632</v>
      </c>
      <c r="I497" s="5">
        <v>281</v>
      </c>
      <c r="J497" s="6">
        <f t="shared" si="7"/>
        <v>67351</v>
      </c>
    </row>
    <row r="498" spans="1:10">
      <c r="A498" s="5">
        <v>22419</v>
      </c>
      <c r="B498" s="5" t="s">
        <v>10</v>
      </c>
      <c r="C498" s="5" t="s">
        <v>11</v>
      </c>
      <c r="D498" s="5" t="s">
        <v>32</v>
      </c>
      <c r="E498" s="5" t="s">
        <v>13</v>
      </c>
      <c r="F498" s="5" t="s">
        <v>14</v>
      </c>
      <c r="G498" s="5" t="s">
        <v>15</v>
      </c>
      <c r="H498" s="5">
        <v>110728</v>
      </c>
      <c r="I498" s="5">
        <v>0</v>
      </c>
      <c r="J498" s="6">
        <f t="shared" si="7"/>
        <v>110728</v>
      </c>
    </row>
    <row r="499" spans="1:10">
      <c r="A499" s="5">
        <v>82244</v>
      </c>
      <c r="B499" s="5" t="s">
        <v>10</v>
      </c>
      <c r="C499" s="5" t="s">
        <v>37</v>
      </c>
      <c r="D499" s="5" t="s">
        <v>32</v>
      </c>
      <c r="E499" s="5" t="s">
        <v>19</v>
      </c>
      <c r="F499" s="5" t="s">
        <v>14</v>
      </c>
      <c r="G499" s="5" t="s">
        <v>24</v>
      </c>
      <c r="H499" s="5">
        <v>2364</v>
      </c>
      <c r="I499" s="5">
        <v>201</v>
      </c>
      <c r="J499" s="6">
        <f t="shared" si="7"/>
        <v>2163</v>
      </c>
    </row>
    <row r="500" spans="1:10">
      <c r="A500" s="5">
        <v>75618</v>
      </c>
      <c r="B500" s="5" t="s">
        <v>16</v>
      </c>
      <c r="C500" s="5" t="s">
        <v>27</v>
      </c>
      <c r="D500" s="5" t="s">
        <v>12</v>
      </c>
      <c r="E500" s="5" t="s">
        <v>13</v>
      </c>
      <c r="F500" s="5" t="s">
        <v>14</v>
      </c>
      <c r="G500" s="5" t="s">
        <v>15</v>
      </c>
      <c r="H500" s="5">
        <v>75547</v>
      </c>
      <c r="I500" s="5">
        <v>630</v>
      </c>
      <c r="J500" s="6">
        <f t="shared" si="7"/>
        <v>74917</v>
      </c>
    </row>
    <row r="501" spans="1:10">
      <c r="A501" s="5">
        <v>217563</v>
      </c>
      <c r="B501" s="5" t="s">
        <v>10</v>
      </c>
      <c r="C501" s="5" t="s">
        <v>38</v>
      </c>
      <c r="D501" s="5" t="s">
        <v>33</v>
      </c>
      <c r="E501" s="5" t="s">
        <v>13</v>
      </c>
      <c r="F501" s="5" t="s">
        <v>14</v>
      </c>
      <c r="G501" s="5" t="s">
        <v>15</v>
      </c>
      <c r="H501" s="5">
        <v>45100</v>
      </c>
      <c r="I501" s="5">
        <v>273</v>
      </c>
      <c r="J501" s="6">
        <f t="shared" si="7"/>
        <v>44827</v>
      </c>
    </row>
    <row r="502" spans="1:10">
      <c r="A502" s="5">
        <v>227714</v>
      </c>
      <c r="B502" s="5" t="s">
        <v>16</v>
      </c>
      <c r="C502" s="5" t="s">
        <v>17</v>
      </c>
      <c r="D502" s="5" t="s">
        <v>12</v>
      </c>
      <c r="E502" s="5" t="s">
        <v>19</v>
      </c>
      <c r="F502" s="5" t="s">
        <v>14</v>
      </c>
      <c r="G502" s="5" t="s">
        <v>15</v>
      </c>
      <c r="H502" s="5">
        <v>51449</v>
      </c>
      <c r="I502" s="5">
        <v>5316</v>
      </c>
      <c r="J502" s="6">
        <f t="shared" si="7"/>
        <v>46133</v>
      </c>
    </row>
    <row r="503" spans="1:10">
      <c r="A503" s="5">
        <v>40627</v>
      </c>
      <c r="B503" s="5" t="s">
        <v>10</v>
      </c>
      <c r="C503" s="5" t="s">
        <v>35</v>
      </c>
      <c r="D503" s="5" t="s">
        <v>29</v>
      </c>
      <c r="E503" s="5" t="s">
        <v>13</v>
      </c>
      <c r="F503" s="5" t="s">
        <v>14</v>
      </c>
      <c r="G503" s="5" t="s">
        <v>15</v>
      </c>
      <c r="H503" s="5">
        <v>111011</v>
      </c>
      <c r="I503" s="5">
        <v>160</v>
      </c>
      <c r="J503" s="6">
        <f t="shared" si="7"/>
        <v>110851</v>
      </c>
    </row>
    <row r="504" spans="1:10">
      <c r="A504" s="5">
        <v>198644</v>
      </c>
      <c r="B504" s="5" t="s">
        <v>10</v>
      </c>
      <c r="C504" s="5" t="s">
        <v>38</v>
      </c>
      <c r="D504" s="5" t="s">
        <v>29</v>
      </c>
      <c r="E504" s="5" t="s">
        <v>19</v>
      </c>
      <c r="F504" s="5" t="s">
        <v>14</v>
      </c>
      <c r="G504" s="5" t="s">
        <v>24</v>
      </c>
      <c r="H504" s="5">
        <v>99465</v>
      </c>
      <c r="I504" s="5">
        <v>15802</v>
      </c>
      <c r="J504" s="6">
        <f t="shared" si="7"/>
        <v>83663</v>
      </c>
    </row>
    <row r="505" spans="1:10">
      <c r="A505" s="5">
        <v>194736</v>
      </c>
      <c r="B505" s="5" t="s">
        <v>16</v>
      </c>
      <c r="C505" s="5" t="s">
        <v>37</v>
      </c>
      <c r="D505" s="5" t="s">
        <v>12</v>
      </c>
      <c r="E505" s="5" t="s">
        <v>19</v>
      </c>
      <c r="F505" s="5" t="s">
        <v>14</v>
      </c>
      <c r="G505" s="5" t="s">
        <v>15</v>
      </c>
      <c r="H505" s="5">
        <v>43529</v>
      </c>
      <c r="I505" s="5">
        <v>1919</v>
      </c>
      <c r="J505" s="6">
        <f t="shared" si="7"/>
        <v>41610</v>
      </c>
    </row>
    <row r="506" spans="1:10">
      <c r="A506" s="5">
        <v>93695</v>
      </c>
      <c r="B506" s="5" t="s">
        <v>10</v>
      </c>
      <c r="C506" s="5" t="s">
        <v>20</v>
      </c>
      <c r="D506" s="5" t="s">
        <v>32</v>
      </c>
      <c r="E506" s="5" t="s">
        <v>13</v>
      </c>
      <c r="F506" s="5" t="s">
        <v>14</v>
      </c>
      <c r="G506" s="5" t="s">
        <v>15</v>
      </c>
      <c r="H506" s="5">
        <v>57321</v>
      </c>
      <c r="I506" s="5">
        <v>1352</v>
      </c>
      <c r="J506" s="6">
        <f t="shared" si="7"/>
        <v>55969</v>
      </c>
    </row>
    <row r="507" spans="1:10">
      <c r="A507" s="5">
        <v>177062</v>
      </c>
      <c r="B507" s="5" t="s">
        <v>16</v>
      </c>
      <c r="C507" s="5" t="s">
        <v>25</v>
      </c>
      <c r="D507" s="5" t="s">
        <v>30</v>
      </c>
      <c r="E507" s="5" t="s">
        <v>13</v>
      </c>
      <c r="F507" s="5" t="s">
        <v>28</v>
      </c>
      <c r="G507" s="5" t="s">
        <v>24</v>
      </c>
      <c r="H507" s="5">
        <v>96524</v>
      </c>
      <c r="I507" s="5">
        <v>235</v>
      </c>
      <c r="J507" s="6">
        <f t="shared" si="7"/>
        <v>96289</v>
      </c>
    </row>
    <row r="508" spans="1:10">
      <c r="A508" s="5">
        <v>28691</v>
      </c>
      <c r="B508" s="5" t="s">
        <v>16</v>
      </c>
      <c r="C508" s="5" t="s">
        <v>35</v>
      </c>
      <c r="D508" s="5" t="s">
        <v>33</v>
      </c>
      <c r="E508" s="5" t="s">
        <v>13</v>
      </c>
      <c r="F508" s="5" t="s">
        <v>14</v>
      </c>
      <c r="G508" s="5" t="s">
        <v>24</v>
      </c>
      <c r="H508" s="5">
        <v>74897</v>
      </c>
      <c r="I508" s="5">
        <v>11511</v>
      </c>
      <c r="J508" s="6">
        <f t="shared" si="7"/>
        <v>63386</v>
      </c>
    </row>
    <row r="509" spans="1:10">
      <c r="A509" s="5">
        <v>216619</v>
      </c>
      <c r="B509" s="5" t="s">
        <v>10</v>
      </c>
      <c r="C509" s="5" t="s">
        <v>34</v>
      </c>
      <c r="D509" s="5" t="s">
        <v>29</v>
      </c>
      <c r="E509" s="5" t="s">
        <v>13</v>
      </c>
      <c r="F509" s="5" t="s">
        <v>14</v>
      </c>
      <c r="G509" s="5" t="s">
        <v>24</v>
      </c>
      <c r="H509" s="5">
        <v>84918</v>
      </c>
      <c r="I509" s="5">
        <v>4984</v>
      </c>
      <c r="J509" s="6">
        <f t="shared" si="7"/>
        <v>79934</v>
      </c>
    </row>
    <row r="510" spans="1:10">
      <c r="A510" s="5">
        <v>187319</v>
      </c>
      <c r="B510" s="5" t="s">
        <v>16</v>
      </c>
      <c r="C510" s="5" t="s">
        <v>20</v>
      </c>
      <c r="D510" s="5" t="s">
        <v>32</v>
      </c>
      <c r="E510" s="5" t="s">
        <v>19</v>
      </c>
      <c r="F510" s="5" t="s">
        <v>14</v>
      </c>
      <c r="G510" s="5" t="s">
        <v>15</v>
      </c>
      <c r="H510" s="5">
        <v>32111</v>
      </c>
      <c r="I510" s="5">
        <v>190</v>
      </c>
      <c r="J510" s="6">
        <f t="shared" si="7"/>
        <v>31921</v>
      </c>
    </row>
    <row r="511" spans="1:10">
      <c r="A511" s="5">
        <v>238726</v>
      </c>
      <c r="B511" s="5" t="s">
        <v>16</v>
      </c>
      <c r="C511" s="5" t="s">
        <v>17</v>
      </c>
      <c r="D511" s="5" t="s">
        <v>33</v>
      </c>
      <c r="E511" s="5" t="s">
        <v>19</v>
      </c>
      <c r="F511" s="5" t="s">
        <v>14</v>
      </c>
      <c r="G511" s="5" t="s">
        <v>24</v>
      </c>
      <c r="H511" s="5">
        <v>103097</v>
      </c>
      <c r="I511" s="5">
        <v>318</v>
      </c>
      <c r="J511" s="6">
        <f t="shared" si="7"/>
        <v>102779</v>
      </c>
    </row>
    <row r="512" spans="1:10">
      <c r="A512" s="5">
        <v>245866</v>
      </c>
      <c r="B512" s="5" t="s">
        <v>10</v>
      </c>
      <c r="C512" s="5" t="s">
        <v>17</v>
      </c>
      <c r="D512" s="5" t="s">
        <v>29</v>
      </c>
      <c r="E512" s="5" t="s">
        <v>19</v>
      </c>
      <c r="F512" s="5" t="s">
        <v>28</v>
      </c>
      <c r="G512" s="5" t="s">
        <v>24</v>
      </c>
      <c r="H512" s="5">
        <v>41222</v>
      </c>
      <c r="I512" s="5">
        <v>323</v>
      </c>
      <c r="J512" s="6">
        <f t="shared" si="7"/>
        <v>40899</v>
      </c>
    </row>
    <row r="513" spans="1:10">
      <c r="A513" s="5">
        <v>112478</v>
      </c>
      <c r="B513" s="5" t="s">
        <v>16</v>
      </c>
      <c r="C513" s="5" t="s">
        <v>22</v>
      </c>
      <c r="D513" s="5" t="s">
        <v>33</v>
      </c>
      <c r="E513" s="5" t="s">
        <v>13</v>
      </c>
      <c r="F513" s="5" t="s">
        <v>14</v>
      </c>
      <c r="G513" s="5" t="s">
        <v>15</v>
      </c>
      <c r="H513" s="5">
        <v>15263</v>
      </c>
      <c r="I513" s="5">
        <v>384</v>
      </c>
      <c r="J513" s="6">
        <f t="shared" si="7"/>
        <v>14879</v>
      </c>
    </row>
    <row r="514" spans="1:10">
      <c r="A514" s="5">
        <v>18289</v>
      </c>
      <c r="B514" s="5" t="s">
        <v>16</v>
      </c>
      <c r="C514" s="5" t="s">
        <v>11</v>
      </c>
      <c r="D514" s="5" t="s">
        <v>36</v>
      </c>
      <c r="E514" s="5" t="s">
        <v>13</v>
      </c>
      <c r="F514" s="5" t="s">
        <v>14</v>
      </c>
      <c r="G514" s="5" t="s">
        <v>24</v>
      </c>
      <c r="H514" s="5">
        <v>34985</v>
      </c>
      <c r="I514" s="5">
        <v>3365</v>
      </c>
      <c r="J514" s="6">
        <f t="shared" ref="J514:J577" si="8">H514-I514</f>
        <v>31620</v>
      </c>
    </row>
    <row r="515" spans="1:10">
      <c r="A515" s="5">
        <v>250653</v>
      </c>
      <c r="B515" s="5" t="s">
        <v>16</v>
      </c>
      <c r="C515" s="5" t="s">
        <v>17</v>
      </c>
      <c r="D515" s="5" t="s">
        <v>33</v>
      </c>
      <c r="E515" s="5" t="s">
        <v>19</v>
      </c>
      <c r="F515" s="5" t="s">
        <v>28</v>
      </c>
      <c r="G515" s="5" t="s">
        <v>15</v>
      </c>
      <c r="H515" s="5">
        <v>55677</v>
      </c>
      <c r="I515" s="5">
        <v>22</v>
      </c>
      <c r="J515" s="6">
        <f t="shared" si="8"/>
        <v>55655</v>
      </c>
    </row>
    <row r="516" spans="1:10">
      <c r="A516" s="5">
        <v>206747</v>
      </c>
      <c r="B516" s="5" t="s">
        <v>10</v>
      </c>
      <c r="C516" s="5" t="s">
        <v>11</v>
      </c>
      <c r="D516" s="5" t="s">
        <v>29</v>
      </c>
      <c r="E516" s="5" t="s">
        <v>19</v>
      </c>
      <c r="F516" s="5" t="s">
        <v>14</v>
      </c>
      <c r="G516" s="5" t="s">
        <v>24</v>
      </c>
      <c r="H516" s="5">
        <v>32695</v>
      </c>
      <c r="I516" s="5">
        <v>322</v>
      </c>
      <c r="J516" s="6">
        <f t="shared" si="8"/>
        <v>32373</v>
      </c>
    </row>
    <row r="517" spans="1:10">
      <c r="A517" s="5">
        <v>161848</v>
      </c>
      <c r="B517" s="5" t="s">
        <v>16</v>
      </c>
      <c r="C517" s="5" t="s">
        <v>25</v>
      </c>
      <c r="D517" s="5" t="s">
        <v>32</v>
      </c>
      <c r="E517" s="5" t="s">
        <v>13</v>
      </c>
      <c r="F517" s="5" t="s">
        <v>14</v>
      </c>
      <c r="G517" s="5" t="s">
        <v>15</v>
      </c>
      <c r="H517" s="5">
        <v>214767</v>
      </c>
      <c r="I517" s="5">
        <v>0</v>
      </c>
      <c r="J517" s="6">
        <f t="shared" si="8"/>
        <v>214767</v>
      </c>
    </row>
    <row r="518" spans="1:10">
      <c r="A518" s="5">
        <v>51805</v>
      </c>
      <c r="B518" s="5" t="s">
        <v>10</v>
      </c>
      <c r="C518" s="5" t="s">
        <v>35</v>
      </c>
      <c r="D518" s="5" t="s">
        <v>12</v>
      </c>
      <c r="E518" s="5" t="s">
        <v>19</v>
      </c>
      <c r="F518" s="5" t="s">
        <v>14</v>
      </c>
      <c r="G518" s="5" t="s">
        <v>24</v>
      </c>
      <c r="H518" s="5">
        <v>35588</v>
      </c>
      <c r="I518" s="5">
        <v>1600</v>
      </c>
      <c r="J518" s="6">
        <f t="shared" si="8"/>
        <v>33988</v>
      </c>
    </row>
    <row r="519" spans="1:10">
      <c r="A519" s="5">
        <v>134073</v>
      </c>
      <c r="B519" s="5" t="s">
        <v>16</v>
      </c>
      <c r="C519" s="5" t="s">
        <v>31</v>
      </c>
      <c r="D519" s="5" t="s">
        <v>33</v>
      </c>
      <c r="E519" s="5" t="s">
        <v>19</v>
      </c>
      <c r="F519" s="5" t="s">
        <v>14</v>
      </c>
      <c r="G519" s="5" t="s">
        <v>24</v>
      </c>
      <c r="H519" s="5">
        <v>38729</v>
      </c>
      <c r="I519" s="5">
        <v>0</v>
      </c>
      <c r="J519" s="6">
        <f t="shared" si="8"/>
        <v>38729</v>
      </c>
    </row>
    <row r="520" spans="1:10">
      <c r="A520" s="5">
        <v>114901</v>
      </c>
      <c r="B520" s="5" t="s">
        <v>10</v>
      </c>
      <c r="C520" s="5" t="s">
        <v>22</v>
      </c>
      <c r="D520" s="5" t="s">
        <v>32</v>
      </c>
      <c r="E520" s="5" t="s">
        <v>19</v>
      </c>
      <c r="F520" s="5" t="s">
        <v>14</v>
      </c>
      <c r="G520" s="5" t="s">
        <v>24</v>
      </c>
      <c r="H520" s="5">
        <v>19963</v>
      </c>
      <c r="I520" s="5">
        <v>0</v>
      </c>
      <c r="J520" s="6">
        <f t="shared" si="8"/>
        <v>19963</v>
      </c>
    </row>
    <row r="521" spans="1:10">
      <c r="A521" s="5">
        <v>24578</v>
      </c>
      <c r="B521" s="5" t="s">
        <v>16</v>
      </c>
      <c r="C521" s="5" t="s">
        <v>11</v>
      </c>
      <c r="D521" s="5" t="s">
        <v>32</v>
      </c>
      <c r="E521" s="5" t="s">
        <v>13</v>
      </c>
      <c r="F521" s="5" t="s">
        <v>14</v>
      </c>
      <c r="G521" s="5" t="s">
        <v>15</v>
      </c>
      <c r="H521" s="5">
        <v>33963</v>
      </c>
      <c r="I521" s="5">
        <v>0</v>
      </c>
      <c r="J521" s="6">
        <f t="shared" si="8"/>
        <v>33963</v>
      </c>
    </row>
    <row r="522" spans="1:10">
      <c r="A522" s="5">
        <v>78551</v>
      </c>
      <c r="B522" s="5" t="s">
        <v>16</v>
      </c>
      <c r="C522" s="5" t="s">
        <v>20</v>
      </c>
      <c r="D522" s="5" t="s">
        <v>21</v>
      </c>
      <c r="E522" s="5" t="s">
        <v>13</v>
      </c>
      <c r="F522" s="5" t="s">
        <v>14</v>
      </c>
      <c r="G522" s="5" t="s">
        <v>15</v>
      </c>
      <c r="H522" s="5">
        <v>-192</v>
      </c>
      <c r="I522" s="5">
        <v>0</v>
      </c>
      <c r="J522" s="6">
        <f t="shared" si="8"/>
        <v>-192</v>
      </c>
    </row>
    <row r="523" spans="1:10">
      <c r="A523" s="5">
        <v>210996</v>
      </c>
      <c r="B523" s="5" t="s">
        <v>10</v>
      </c>
      <c r="C523" s="5" t="s">
        <v>38</v>
      </c>
      <c r="D523" s="5" t="s">
        <v>23</v>
      </c>
      <c r="E523" s="5" t="s">
        <v>13</v>
      </c>
      <c r="F523" s="5" t="s">
        <v>14</v>
      </c>
      <c r="G523" s="5" t="s">
        <v>15</v>
      </c>
      <c r="H523" s="5">
        <v>87649</v>
      </c>
      <c r="I523" s="5">
        <v>1265</v>
      </c>
      <c r="J523" s="6">
        <f t="shared" si="8"/>
        <v>86384</v>
      </c>
    </row>
    <row r="524" spans="1:10">
      <c r="A524" s="5">
        <v>173575</v>
      </c>
      <c r="B524" s="5" t="s">
        <v>10</v>
      </c>
      <c r="C524" s="5" t="s">
        <v>27</v>
      </c>
      <c r="D524" s="5" t="s">
        <v>32</v>
      </c>
      <c r="E524" s="5" t="s">
        <v>13</v>
      </c>
      <c r="F524" s="5" t="s">
        <v>14</v>
      </c>
      <c r="G524" s="5" t="s">
        <v>15</v>
      </c>
      <c r="H524" s="5">
        <v>74993</v>
      </c>
      <c r="I524" s="5">
        <v>69</v>
      </c>
      <c r="J524" s="6">
        <f t="shared" si="8"/>
        <v>74924</v>
      </c>
    </row>
    <row r="525" spans="1:10">
      <c r="A525" s="5">
        <v>35088</v>
      </c>
      <c r="B525" s="5" t="s">
        <v>16</v>
      </c>
      <c r="C525" s="5" t="s">
        <v>35</v>
      </c>
      <c r="D525" s="5" t="s">
        <v>32</v>
      </c>
      <c r="E525" s="5" t="s">
        <v>13</v>
      </c>
      <c r="F525" s="5" t="s">
        <v>14</v>
      </c>
      <c r="G525" s="5" t="s">
        <v>15</v>
      </c>
      <c r="H525" s="5">
        <v>33402</v>
      </c>
      <c r="I525" s="5">
        <v>0</v>
      </c>
      <c r="J525" s="6">
        <f t="shared" si="8"/>
        <v>33402</v>
      </c>
    </row>
    <row r="526" spans="1:10">
      <c r="A526" s="5">
        <v>185786</v>
      </c>
      <c r="B526" s="5" t="s">
        <v>10</v>
      </c>
      <c r="C526" s="5" t="s">
        <v>39</v>
      </c>
      <c r="D526" s="5" t="s">
        <v>33</v>
      </c>
      <c r="E526" s="5" t="s">
        <v>13</v>
      </c>
      <c r="F526" s="5" t="s">
        <v>14</v>
      </c>
      <c r="G526" s="5" t="s">
        <v>15</v>
      </c>
      <c r="H526" s="5">
        <v>39656</v>
      </c>
      <c r="I526" s="5">
        <v>344</v>
      </c>
      <c r="J526" s="6">
        <f t="shared" si="8"/>
        <v>39312</v>
      </c>
    </row>
    <row r="527" spans="1:10">
      <c r="A527" s="5">
        <v>164270</v>
      </c>
      <c r="B527" s="5" t="s">
        <v>16</v>
      </c>
      <c r="C527" s="5" t="s">
        <v>25</v>
      </c>
      <c r="D527" s="5" t="s">
        <v>30</v>
      </c>
      <c r="E527" s="5" t="s">
        <v>19</v>
      </c>
      <c r="F527" s="5" t="s">
        <v>14</v>
      </c>
      <c r="G527" s="5" t="s">
        <v>24</v>
      </c>
      <c r="H527" s="5">
        <v>67007</v>
      </c>
      <c r="I527" s="5">
        <v>693</v>
      </c>
      <c r="J527" s="6">
        <f t="shared" si="8"/>
        <v>66314</v>
      </c>
    </row>
    <row r="528" spans="1:10">
      <c r="A528" s="5">
        <v>224088</v>
      </c>
      <c r="B528" s="5" t="s">
        <v>10</v>
      </c>
      <c r="C528" s="5" t="s">
        <v>25</v>
      </c>
      <c r="D528" s="5" t="s">
        <v>23</v>
      </c>
      <c r="E528" s="5" t="s">
        <v>13</v>
      </c>
      <c r="F528" s="5" t="s">
        <v>14</v>
      </c>
      <c r="G528" s="5" t="s">
        <v>15</v>
      </c>
      <c r="H528" s="5">
        <v>75178</v>
      </c>
      <c r="I528" s="5">
        <v>902</v>
      </c>
      <c r="J528" s="6">
        <f t="shared" si="8"/>
        <v>74276</v>
      </c>
    </row>
    <row r="529" spans="1:10">
      <c r="A529" s="5">
        <v>187047</v>
      </c>
      <c r="B529" s="5" t="s">
        <v>16</v>
      </c>
      <c r="C529" s="5" t="s">
        <v>38</v>
      </c>
      <c r="D529" s="5" t="s">
        <v>33</v>
      </c>
      <c r="E529" s="5" t="s">
        <v>13</v>
      </c>
      <c r="F529" s="5" t="s">
        <v>14</v>
      </c>
      <c r="G529" s="5" t="s">
        <v>15</v>
      </c>
      <c r="H529" s="5">
        <v>13433</v>
      </c>
      <c r="I529" s="5">
        <v>0</v>
      </c>
      <c r="J529" s="6">
        <f t="shared" si="8"/>
        <v>13433</v>
      </c>
    </row>
    <row r="530" spans="1:10">
      <c r="A530" s="5">
        <v>93720</v>
      </c>
      <c r="B530" s="5" t="s">
        <v>10</v>
      </c>
      <c r="C530" s="5" t="s">
        <v>20</v>
      </c>
      <c r="D530" s="5" t="s">
        <v>32</v>
      </c>
      <c r="E530" s="5" t="s">
        <v>13</v>
      </c>
      <c r="F530" s="5" t="s">
        <v>14</v>
      </c>
      <c r="G530" s="5" t="s">
        <v>15</v>
      </c>
      <c r="H530" s="5">
        <v>17622</v>
      </c>
      <c r="I530" s="5">
        <v>603</v>
      </c>
      <c r="J530" s="6">
        <f t="shared" si="8"/>
        <v>17019</v>
      </c>
    </row>
    <row r="531" spans="1:10">
      <c r="A531" s="5">
        <v>244437</v>
      </c>
      <c r="B531" s="5" t="s">
        <v>10</v>
      </c>
      <c r="C531" s="5" t="s">
        <v>17</v>
      </c>
      <c r="D531" s="5" t="s">
        <v>23</v>
      </c>
      <c r="E531" s="5" t="s">
        <v>19</v>
      </c>
      <c r="F531" s="5" t="s">
        <v>14</v>
      </c>
      <c r="G531" s="5" t="s">
        <v>24</v>
      </c>
      <c r="H531" s="5">
        <v>17979</v>
      </c>
      <c r="I531" s="5">
        <v>759</v>
      </c>
      <c r="J531" s="6">
        <f t="shared" si="8"/>
        <v>17220</v>
      </c>
    </row>
    <row r="532" spans="1:10">
      <c r="A532" s="5">
        <v>18498</v>
      </c>
      <c r="B532" s="5" t="s">
        <v>10</v>
      </c>
      <c r="C532" s="5" t="s">
        <v>11</v>
      </c>
      <c r="D532" s="5" t="s">
        <v>32</v>
      </c>
      <c r="E532" s="5" t="s">
        <v>13</v>
      </c>
      <c r="F532" s="5" t="s">
        <v>14</v>
      </c>
      <c r="G532" s="5" t="s">
        <v>15</v>
      </c>
      <c r="H532" s="5">
        <v>23328</v>
      </c>
      <c r="I532" s="5">
        <v>413</v>
      </c>
      <c r="J532" s="6">
        <f t="shared" si="8"/>
        <v>22915</v>
      </c>
    </row>
    <row r="533" spans="1:10">
      <c r="A533" s="5">
        <v>243191</v>
      </c>
      <c r="B533" s="5" t="s">
        <v>16</v>
      </c>
      <c r="C533" s="5" t="s">
        <v>11</v>
      </c>
      <c r="D533" s="5" t="s">
        <v>12</v>
      </c>
      <c r="E533" s="5" t="s">
        <v>13</v>
      </c>
      <c r="F533" s="5" t="s">
        <v>14</v>
      </c>
      <c r="G533" s="5" t="s">
        <v>24</v>
      </c>
      <c r="H533" s="5">
        <v>69146</v>
      </c>
      <c r="I533" s="5">
        <v>344</v>
      </c>
      <c r="J533" s="6">
        <f t="shared" si="8"/>
        <v>68802</v>
      </c>
    </row>
    <row r="534" spans="1:10">
      <c r="A534" s="5">
        <v>209392</v>
      </c>
      <c r="B534" s="5" t="s">
        <v>10</v>
      </c>
      <c r="C534" s="5" t="s">
        <v>38</v>
      </c>
      <c r="D534" s="5" t="s">
        <v>30</v>
      </c>
      <c r="E534" s="5" t="s">
        <v>13</v>
      </c>
      <c r="F534" s="5" t="s">
        <v>28</v>
      </c>
      <c r="G534" s="5" t="s">
        <v>15</v>
      </c>
      <c r="H534" s="5">
        <v>57304</v>
      </c>
      <c r="I534" s="5">
        <v>453</v>
      </c>
      <c r="J534" s="6">
        <f t="shared" si="8"/>
        <v>56851</v>
      </c>
    </row>
    <row r="535" spans="1:10">
      <c r="A535" s="5">
        <v>88731</v>
      </c>
      <c r="B535" s="5" t="s">
        <v>10</v>
      </c>
      <c r="C535" s="5" t="s">
        <v>20</v>
      </c>
      <c r="D535" s="5" t="s">
        <v>32</v>
      </c>
      <c r="E535" s="5" t="s">
        <v>13</v>
      </c>
      <c r="F535" s="5" t="s">
        <v>14</v>
      </c>
      <c r="G535" s="5" t="s">
        <v>15</v>
      </c>
      <c r="H535" s="5">
        <v>5908</v>
      </c>
      <c r="I535" s="5">
        <v>0</v>
      </c>
      <c r="J535" s="6">
        <f t="shared" si="8"/>
        <v>5908</v>
      </c>
    </row>
    <row r="536" spans="1:10">
      <c r="A536" s="5">
        <v>237983</v>
      </c>
      <c r="B536" s="5" t="s">
        <v>16</v>
      </c>
      <c r="C536" s="5" t="s">
        <v>25</v>
      </c>
      <c r="D536" s="5" t="s">
        <v>12</v>
      </c>
      <c r="E536" s="5" t="s">
        <v>19</v>
      </c>
      <c r="F536" s="5" t="s">
        <v>28</v>
      </c>
      <c r="G536" s="5" t="s">
        <v>15</v>
      </c>
      <c r="H536" s="5">
        <v>44531</v>
      </c>
      <c r="I536" s="5">
        <v>434</v>
      </c>
      <c r="J536" s="6">
        <f t="shared" si="8"/>
        <v>44097</v>
      </c>
    </row>
    <row r="537" spans="1:10">
      <c r="A537" s="5">
        <v>190555</v>
      </c>
      <c r="B537" s="5" t="s">
        <v>16</v>
      </c>
      <c r="C537" s="5" t="s">
        <v>34</v>
      </c>
      <c r="D537" s="5" t="s">
        <v>12</v>
      </c>
      <c r="E537" s="5" t="s">
        <v>13</v>
      </c>
      <c r="F537" s="5" t="s">
        <v>14</v>
      </c>
      <c r="G537" s="5" t="s">
        <v>15</v>
      </c>
      <c r="H537" s="5">
        <v>19884</v>
      </c>
      <c r="I537" s="5">
        <v>0</v>
      </c>
      <c r="J537" s="6">
        <f t="shared" si="8"/>
        <v>19884</v>
      </c>
    </row>
    <row r="538" spans="1:10">
      <c r="A538" s="5">
        <v>108809</v>
      </c>
      <c r="B538" s="5" t="s">
        <v>10</v>
      </c>
      <c r="C538" s="5" t="s">
        <v>17</v>
      </c>
      <c r="D538" s="5" t="s">
        <v>21</v>
      </c>
      <c r="E538" s="5" t="s">
        <v>19</v>
      </c>
      <c r="F538" s="5" t="s">
        <v>14</v>
      </c>
      <c r="G538" s="5" t="s">
        <v>24</v>
      </c>
      <c r="H538" s="5">
        <v>38875</v>
      </c>
      <c r="I538" s="5">
        <v>0</v>
      </c>
      <c r="J538" s="6">
        <f t="shared" si="8"/>
        <v>38875</v>
      </c>
    </row>
    <row r="539" spans="1:10">
      <c r="A539" s="5">
        <v>186195</v>
      </c>
      <c r="B539" s="5" t="s">
        <v>10</v>
      </c>
      <c r="C539" s="5" t="s">
        <v>20</v>
      </c>
      <c r="D539" s="5" t="s">
        <v>32</v>
      </c>
      <c r="E539" s="5" t="s">
        <v>13</v>
      </c>
      <c r="F539" s="5" t="s">
        <v>14</v>
      </c>
      <c r="G539" s="5" t="s">
        <v>15</v>
      </c>
      <c r="H539" s="5">
        <v>32784</v>
      </c>
      <c r="I539" s="5">
        <v>4378</v>
      </c>
      <c r="J539" s="6">
        <f t="shared" si="8"/>
        <v>28406</v>
      </c>
    </row>
    <row r="540" spans="1:10">
      <c r="A540" s="5">
        <v>130105</v>
      </c>
      <c r="B540" s="5" t="s">
        <v>16</v>
      </c>
      <c r="C540" s="5" t="s">
        <v>22</v>
      </c>
      <c r="D540" s="5" t="s">
        <v>36</v>
      </c>
      <c r="E540" s="5" t="s">
        <v>13</v>
      </c>
      <c r="F540" s="5" t="s">
        <v>14</v>
      </c>
      <c r="G540" s="5" t="s">
        <v>24</v>
      </c>
      <c r="H540" s="5">
        <v>1866</v>
      </c>
      <c r="I540" s="5">
        <v>0</v>
      </c>
      <c r="J540" s="6">
        <f t="shared" si="8"/>
        <v>1866</v>
      </c>
    </row>
    <row r="541" spans="1:10">
      <c r="A541" s="5">
        <v>30113</v>
      </c>
      <c r="B541" s="5" t="s">
        <v>16</v>
      </c>
      <c r="C541" s="5" t="s">
        <v>35</v>
      </c>
      <c r="D541" s="5" t="s">
        <v>12</v>
      </c>
      <c r="E541" s="5" t="s">
        <v>19</v>
      </c>
      <c r="F541" s="5" t="s">
        <v>14</v>
      </c>
      <c r="G541" s="5" t="s">
        <v>15</v>
      </c>
      <c r="H541" s="5">
        <v>81416</v>
      </c>
      <c r="I541" s="5">
        <v>7752</v>
      </c>
      <c r="J541" s="6">
        <f t="shared" si="8"/>
        <v>73664</v>
      </c>
    </row>
    <row r="542" spans="1:10">
      <c r="A542" s="5">
        <v>180305</v>
      </c>
      <c r="B542" s="5" t="s">
        <v>10</v>
      </c>
      <c r="C542" s="5" t="s">
        <v>31</v>
      </c>
      <c r="D542" s="5" t="s">
        <v>33</v>
      </c>
      <c r="E542" s="5" t="s">
        <v>19</v>
      </c>
      <c r="F542" s="5" t="s">
        <v>14</v>
      </c>
      <c r="G542" s="5" t="s">
        <v>24</v>
      </c>
      <c r="H542" s="5">
        <v>18203</v>
      </c>
      <c r="I542" s="5">
        <v>0</v>
      </c>
      <c r="J542" s="6">
        <f t="shared" si="8"/>
        <v>18203</v>
      </c>
    </row>
    <row r="543" spans="1:10">
      <c r="A543" s="5">
        <v>21972</v>
      </c>
      <c r="B543" s="5" t="s">
        <v>16</v>
      </c>
      <c r="C543" s="5" t="s">
        <v>11</v>
      </c>
      <c r="D543" s="5" t="s">
        <v>12</v>
      </c>
      <c r="E543" s="5" t="s">
        <v>13</v>
      </c>
      <c r="F543" s="5" t="s">
        <v>14</v>
      </c>
      <c r="G543" s="5" t="s">
        <v>15</v>
      </c>
      <c r="H543" s="5">
        <v>74260</v>
      </c>
      <c r="I543" s="5">
        <v>773</v>
      </c>
      <c r="J543" s="6">
        <f t="shared" si="8"/>
        <v>73487</v>
      </c>
    </row>
    <row r="544" spans="1:10">
      <c r="A544" s="5">
        <v>53320</v>
      </c>
      <c r="B544" s="5" t="s">
        <v>16</v>
      </c>
      <c r="C544" s="5" t="s">
        <v>35</v>
      </c>
      <c r="D544" s="5" t="s">
        <v>30</v>
      </c>
      <c r="E544" s="5" t="s">
        <v>13</v>
      </c>
      <c r="F544" s="5" t="s">
        <v>14</v>
      </c>
      <c r="G544" s="5" t="s">
        <v>15</v>
      </c>
      <c r="H544" s="5">
        <v>81360</v>
      </c>
      <c r="I544" s="5">
        <v>5743</v>
      </c>
      <c r="J544" s="6">
        <f t="shared" si="8"/>
        <v>75617</v>
      </c>
    </row>
    <row r="545" spans="1:10">
      <c r="A545" s="5">
        <v>252182</v>
      </c>
      <c r="B545" s="5" t="s">
        <v>10</v>
      </c>
      <c r="C545" s="5" t="s">
        <v>17</v>
      </c>
      <c r="D545" s="5" t="s">
        <v>21</v>
      </c>
      <c r="E545" s="5" t="s">
        <v>19</v>
      </c>
      <c r="F545" s="5" t="s">
        <v>14</v>
      </c>
      <c r="G545" s="5" t="s">
        <v>24</v>
      </c>
      <c r="H545" s="5">
        <v>73807</v>
      </c>
      <c r="I545" s="5">
        <v>4124</v>
      </c>
      <c r="J545" s="6">
        <f t="shared" si="8"/>
        <v>69683</v>
      </c>
    </row>
    <row r="546" spans="1:10">
      <c r="A546" s="5">
        <v>54439</v>
      </c>
      <c r="B546" s="5" t="s">
        <v>10</v>
      </c>
      <c r="C546" s="5" t="s">
        <v>35</v>
      </c>
      <c r="D546" s="5" t="s">
        <v>36</v>
      </c>
      <c r="E546" s="5" t="s">
        <v>13</v>
      </c>
      <c r="F546" s="5" t="s">
        <v>28</v>
      </c>
      <c r="G546" s="5" t="s">
        <v>24</v>
      </c>
      <c r="H546" s="5">
        <v>80476</v>
      </c>
      <c r="I546" s="5">
        <v>5412</v>
      </c>
      <c r="J546" s="6">
        <f t="shared" si="8"/>
        <v>75064</v>
      </c>
    </row>
    <row r="547" spans="1:10">
      <c r="A547" s="5">
        <v>76780</v>
      </c>
      <c r="B547" s="5" t="s">
        <v>16</v>
      </c>
      <c r="C547" s="5" t="s">
        <v>37</v>
      </c>
      <c r="D547" s="5" t="s">
        <v>12</v>
      </c>
      <c r="E547" s="5" t="s">
        <v>13</v>
      </c>
      <c r="F547" s="5" t="s">
        <v>14</v>
      </c>
      <c r="G547" s="5" t="s">
        <v>15</v>
      </c>
      <c r="H547" s="5">
        <v>69025</v>
      </c>
      <c r="I547" s="5">
        <v>576</v>
      </c>
      <c r="J547" s="6">
        <f t="shared" si="8"/>
        <v>68449</v>
      </c>
    </row>
    <row r="548" spans="1:10">
      <c r="A548" s="5">
        <v>143797</v>
      </c>
      <c r="B548" s="5" t="s">
        <v>10</v>
      </c>
      <c r="C548" s="5" t="s">
        <v>27</v>
      </c>
      <c r="D548" s="5" t="s">
        <v>30</v>
      </c>
      <c r="E548" s="5" t="s">
        <v>13</v>
      </c>
      <c r="F548" s="5" t="s">
        <v>14</v>
      </c>
      <c r="G548" s="5" t="s">
        <v>15</v>
      </c>
      <c r="H548" s="5">
        <v>185032</v>
      </c>
      <c r="I548" s="5">
        <v>14037</v>
      </c>
      <c r="J548" s="6">
        <f t="shared" si="8"/>
        <v>170995</v>
      </c>
    </row>
    <row r="549" spans="1:10">
      <c r="A549" s="5">
        <v>311</v>
      </c>
      <c r="B549" s="5" t="s">
        <v>10</v>
      </c>
      <c r="C549" s="5" t="s">
        <v>38</v>
      </c>
      <c r="D549" s="5" t="s">
        <v>26</v>
      </c>
      <c r="E549" s="5" t="s">
        <v>13</v>
      </c>
      <c r="F549" s="5" t="s">
        <v>14</v>
      </c>
      <c r="G549" s="5" t="s">
        <v>24</v>
      </c>
      <c r="H549" s="5">
        <v>17583</v>
      </c>
      <c r="I549" s="5">
        <v>0</v>
      </c>
      <c r="J549" s="6">
        <f t="shared" si="8"/>
        <v>17583</v>
      </c>
    </row>
    <row r="550" spans="1:10">
      <c r="A550" s="5">
        <v>132251</v>
      </c>
      <c r="B550" s="5" t="s">
        <v>10</v>
      </c>
      <c r="C550" s="5" t="s">
        <v>17</v>
      </c>
      <c r="D550" s="5" t="s">
        <v>21</v>
      </c>
      <c r="E550" s="5" t="s">
        <v>19</v>
      </c>
      <c r="F550" s="5" t="s">
        <v>14</v>
      </c>
      <c r="G550" s="5" t="s">
        <v>24</v>
      </c>
      <c r="H550" s="5">
        <v>29235</v>
      </c>
      <c r="I550" s="5">
        <v>8680</v>
      </c>
      <c r="J550" s="6">
        <f t="shared" si="8"/>
        <v>20555</v>
      </c>
    </row>
    <row r="551" spans="1:10">
      <c r="A551" s="5">
        <v>243415</v>
      </c>
      <c r="B551" s="5" t="s">
        <v>16</v>
      </c>
      <c r="C551" s="5" t="s">
        <v>25</v>
      </c>
      <c r="D551" s="5" t="s">
        <v>21</v>
      </c>
      <c r="E551" s="5" t="s">
        <v>19</v>
      </c>
      <c r="F551" s="5" t="s">
        <v>28</v>
      </c>
      <c r="G551" s="5" t="s">
        <v>24</v>
      </c>
      <c r="H551" s="5">
        <v>33514</v>
      </c>
      <c r="I551" s="5">
        <v>218</v>
      </c>
      <c r="J551" s="6">
        <f t="shared" si="8"/>
        <v>33296</v>
      </c>
    </row>
    <row r="552" spans="1:10">
      <c r="A552" s="5">
        <v>68976</v>
      </c>
      <c r="B552" s="5" t="s">
        <v>10</v>
      </c>
      <c r="C552" s="5" t="s">
        <v>27</v>
      </c>
      <c r="D552" s="5" t="s">
        <v>29</v>
      </c>
      <c r="E552" s="5" t="s">
        <v>13</v>
      </c>
      <c r="F552" s="5" t="s">
        <v>14</v>
      </c>
      <c r="G552" s="5" t="s">
        <v>24</v>
      </c>
      <c r="H552" s="5">
        <v>54436</v>
      </c>
      <c r="I552" s="5">
        <v>541</v>
      </c>
      <c r="J552" s="6">
        <f t="shared" si="8"/>
        <v>53895</v>
      </c>
    </row>
    <row r="553" spans="1:10">
      <c r="A553" s="5">
        <v>53435</v>
      </c>
      <c r="B553" s="5" t="s">
        <v>10</v>
      </c>
      <c r="C553" s="5" t="s">
        <v>35</v>
      </c>
      <c r="D553" s="5" t="s">
        <v>12</v>
      </c>
      <c r="E553" s="5" t="s">
        <v>19</v>
      </c>
      <c r="F553" s="5" t="s">
        <v>14</v>
      </c>
      <c r="G553" s="5" t="s">
        <v>24</v>
      </c>
      <c r="H553" s="5">
        <v>72866</v>
      </c>
      <c r="I553" s="5">
        <v>732</v>
      </c>
      <c r="J553" s="6">
        <f t="shared" si="8"/>
        <v>72134</v>
      </c>
    </row>
    <row r="554" spans="1:10">
      <c r="A554" s="5">
        <v>233092</v>
      </c>
      <c r="B554" s="5" t="s">
        <v>10</v>
      </c>
      <c r="C554" s="5" t="s">
        <v>22</v>
      </c>
      <c r="D554" s="5" t="s">
        <v>32</v>
      </c>
      <c r="E554" s="5" t="s">
        <v>13</v>
      </c>
      <c r="F554" s="5" t="s">
        <v>14</v>
      </c>
      <c r="G554" s="5" t="s">
        <v>15</v>
      </c>
      <c r="H554" s="5">
        <v>56080</v>
      </c>
      <c r="I554" s="5">
        <v>19</v>
      </c>
      <c r="J554" s="6">
        <f t="shared" si="8"/>
        <v>56061</v>
      </c>
    </row>
    <row r="555" spans="1:10">
      <c r="A555" s="5">
        <v>89886</v>
      </c>
      <c r="B555" s="5" t="s">
        <v>10</v>
      </c>
      <c r="C555" s="5" t="s">
        <v>39</v>
      </c>
      <c r="D555" s="5" t="s">
        <v>23</v>
      </c>
      <c r="E555" s="5" t="s">
        <v>13</v>
      </c>
      <c r="F555" s="5" t="s">
        <v>14</v>
      </c>
      <c r="G555" s="5" t="s">
        <v>24</v>
      </c>
      <c r="H555" s="5">
        <v>92216</v>
      </c>
      <c r="I555" s="5">
        <v>445</v>
      </c>
      <c r="J555" s="6">
        <f t="shared" si="8"/>
        <v>91771</v>
      </c>
    </row>
    <row r="556" spans="1:10">
      <c r="A556" s="5">
        <v>199563</v>
      </c>
      <c r="B556" s="5" t="s">
        <v>10</v>
      </c>
      <c r="C556" s="5" t="s">
        <v>38</v>
      </c>
      <c r="D556" s="5" t="s">
        <v>33</v>
      </c>
      <c r="E556" s="5" t="s">
        <v>13</v>
      </c>
      <c r="F556" s="5" t="s">
        <v>14</v>
      </c>
      <c r="G556" s="5" t="s">
        <v>15</v>
      </c>
      <c r="H556" s="5">
        <v>101435</v>
      </c>
      <c r="I556" s="5">
        <v>582</v>
      </c>
      <c r="J556" s="6">
        <f t="shared" si="8"/>
        <v>100853</v>
      </c>
    </row>
    <row r="557" spans="1:10">
      <c r="A557" s="5">
        <v>66419</v>
      </c>
      <c r="B557" s="5" t="s">
        <v>16</v>
      </c>
      <c r="C557" s="5" t="s">
        <v>27</v>
      </c>
      <c r="D557" s="5" t="s">
        <v>12</v>
      </c>
      <c r="E557" s="5" t="s">
        <v>19</v>
      </c>
      <c r="F557" s="5" t="s">
        <v>14</v>
      </c>
      <c r="G557" s="5" t="s">
        <v>24</v>
      </c>
      <c r="H557" s="5">
        <v>47949</v>
      </c>
      <c r="I557" s="5">
        <v>1474</v>
      </c>
      <c r="J557" s="6">
        <f t="shared" si="8"/>
        <v>46475</v>
      </c>
    </row>
    <row r="558" spans="1:10">
      <c r="A558" s="5">
        <v>112035</v>
      </c>
      <c r="B558" s="5" t="s">
        <v>10</v>
      </c>
      <c r="C558" s="5" t="s">
        <v>17</v>
      </c>
      <c r="D558" s="5" t="s">
        <v>32</v>
      </c>
      <c r="E558" s="5" t="s">
        <v>19</v>
      </c>
      <c r="F558" s="5" t="s">
        <v>14</v>
      </c>
      <c r="G558" s="5" t="s">
        <v>24</v>
      </c>
      <c r="H558" s="5">
        <v>41048</v>
      </c>
      <c r="I558" s="5">
        <v>0</v>
      </c>
      <c r="J558" s="6">
        <f t="shared" si="8"/>
        <v>41048</v>
      </c>
    </row>
    <row r="559" spans="1:10">
      <c r="A559" s="5">
        <v>11311</v>
      </c>
      <c r="B559" s="5" t="s">
        <v>10</v>
      </c>
      <c r="C559" s="5" t="s">
        <v>20</v>
      </c>
      <c r="D559" s="5" t="s">
        <v>32</v>
      </c>
      <c r="E559" s="5" t="s">
        <v>13</v>
      </c>
      <c r="F559" s="5" t="s">
        <v>14</v>
      </c>
      <c r="G559" s="5" t="s">
        <v>15</v>
      </c>
      <c r="H559" s="5">
        <v>22108</v>
      </c>
      <c r="I559" s="5">
        <v>585</v>
      </c>
      <c r="J559" s="6">
        <f t="shared" si="8"/>
        <v>21523</v>
      </c>
    </row>
    <row r="560" spans="1:10">
      <c r="A560" s="5">
        <v>197314</v>
      </c>
      <c r="B560" s="5" t="s">
        <v>16</v>
      </c>
      <c r="C560" s="5" t="s">
        <v>22</v>
      </c>
      <c r="D560" s="5" t="s">
        <v>18</v>
      </c>
      <c r="E560" s="5" t="s">
        <v>13</v>
      </c>
      <c r="F560" s="5" t="s">
        <v>14</v>
      </c>
      <c r="G560" s="5" t="s">
        <v>15</v>
      </c>
      <c r="H560" s="5">
        <v>106867</v>
      </c>
      <c r="I560" s="5">
        <v>378</v>
      </c>
      <c r="J560" s="6">
        <f t="shared" si="8"/>
        <v>106489</v>
      </c>
    </row>
    <row r="561" spans="1:10">
      <c r="A561" s="5">
        <v>131871</v>
      </c>
      <c r="B561" s="5" t="s">
        <v>10</v>
      </c>
      <c r="C561" s="5" t="s">
        <v>35</v>
      </c>
      <c r="D561" s="5" t="s">
        <v>26</v>
      </c>
      <c r="E561" s="5" t="s">
        <v>13</v>
      </c>
      <c r="F561" s="5" t="s">
        <v>14</v>
      </c>
      <c r="G561" s="5" t="s">
        <v>24</v>
      </c>
      <c r="H561" s="5">
        <v>13695</v>
      </c>
      <c r="I561" s="5">
        <v>0</v>
      </c>
      <c r="J561" s="6">
        <f t="shared" si="8"/>
        <v>13695</v>
      </c>
    </row>
    <row r="562" spans="1:10">
      <c r="A562" s="5">
        <v>187322</v>
      </c>
      <c r="B562" s="5" t="s">
        <v>10</v>
      </c>
      <c r="C562" s="5" t="s">
        <v>39</v>
      </c>
      <c r="D562" s="5" t="s">
        <v>32</v>
      </c>
      <c r="E562" s="5" t="s">
        <v>13</v>
      </c>
      <c r="F562" s="5" t="s">
        <v>14</v>
      </c>
      <c r="G562" s="5" t="s">
        <v>24</v>
      </c>
      <c r="H562" s="5">
        <v>29608</v>
      </c>
      <c r="I562" s="5">
        <v>1642</v>
      </c>
      <c r="J562" s="6">
        <f t="shared" si="8"/>
        <v>27966</v>
      </c>
    </row>
    <row r="563" spans="1:10">
      <c r="A563" s="5">
        <v>85203</v>
      </c>
      <c r="B563" s="5" t="s">
        <v>10</v>
      </c>
      <c r="C563" s="5" t="s">
        <v>34</v>
      </c>
      <c r="D563" s="5" t="s">
        <v>12</v>
      </c>
      <c r="E563" s="5" t="s">
        <v>13</v>
      </c>
      <c r="F563" s="5" t="s">
        <v>14</v>
      </c>
      <c r="G563" s="5" t="s">
        <v>15</v>
      </c>
      <c r="H563" s="5">
        <v>135187</v>
      </c>
      <c r="I563" s="5">
        <v>1483</v>
      </c>
      <c r="J563" s="6">
        <f t="shared" si="8"/>
        <v>133704</v>
      </c>
    </row>
    <row r="564" spans="1:10">
      <c r="A564" s="5">
        <v>224455</v>
      </c>
      <c r="B564" s="5" t="s">
        <v>16</v>
      </c>
      <c r="C564" s="5" t="s">
        <v>11</v>
      </c>
      <c r="D564" s="5" t="s">
        <v>36</v>
      </c>
      <c r="E564" s="5" t="s">
        <v>13</v>
      </c>
      <c r="F564" s="5" t="s">
        <v>14</v>
      </c>
      <c r="G564" s="5" t="s">
        <v>15</v>
      </c>
      <c r="H564" s="5">
        <v>5448</v>
      </c>
      <c r="I564" s="5">
        <v>0</v>
      </c>
      <c r="J564" s="6">
        <f t="shared" si="8"/>
        <v>5448</v>
      </c>
    </row>
    <row r="565" spans="1:10">
      <c r="A565" s="5">
        <v>21467</v>
      </c>
      <c r="B565" s="5" t="s">
        <v>16</v>
      </c>
      <c r="C565" s="5" t="s">
        <v>11</v>
      </c>
      <c r="D565" s="5" t="s">
        <v>12</v>
      </c>
      <c r="E565" s="5" t="s">
        <v>13</v>
      </c>
      <c r="F565" s="5" t="s">
        <v>14</v>
      </c>
      <c r="G565" s="5" t="s">
        <v>15</v>
      </c>
      <c r="H565" s="5">
        <v>57626</v>
      </c>
      <c r="I565" s="5">
        <v>1361</v>
      </c>
      <c r="J565" s="6">
        <f t="shared" si="8"/>
        <v>56265</v>
      </c>
    </row>
    <row r="566" spans="1:10">
      <c r="A566" s="5">
        <v>243829</v>
      </c>
      <c r="B566" s="5" t="s">
        <v>10</v>
      </c>
      <c r="C566" s="5" t="s">
        <v>25</v>
      </c>
      <c r="D566" s="5" t="s">
        <v>23</v>
      </c>
      <c r="E566" s="5" t="s">
        <v>19</v>
      </c>
      <c r="F566" s="5" t="s">
        <v>14</v>
      </c>
      <c r="G566" s="5" t="s">
        <v>24</v>
      </c>
      <c r="H566" s="5">
        <v>21353</v>
      </c>
      <c r="I566" s="5">
        <v>318</v>
      </c>
      <c r="J566" s="6">
        <f t="shared" si="8"/>
        <v>21035</v>
      </c>
    </row>
    <row r="567" spans="1:10">
      <c r="A567" s="5">
        <v>144949</v>
      </c>
      <c r="B567" s="5" t="s">
        <v>16</v>
      </c>
      <c r="C567" s="5" t="s">
        <v>22</v>
      </c>
      <c r="D567" s="5" t="s">
        <v>33</v>
      </c>
      <c r="E567" s="5" t="s">
        <v>19</v>
      </c>
      <c r="F567" s="5" t="s">
        <v>14</v>
      </c>
      <c r="G567" s="5" t="s">
        <v>24</v>
      </c>
      <c r="H567" s="5">
        <v>40308</v>
      </c>
      <c r="I567" s="5">
        <v>4473</v>
      </c>
      <c r="J567" s="6">
        <f t="shared" si="8"/>
        <v>35835</v>
      </c>
    </row>
    <row r="568" spans="1:10">
      <c r="A568" s="5">
        <v>235712</v>
      </c>
      <c r="B568" s="5" t="s">
        <v>16</v>
      </c>
      <c r="C568" s="5" t="s">
        <v>17</v>
      </c>
      <c r="D568" s="5" t="s">
        <v>33</v>
      </c>
      <c r="E568" s="5" t="s">
        <v>19</v>
      </c>
      <c r="F568" s="5" t="s">
        <v>14</v>
      </c>
      <c r="G568" s="5" t="s">
        <v>15</v>
      </c>
      <c r="H568" s="5">
        <v>59108</v>
      </c>
      <c r="I568" s="5">
        <v>2907</v>
      </c>
      <c r="J568" s="6">
        <f t="shared" si="8"/>
        <v>56201</v>
      </c>
    </row>
    <row r="569" spans="1:10">
      <c r="A569" s="5">
        <v>147336</v>
      </c>
      <c r="B569" s="5" t="s">
        <v>16</v>
      </c>
      <c r="C569" s="5" t="s">
        <v>25</v>
      </c>
      <c r="D569" s="5" t="s">
        <v>18</v>
      </c>
      <c r="E569" s="5" t="s">
        <v>13</v>
      </c>
      <c r="F569" s="5" t="s">
        <v>14</v>
      </c>
      <c r="G569" s="5" t="s">
        <v>24</v>
      </c>
      <c r="H569" s="5">
        <v>30611</v>
      </c>
      <c r="I569" s="5">
        <v>330</v>
      </c>
      <c r="J569" s="6">
        <f t="shared" si="8"/>
        <v>30281</v>
      </c>
    </row>
    <row r="570" spans="1:10">
      <c r="A570" s="5">
        <v>121735</v>
      </c>
      <c r="B570" s="5" t="s">
        <v>16</v>
      </c>
      <c r="C570" s="5" t="s">
        <v>11</v>
      </c>
      <c r="D570" s="5" t="s">
        <v>33</v>
      </c>
      <c r="E570" s="5" t="s">
        <v>13</v>
      </c>
      <c r="F570" s="5" t="s">
        <v>14</v>
      </c>
      <c r="G570" s="5" t="s">
        <v>15</v>
      </c>
      <c r="H570" s="5">
        <v>63198</v>
      </c>
      <c r="I570" s="5">
        <v>1036</v>
      </c>
      <c r="J570" s="6">
        <f t="shared" si="8"/>
        <v>62162</v>
      </c>
    </row>
    <row r="571" spans="1:10">
      <c r="A571" s="5">
        <v>212466</v>
      </c>
      <c r="B571" s="5" t="s">
        <v>16</v>
      </c>
      <c r="C571" s="5" t="s">
        <v>34</v>
      </c>
      <c r="D571" s="5" t="s">
        <v>26</v>
      </c>
      <c r="E571" s="5" t="s">
        <v>13</v>
      </c>
      <c r="F571" s="5" t="s">
        <v>28</v>
      </c>
      <c r="G571" s="5" t="s">
        <v>15</v>
      </c>
      <c r="H571" s="5">
        <v>19465</v>
      </c>
      <c r="I571" s="5">
        <v>340</v>
      </c>
      <c r="J571" s="6">
        <f t="shared" si="8"/>
        <v>19125</v>
      </c>
    </row>
    <row r="572" spans="1:10">
      <c r="A572" s="5">
        <v>254634</v>
      </c>
      <c r="B572" s="5" t="s">
        <v>10</v>
      </c>
      <c r="C572" s="5" t="s">
        <v>25</v>
      </c>
      <c r="D572" s="5" t="s">
        <v>30</v>
      </c>
      <c r="E572" s="5" t="s">
        <v>19</v>
      </c>
      <c r="F572" s="5" t="s">
        <v>14</v>
      </c>
      <c r="G572" s="5" t="s">
        <v>24</v>
      </c>
      <c r="H572" s="5">
        <v>42883</v>
      </c>
      <c r="I572" s="5">
        <v>3280</v>
      </c>
      <c r="J572" s="6">
        <f t="shared" si="8"/>
        <v>39603</v>
      </c>
    </row>
    <row r="573" spans="1:10">
      <c r="A573" s="5">
        <v>122603</v>
      </c>
      <c r="B573" s="5" t="s">
        <v>10</v>
      </c>
      <c r="C573" s="5" t="s">
        <v>25</v>
      </c>
      <c r="D573" s="5" t="s">
        <v>23</v>
      </c>
      <c r="E573" s="5" t="s">
        <v>19</v>
      </c>
      <c r="F573" s="5" t="s">
        <v>14</v>
      </c>
      <c r="G573" s="5" t="s">
        <v>15</v>
      </c>
      <c r="H573" s="5">
        <v>119172</v>
      </c>
      <c r="I573" s="5">
        <v>1221</v>
      </c>
      <c r="J573" s="6">
        <f t="shared" si="8"/>
        <v>117951</v>
      </c>
    </row>
    <row r="574" spans="1:10">
      <c r="A574" s="5">
        <v>243100</v>
      </c>
      <c r="B574" s="5" t="s">
        <v>16</v>
      </c>
      <c r="C574" s="5" t="s">
        <v>35</v>
      </c>
      <c r="D574" s="5" t="s">
        <v>12</v>
      </c>
      <c r="E574" s="5" t="s">
        <v>13</v>
      </c>
      <c r="F574" s="5" t="s">
        <v>14</v>
      </c>
      <c r="G574" s="5" t="s">
        <v>15</v>
      </c>
      <c r="H574" s="5">
        <v>66396</v>
      </c>
      <c r="I574" s="5">
        <v>2218</v>
      </c>
      <c r="J574" s="6">
        <f t="shared" si="8"/>
        <v>64178</v>
      </c>
    </row>
    <row r="575" spans="1:10">
      <c r="A575" s="5">
        <v>61103</v>
      </c>
      <c r="B575" s="5" t="s">
        <v>10</v>
      </c>
      <c r="C575" s="5" t="s">
        <v>27</v>
      </c>
      <c r="D575" s="5" t="s">
        <v>12</v>
      </c>
      <c r="E575" s="5" t="s">
        <v>13</v>
      </c>
      <c r="F575" s="5" t="s">
        <v>14</v>
      </c>
      <c r="G575" s="5" t="s">
        <v>15</v>
      </c>
      <c r="H575" s="5">
        <v>137693</v>
      </c>
      <c r="I575" s="5">
        <v>13658</v>
      </c>
      <c r="J575" s="6">
        <f t="shared" si="8"/>
        <v>124035</v>
      </c>
    </row>
    <row r="576" spans="1:10">
      <c r="A576" s="5">
        <v>205433</v>
      </c>
      <c r="B576" s="5" t="s">
        <v>10</v>
      </c>
      <c r="C576" s="5" t="s">
        <v>34</v>
      </c>
      <c r="D576" s="5" t="s">
        <v>18</v>
      </c>
      <c r="E576" s="5" t="s">
        <v>13</v>
      </c>
      <c r="F576" s="5" t="s">
        <v>14</v>
      </c>
      <c r="G576" s="5" t="s">
        <v>15</v>
      </c>
      <c r="H576" s="5">
        <v>87853</v>
      </c>
      <c r="I576" s="5">
        <v>9952</v>
      </c>
      <c r="J576" s="6">
        <f t="shared" si="8"/>
        <v>77901</v>
      </c>
    </row>
    <row r="577" spans="1:10">
      <c r="A577" s="5">
        <v>201186</v>
      </c>
      <c r="B577" s="5" t="s">
        <v>10</v>
      </c>
      <c r="C577" s="5" t="s">
        <v>38</v>
      </c>
      <c r="D577" s="5" t="s">
        <v>18</v>
      </c>
      <c r="E577" s="5" t="s">
        <v>19</v>
      </c>
      <c r="F577" s="5" t="s">
        <v>14</v>
      </c>
      <c r="G577" s="5" t="s">
        <v>15</v>
      </c>
      <c r="H577" s="5">
        <v>9631</v>
      </c>
      <c r="I577" s="5">
        <v>1085</v>
      </c>
      <c r="J577" s="6">
        <f t="shared" si="8"/>
        <v>8546</v>
      </c>
    </row>
    <row r="578" spans="1:10">
      <c r="A578" s="5">
        <v>193407</v>
      </c>
      <c r="B578" s="5" t="s">
        <v>10</v>
      </c>
      <c r="C578" s="5" t="s">
        <v>34</v>
      </c>
      <c r="D578" s="5" t="s">
        <v>29</v>
      </c>
      <c r="E578" s="5" t="s">
        <v>13</v>
      </c>
      <c r="F578" s="5" t="s">
        <v>14</v>
      </c>
      <c r="G578" s="5" t="s">
        <v>24</v>
      </c>
      <c r="H578" s="5">
        <v>80250</v>
      </c>
      <c r="I578" s="5">
        <v>20903</v>
      </c>
      <c r="J578" s="6">
        <f t="shared" ref="J578:J641" si="9">H578-I578</f>
        <v>59347</v>
      </c>
    </row>
    <row r="579" spans="1:10">
      <c r="A579" s="5">
        <v>1849</v>
      </c>
      <c r="B579" s="5" t="s">
        <v>10</v>
      </c>
      <c r="C579" s="5" t="s">
        <v>39</v>
      </c>
      <c r="D579" s="5" t="s">
        <v>23</v>
      </c>
      <c r="E579" s="5" t="s">
        <v>13</v>
      </c>
      <c r="F579" s="5" t="s">
        <v>14</v>
      </c>
      <c r="G579" s="5" t="s">
        <v>15</v>
      </c>
      <c r="H579" s="5">
        <v>34933</v>
      </c>
      <c r="I579" s="5">
        <v>1920</v>
      </c>
      <c r="J579" s="6">
        <f t="shared" si="9"/>
        <v>33013</v>
      </c>
    </row>
    <row r="580" spans="1:10">
      <c r="A580" s="5">
        <v>29995</v>
      </c>
      <c r="B580" s="5" t="s">
        <v>16</v>
      </c>
      <c r="C580" s="5" t="s">
        <v>35</v>
      </c>
      <c r="D580" s="5" t="s">
        <v>33</v>
      </c>
      <c r="E580" s="5" t="s">
        <v>13</v>
      </c>
      <c r="F580" s="5" t="s">
        <v>14</v>
      </c>
      <c r="G580" s="5" t="s">
        <v>15</v>
      </c>
      <c r="H580" s="5">
        <v>237801</v>
      </c>
      <c r="I580" s="5">
        <v>832</v>
      </c>
      <c r="J580" s="6">
        <f t="shared" si="9"/>
        <v>236969</v>
      </c>
    </row>
    <row r="581" spans="1:10">
      <c r="A581" s="5">
        <v>167309</v>
      </c>
      <c r="B581" s="5" t="s">
        <v>16</v>
      </c>
      <c r="C581" s="5" t="s">
        <v>22</v>
      </c>
      <c r="D581" s="5" t="s">
        <v>33</v>
      </c>
      <c r="E581" s="5" t="s">
        <v>13</v>
      </c>
      <c r="F581" s="5" t="s">
        <v>14</v>
      </c>
      <c r="G581" s="5" t="s">
        <v>15</v>
      </c>
      <c r="H581" s="5">
        <v>81663</v>
      </c>
      <c r="I581" s="5">
        <v>1090</v>
      </c>
      <c r="J581" s="6">
        <f t="shared" si="9"/>
        <v>80573</v>
      </c>
    </row>
    <row r="582" spans="1:10">
      <c r="A582" s="5">
        <v>184813</v>
      </c>
      <c r="B582" s="5" t="s">
        <v>10</v>
      </c>
      <c r="C582" s="5" t="s">
        <v>34</v>
      </c>
      <c r="D582" s="5" t="s">
        <v>32</v>
      </c>
      <c r="E582" s="5" t="s">
        <v>19</v>
      </c>
      <c r="F582" s="5" t="s">
        <v>14</v>
      </c>
      <c r="G582" s="5" t="s">
        <v>15</v>
      </c>
      <c r="H582" s="5">
        <v>91021</v>
      </c>
      <c r="I582" s="5">
        <v>865</v>
      </c>
      <c r="J582" s="6">
        <f t="shared" si="9"/>
        <v>90156</v>
      </c>
    </row>
    <row r="583" spans="1:10">
      <c r="A583" s="5">
        <v>169601</v>
      </c>
      <c r="B583" s="5" t="s">
        <v>16</v>
      </c>
      <c r="C583" s="5" t="s">
        <v>34</v>
      </c>
      <c r="D583" s="5" t="s">
        <v>32</v>
      </c>
      <c r="E583" s="5" t="s">
        <v>19</v>
      </c>
      <c r="F583" s="5" t="s">
        <v>14</v>
      </c>
      <c r="G583" s="5" t="s">
        <v>15</v>
      </c>
      <c r="H583" s="5">
        <v>4044</v>
      </c>
      <c r="I583" s="5">
        <v>378</v>
      </c>
      <c r="J583" s="6">
        <f t="shared" si="9"/>
        <v>3666</v>
      </c>
    </row>
    <row r="584" spans="1:10">
      <c r="A584" s="5">
        <v>54095</v>
      </c>
      <c r="B584" s="5" t="s">
        <v>16</v>
      </c>
      <c r="C584" s="5" t="s">
        <v>35</v>
      </c>
      <c r="D584" s="5" t="s">
        <v>33</v>
      </c>
      <c r="E584" s="5" t="s">
        <v>13</v>
      </c>
      <c r="F584" s="5" t="s">
        <v>14</v>
      </c>
      <c r="G584" s="5" t="s">
        <v>15</v>
      </c>
      <c r="H584" s="5">
        <v>5990</v>
      </c>
      <c r="I584" s="5">
        <v>271</v>
      </c>
      <c r="J584" s="6">
        <f t="shared" si="9"/>
        <v>5719</v>
      </c>
    </row>
    <row r="585" spans="1:10">
      <c r="A585" s="5">
        <v>169039</v>
      </c>
      <c r="B585" s="5" t="s">
        <v>10</v>
      </c>
      <c r="C585" s="5" t="s">
        <v>38</v>
      </c>
      <c r="D585" s="5" t="s">
        <v>21</v>
      </c>
      <c r="E585" s="5" t="s">
        <v>19</v>
      </c>
      <c r="F585" s="5" t="s">
        <v>14</v>
      </c>
      <c r="G585" s="5" t="s">
        <v>24</v>
      </c>
      <c r="H585" s="5">
        <v>62292</v>
      </c>
      <c r="I585" s="5">
        <v>896</v>
      </c>
      <c r="J585" s="6">
        <f t="shared" si="9"/>
        <v>61396</v>
      </c>
    </row>
    <row r="586" spans="1:10">
      <c r="A586" s="5">
        <v>204571</v>
      </c>
      <c r="B586" s="5" t="s">
        <v>16</v>
      </c>
      <c r="C586" s="5" t="s">
        <v>34</v>
      </c>
      <c r="D586" s="5" t="s">
        <v>30</v>
      </c>
      <c r="E586" s="5" t="s">
        <v>19</v>
      </c>
      <c r="F586" s="5" t="s">
        <v>14</v>
      </c>
      <c r="G586" s="5" t="s">
        <v>24</v>
      </c>
      <c r="H586" s="5">
        <v>105916</v>
      </c>
      <c r="I586" s="5">
        <v>2762</v>
      </c>
      <c r="J586" s="6">
        <f t="shared" si="9"/>
        <v>103154</v>
      </c>
    </row>
    <row r="587" spans="1:10">
      <c r="A587" s="5">
        <v>60814</v>
      </c>
      <c r="B587" s="5" t="s">
        <v>16</v>
      </c>
      <c r="C587" s="5" t="s">
        <v>11</v>
      </c>
      <c r="D587" s="5" t="s">
        <v>33</v>
      </c>
      <c r="E587" s="5" t="s">
        <v>13</v>
      </c>
      <c r="F587" s="5" t="s">
        <v>14</v>
      </c>
      <c r="G587" s="5" t="s">
        <v>15</v>
      </c>
      <c r="H587" s="5">
        <v>47672</v>
      </c>
      <c r="I587" s="5">
        <v>140</v>
      </c>
      <c r="J587" s="6">
        <f t="shared" si="9"/>
        <v>47532</v>
      </c>
    </row>
    <row r="588" spans="1:10">
      <c r="A588" s="5">
        <v>16942</v>
      </c>
      <c r="B588" s="5" t="s">
        <v>16</v>
      </c>
      <c r="C588" s="5" t="s">
        <v>20</v>
      </c>
      <c r="D588" s="5" t="s">
        <v>32</v>
      </c>
      <c r="E588" s="5" t="s">
        <v>13</v>
      </c>
      <c r="F588" s="5" t="s">
        <v>14</v>
      </c>
      <c r="G588" s="5" t="s">
        <v>15</v>
      </c>
      <c r="H588" s="5">
        <v>24936</v>
      </c>
      <c r="I588" s="5">
        <v>0</v>
      </c>
      <c r="J588" s="6">
        <f t="shared" si="9"/>
        <v>24936</v>
      </c>
    </row>
    <row r="589" spans="1:10">
      <c r="A589" s="5">
        <v>7186</v>
      </c>
      <c r="B589" s="5" t="s">
        <v>16</v>
      </c>
      <c r="C589" s="5" t="s">
        <v>38</v>
      </c>
      <c r="D589" s="5" t="s">
        <v>32</v>
      </c>
      <c r="E589" s="5" t="s">
        <v>13</v>
      </c>
      <c r="F589" s="5" t="s">
        <v>14</v>
      </c>
      <c r="G589" s="5" t="s">
        <v>15</v>
      </c>
      <c r="H589" s="5">
        <v>39321</v>
      </c>
      <c r="I589" s="5">
        <v>5554</v>
      </c>
      <c r="J589" s="6">
        <f t="shared" si="9"/>
        <v>33767</v>
      </c>
    </row>
    <row r="590" spans="1:10">
      <c r="A590" s="5">
        <v>70782</v>
      </c>
      <c r="B590" s="5" t="s">
        <v>16</v>
      </c>
      <c r="C590" s="5" t="s">
        <v>35</v>
      </c>
      <c r="D590" s="5" t="s">
        <v>32</v>
      </c>
      <c r="E590" s="5" t="s">
        <v>13</v>
      </c>
      <c r="F590" s="5" t="s">
        <v>14</v>
      </c>
      <c r="G590" s="5" t="s">
        <v>15</v>
      </c>
      <c r="H590" s="5">
        <v>31208</v>
      </c>
      <c r="I590" s="5">
        <v>0</v>
      </c>
      <c r="J590" s="6">
        <f t="shared" si="9"/>
        <v>31208</v>
      </c>
    </row>
    <row r="591" spans="1:10">
      <c r="A591" s="5">
        <v>215322</v>
      </c>
      <c r="B591" s="5" t="s">
        <v>10</v>
      </c>
      <c r="C591" s="5" t="s">
        <v>20</v>
      </c>
      <c r="D591" s="5" t="s">
        <v>32</v>
      </c>
      <c r="E591" s="5" t="s">
        <v>19</v>
      </c>
      <c r="F591" s="5" t="s">
        <v>28</v>
      </c>
      <c r="G591" s="5" t="s">
        <v>24</v>
      </c>
      <c r="H591" s="5">
        <v>821</v>
      </c>
      <c r="I591" s="5">
        <v>0</v>
      </c>
      <c r="J591" s="6">
        <f t="shared" si="9"/>
        <v>821</v>
      </c>
    </row>
    <row r="592" spans="1:10">
      <c r="A592" s="5">
        <v>234306</v>
      </c>
      <c r="B592" s="5" t="s">
        <v>16</v>
      </c>
      <c r="C592" s="5" t="s">
        <v>25</v>
      </c>
      <c r="D592" s="5" t="s">
        <v>30</v>
      </c>
      <c r="E592" s="5" t="s">
        <v>19</v>
      </c>
      <c r="F592" s="5" t="s">
        <v>28</v>
      </c>
      <c r="G592" s="5" t="s">
        <v>15</v>
      </c>
      <c r="H592" s="5">
        <v>54942</v>
      </c>
      <c r="I592" s="5">
        <v>4936</v>
      </c>
      <c r="J592" s="6">
        <f t="shared" si="9"/>
        <v>50006</v>
      </c>
    </row>
    <row r="593" spans="1:10">
      <c r="A593" s="5">
        <v>96703</v>
      </c>
      <c r="B593" s="5" t="s">
        <v>16</v>
      </c>
      <c r="C593" s="5" t="s">
        <v>37</v>
      </c>
      <c r="D593" s="5" t="s">
        <v>36</v>
      </c>
      <c r="E593" s="5" t="s">
        <v>13</v>
      </c>
      <c r="F593" s="5" t="s">
        <v>14</v>
      </c>
      <c r="G593" s="5" t="s">
        <v>15</v>
      </c>
      <c r="H593" s="5">
        <v>83915</v>
      </c>
      <c r="I593" s="5">
        <v>867</v>
      </c>
      <c r="J593" s="6">
        <f t="shared" si="9"/>
        <v>83048</v>
      </c>
    </row>
    <row r="594" spans="1:10">
      <c r="A594" s="5">
        <v>208085</v>
      </c>
      <c r="B594" s="5" t="s">
        <v>10</v>
      </c>
      <c r="C594" s="5" t="s">
        <v>38</v>
      </c>
      <c r="D594" s="5" t="s">
        <v>32</v>
      </c>
      <c r="E594" s="5" t="s">
        <v>19</v>
      </c>
      <c r="F594" s="5" t="s">
        <v>28</v>
      </c>
      <c r="G594" s="5" t="s">
        <v>24</v>
      </c>
      <c r="H594" s="5">
        <v>1681</v>
      </c>
      <c r="I594" s="5">
        <v>0</v>
      </c>
      <c r="J594" s="6">
        <f t="shared" si="9"/>
        <v>1681</v>
      </c>
    </row>
    <row r="595" spans="1:10">
      <c r="A595" s="5">
        <v>16984</v>
      </c>
      <c r="B595" s="5" t="s">
        <v>10</v>
      </c>
      <c r="C595" s="5" t="s">
        <v>11</v>
      </c>
      <c r="D595" s="5" t="s">
        <v>33</v>
      </c>
      <c r="E595" s="5" t="s">
        <v>13</v>
      </c>
      <c r="F595" s="5" t="s">
        <v>14</v>
      </c>
      <c r="G595" s="5" t="s">
        <v>15</v>
      </c>
      <c r="H595" s="5">
        <v>145000</v>
      </c>
      <c r="I595" s="5">
        <v>5396</v>
      </c>
      <c r="J595" s="6">
        <f t="shared" si="9"/>
        <v>139604</v>
      </c>
    </row>
    <row r="596" spans="1:10">
      <c r="A596" s="5">
        <v>237682</v>
      </c>
      <c r="B596" s="5" t="s">
        <v>10</v>
      </c>
      <c r="C596" s="5" t="s">
        <v>25</v>
      </c>
      <c r="D596" s="5" t="s">
        <v>23</v>
      </c>
      <c r="E596" s="5" t="s">
        <v>19</v>
      </c>
      <c r="F596" s="5" t="s">
        <v>14</v>
      </c>
      <c r="G596" s="5" t="s">
        <v>24</v>
      </c>
      <c r="H596" s="5">
        <v>48411</v>
      </c>
      <c r="I596" s="5">
        <v>5010</v>
      </c>
      <c r="J596" s="6">
        <f t="shared" si="9"/>
        <v>43401</v>
      </c>
    </row>
    <row r="597" spans="1:10">
      <c r="A597" s="5">
        <v>216659</v>
      </c>
      <c r="B597" s="5" t="s">
        <v>16</v>
      </c>
      <c r="C597" s="5" t="s">
        <v>34</v>
      </c>
      <c r="D597" s="5" t="s">
        <v>18</v>
      </c>
      <c r="E597" s="5" t="s">
        <v>13</v>
      </c>
      <c r="F597" s="5" t="s">
        <v>14</v>
      </c>
      <c r="G597" s="5" t="s">
        <v>15</v>
      </c>
      <c r="H597" s="5">
        <v>40311</v>
      </c>
      <c r="I597" s="5">
        <v>232</v>
      </c>
      <c r="J597" s="6">
        <f t="shared" si="9"/>
        <v>40079</v>
      </c>
    </row>
    <row r="598" spans="1:10">
      <c r="A598" s="5">
        <v>19279</v>
      </c>
      <c r="B598" s="5" t="s">
        <v>10</v>
      </c>
      <c r="C598" s="5" t="s">
        <v>11</v>
      </c>
      <c r="D598" s="5" t="s">
        <v>23</v>
      </c>
      <c r="E598" s="5" t="s">
        <v>13</v>
      </c>
      <c r="F598" s="5" t="s">
        <v>14</v>
      </c>
      <c r="G598" s="5" t="s">
        <v>24</v>
      </c>
      <c r="H598" s="5">
        <v>105741</v>
      </c>
      <c r="I598" s="5">
        <v>8422</v>
      </c>
      <c r="J598" s="6">
        <f t="shared" si="9"/>
        <v>97319</v>
      </c>
    </row>
    <row r="599" spans="1:10">
      <c r="A599" s="5">
        <v>133859</v>
      </c>
      <c r="B599" s="5" t="s">
        <v>10</v>
      </c>
      <c r="C599" s="5" t="s">
        <v>27</v>
      </c>
      <c r="D599" s="5" t="s">
        <v>26</v>
      </c>
      <c r="E599" s="5" t="s">
        <v>19</v>
      </c>
      <c r="F599" s="5" t="s">
        <v>14</v>
      </c>
      <c r="G599" s="5" t="s">
        <v>24</v>
      </c>
      <c r="H599" s="5">
        <v>33833</v>
      </c>
      <c r="I599" s="5">
        <v>5360</v>
      </c>
      <c r="J599" s="6">
        <f t="shared" si="9"/>
        <v>28473</v>
      </c>
    </row>
    <row r="600" spans="1:10">
      <c r="A600" s="5">
        <v>52974</v>
      </c>
      <c r="B600" s="5" t="s">
        <v>10</v>
      </c>
      <c r="C600" s="5" t="s">
        <v>22</v>
      </c>
      <c r="D600" s="5" t="s">
        <v>12</v>
      </c>
      <c r="E600" s="5" t="s">
        <v>19</v>
      </c>
      <c r="F600" s="5" t="s">
        <v>14</v>
      </c>
      <c r="G600" s="5" t="s">
        <v>15</v>
      </c>
      <c r="H600" s="5">
        <v>39456</v>
      </c>
      <c r="I600" s="5">
        <v>268</v>
      </c>
      <c r="J600" s="6">
        <f t="shared" si="9"/>
        <v>39188</v>
      </c>
    </row>
    <row r="601" spans="1:10">
      <c r="A601" s="5">
        <v>44024</v>
      </c>
      <c r="B601" s="5" t="s">
        <v>10</v>
      </c>
      <c r="C601" s="5" t="s">
        <v>35</v>
      </c>
      <c r="D601" s="5" t="s">
        <v>30</v>
      </c>
      <c r="E601" s="5" t="s">
        <v>13</v>
      </c>
      <c r="F601" s="5" t="s">
        <v>14</v>
      </c>
      <c r="G601" s="5" t="s">
        <v>15</v>
      </c>
      <c r="H601" s="5">
        <v>133990</v>
      </c>
      <c r="I601" s="5">
        <v>4877</v>
      </c>
      <c r="J601" s="6">
        <f t="shared" si="9"/>
        <v>129113</v>
      </c>
    </row>
    <row r="602" spans="1:10">
      <c r="A602" s="5">
        <v>18299</v>
      </c>
      <c r="B602" s="5" t="s">
        <v>16</v>
      </c>
      <c r="C602" s="5" t="s">
        <v>11</v>
      </c>
      <c r="D602" s="5" t="s">
        <v>18</v>
      </c>
      <c r="E602" s="5" t="s">
        <v>13</v>
      </c>
      <c r="F602" s="5" t="s">
        <v>28</v>
      </c>
      <c r="G602" s="5" t="s">
        <v>15</v>
      </c>
      <c r="H602" s="5">
        <v>22587</v>
      </c>
      <c r="I602" s="5">
        <v>704</v>
      </c>
      <c r="J602" s="6">
        <f t="shared" si="9"/>
        <v>21883</v>
      </c>
    </row>
    <row r="603" spans="1:10">
      <c r="A603" s="5">
        <v>195062</v>
      </c>
      <c r="B603" s="5" t="s">
        <v>16</v>
      </c>
      <c r="C603" s="5" t="s">
        <v>38</v>
      </c>
      <c r="D603" s="5" t="s">
        <v>32</v>
      </c>
      <c r="E603" s="5" t="s">
        <v>13</v>
      </c>
      <c r="F603" s="5" t="s">
        <v>14</v>
      </c>
      <c r="G603" s="5" t="s">
        <v>15</v>
      </c>
      <c r="H603" s="5">
        <v>4439</v>
      </c>
      <c r="I603" s="5">
        <v>406</v>
      </c>
      <c r="J603" s="6">
        <f t="shared" si="9"/>
        <v>4033</v>
      </c>
    </row>
    <row r="604" spans="1:10">
      <c r="A604" s="5">
        <v>55242</v>
      </c>
      <c r="B604" s="5" t="s">
        <v>10</v>
      </c>
      <c r="C604" s="5" t="s">
        <v>35</v>
      </c>
      <c r="D604" s="5" t="s">
        <v>30</v>
      </c>
      <c r="E604" s="5" t="s">
        <v>13</v>
      </c>
      <c r="F604" s="5" t="s">
        <v>14</v>
      </c>
      <c r="G604" s="5" t="s">
        <v>15</v>
      </c>
      <c r="H604" s="5">
        <v>88399</v>
      </c>
      <c r="I604" s="5">
        <v>4158</v>
      </c>
      <c r="J604" s="6">
        <f t="shared" si="9"/>
        <v>84241</v>
      </c>
    </row>
    <row r="605" spans="1:10">
      <c r="A605" s="5">
        <v>129342</v>
      </c>
      <c r="B605" s="5" t="s">
        <v>16</v>
      </c>
      <c r="C605" s="5" t="s">
        <v>22</v>
      </c>
      <c r="D605" s="5" t="s">
        <v>33</v>
      </c>
      <c r="E605" s="5" t="s">
        <v>19</v>
      </c>
      <c r="F605" s="5" t="s">
        <v>28</v>
      </c>
      <c r="G605" s="5" t="s">
        <v>15</v>
      </c>
      <c r="H605" s="5">
        <v>59934</v>
      </c>
      <c r="I605" s="5">
        <v>184</v>
      </c>
      <c r="J605" s="6">
        <f t="shared" si="9"/>
        <v>59750</v>
      </c>
    </row>
    <row r="606" spans="1:10">
      <c r="A606" s="5">
        <v>137262</v>
      </c>
      <c r="B606" s="5" t="s">
        <v>10</v>
      </c>
      <c r="C606" s="5" t="s">
        <v>22</v>
      </c>
      <c r="D606" s="5" t="s">
        <v>30</v>
      </c>
      <c r="E606" s="5" t="s">
        <v>19</v>
      </c>
      <c r="F606" s="5" t="s">
        <v>14</v>
      </c>
      <c r="G606" s="5" t="s">
        <v>15</v>
      </c>
      <c r="H606" s="5">
        <v>142548</v>
      </c>
      <c r="I606" s="5">
        <v>7507</v>
      </c>
      <c r="J606" s="6">
        <f t="shared" si="9"/>
        <v>135041</v>
      </c>
    </row>
    <row r="607" spans="1:10">
      <c r="A607" s="5">
        <v>127619</v>
      </c>
      <c r="B607" s="5" t="s">
        <v>10</v>
      </c>
      <c r="C607" s="5" t="s">
        <v>22</v>
      </c>
      <c r="D607" s="5" t="s">
        <v>30</v>
      </c>
      <c r="E607" s="5" t="s">
        <v>13</v>
      </c>
      <c r="F607" s="5" t="s">
        <v>14</v>
      </c>
      <c r="G607" s="5" t="s">
        <v>15</v>
      </c>
      <c r="H607" s="5">
        <v>82428</v>
      </c>
      <c r="I607" s="5">
        <v>3086</v>
      </c>
      <c r="J607" s="6">
        <f t="shared" si="9"/>
        <v>79342</v>
      </c>
    </row>
    <row r="608" spans="1:10">
      <c r="A608" s="5">
        <v>172619</v>
      </c>
      <c r="B608" s="5" t="s">
        <v>10</v>
      </c>
      <c r="C608" s="5" t="s">
        <v>31</v>
      </c>
      <c r="D608" s="5" t="s">
        <v>36</v>
      </c>
      <c r="E608" s="5" t="s">
        <v>19</v>
      </c>
      <c r="F608" s="5" t="s">
        <v>14</v>
      </c>
      <c r="G608" s="5" t="s">
        <v>24</v>
      </c>
      <c r="H608" s="5">
        <v>13129</v>
      </c>
      <c r="I608" s="5">
        <v>0</v>
      </c>
      <c r="J608" s="6">
        <f t="shared" si="9"/>
        <v>13129</v>
      </c>
    </row>
    <row r="609" spans="1:10">
      <c r="A609" s="5">
        <v>121225</v>
      </c>
      <c r="B609" s="5" t="s">
        <v>16</v>
      </c>
      <c r="C609" s="5" t="s">
        <v>35</v>
      </c>
      <c r="D609" s="5" t="s">
        <v>32</v>
      </c>
      <c r="E609" s="5" t="s">
        <v>13</v>
      </c>
      <c r="F609" s="5" t="s">
        <v>14</v>
      </c>
      <c r="G609" s="5" t="s">
        <v>24</v>
      </c>
      <c r="H609" s="5">
        <v>15146</v>
      </c>
      <c r="I609" s="5">
        <v>507</v>
      </c>
      <c r="J609" s="6">
        <f t="shared" si="9"/>
        <v>14639</v>
      </c>
    </row>
    <row r="610" spans="1:10">
      <c r="A610" s="5">
        <v>28463</v>
      </c>
      <c r="B610" s="5" t="s">
        <v>10</v>
      </c>
      <c r="C610" s="5" t="s">
        <v>11</v>
      </c>
      <c r="D610" s="5" t="s">
        <v>12</v>
      </c>
      <c r="E610" s="5" t="s">
        <v>13</v>
      </c>
      <c r="F610" s="5" t="s">
        <v>14</v>
      </c>
      <c r="G610" s="5" t="s">
        <v>15</v>
      </c>
      <c r="H610" s="5">
        <v>60783</v>
      </c>
      <c r="I610" s="5">
        <v>1813</v>
      </c>
      <c r="J610" s="6">
        <f t="shared" si="9"/>
        <v>58970</v>
      </c>
    </row>
    <row r="611" spans="1:10">
      <c r="A611" s="5">
        <v>63865</v>
      </c>
      <c r="B611" s="5" t="s">
        <v>16</v>
      </c>
      <c r="C611" s="5" t="s">
        <v>27</v>
      </c>
      <c r="D611" s="5" t="s">
        <v>32</v>
      </c>
      <c r="E611" s="5" t="s">
        <v>13</v>
      </c>
      <c r="F611" s="5" t="s">
        <v>14</v>
      </c>
      <c r="G611" s="5" t="s">
        <v>15</v>
      </c>
      <c r="H611" s="5">
        <v>177</v>
      </c>
      <c r="I611" s="5">
        <v>0</v>
      </c>
      <c r="J611" s="6">
        <f t="shared" si="9"/>
        <v>177</v>
      </c>
    </row>
    <row r="612" spans="1:10">
      <c r="A612" s="5">
        <v>187357</v>
      </c>
      <c r="B612" s="5" t="s">
        <v>10</v>
      </c>
      <c r="C612" s="5" t="s">
        <v>20</v>
      </c>
      <c r="D612" s="5" t="s">
        <v>32</v>
      </c>
      <c r="E612" s="5" t="s">
        <v>19</v>
      </c>
      <c r="F612" s="5" t="s">
        <v>28</v>
      </c>
      <c r="G612" s="5" t="s">
        <v>24</v>
      </c>
      <c r="H612" s="5">
        <v>21706</v>
      </c>
      <c r="I612" s="5">
        <v>408</v>
      </c>
      <c r="J612" s="6">
        <f t="shared" si="9"/>
        <v>21298</v>
      </c>
    </row>
    <row r="613" spans="1:10">
      <c r="A613" s="5">
        <v>55997</v>
      </c>
      <c r="B613" s="5" t="s">
        <v>10</v>
      </c>
      <c r="C613" s="5" t="s">
        <v>35</v>
      </c>
      <c r="D613" s="5" t="s">
        <v>12</v>
      </c>
      <c r="E613" s="5" t="s">
        <v>13</v>
      </c>
      <c r="F613" s="5" t="s">
        <v>14</v>
      </c>
      <c r="G613" s="5" t="s">
        <v>15</v>
      </c>
      <c r="H613" s="5">
        <v>215415</v>
      </c>
      <c r="I613" s="5">
        <v>15780</v>
      </c>
      <c r="J613" s="6">
        <f t="shared" si="9"/>
        <v>199635</v>
      </c>
    </row>
    <row r="614" spans="1:10">
      <c r="A614" s="5">
        <v>112043</v>
      </c>
      <c r="B614" s="5" t="s">
        <v>10</v>
      </c>
      <c r="C614" s="5" t="s">
        <v>22</v>
      </c>
      <c r="D614" s="5" t="s">
        <v>32</v>
      </c>
      <c r="E614" s="5" t="s">
        <v>19</v>
      </c>
      <c r="F614" s="5" t="s">
        <v>14</v>
      </c>
      <c r="G614" s="5" t="s">
        <v>24</v>
      </c>
      <c r="H614" s="5">
        <v>3</v>
      </c>
      <c r="I614" s="5">
        <v>0</v>
      </c>
      <c r="J614" s="6">
        <f t="shared" si="9"/>
        <v>3</v>
      </c>
    </row>
    <row r="615" spans="1:10">
      <c r="A615" s="5">
        <v>176713</v>
      </c>
      <c r="B615" s="5" t="s">
        <v>16</v>
      </c>
      <c r="C615" s="5" t="s">
        <v>25</v>
      </c>
      <c r="D615" s="5" t="s">
        <v>32</v>
      </c>
      <c r="E615" s="5" t="s">
        <v>13</v>
      </c>
      <c r="F615" s="5" t="s">
        <v>14</v>
      </c>
      <c r="G615" s="5" t="s">
        <v>15</v>
      </c>
      <c r="H615" s="5">
        <v>12694</v>
      </c>
      <c r="I615" s="5">
        <v>0</v>
      </c>
      <c r="J615" s="6">
        <f t="shared" si="9"/>
        <v>12694</v>
      </c>
    </row>
    <row r="616" spans="1:10">
      <c r="A616" s="5">
        <v>55269</v>
      </c>
      <c r="B616" s="5" t="s">
        <v>10</v>
      </c>
      <c r="C616" s="5" t="s">
        <v>35</v>
      </c>
      <c r="D616" s="5" t="s">
        <v>29</v>
      </c>
      <c r="E616" s="5" t="s">
        <v>19</v>
      </c>
      <c r="F616" s="5" t="s">
        <v>14</v>
      </c>
      <c r="G616" s="5" t="s">
        <v>15</v>
      </c>
      <c r="H616" s="5">
        <v>76009</v>
      </c>
      <c r="I616" s="5">
        <v>1474</v>
      </c>
      <c r="J616" s="6">
        <f t="shared" si="9"/>
        <v>74535</v>
      </c>
    </row>
    <row r="617" spans="1:10">
      <c r="A617" s="5">
        <v>115766</v>
      </c>
      <c r="B617" s="5" t="s">
        <v>10</v>
      </c>
      <c r="C617" s="5" t="s">
        <v>22</v>
      </c>
      <c r="D617" s="5" t="s">
        <v>32</v>
      </c>
      <c r="E617" s="5" t="s">
        <v>13</v>
      </c>
      <c r="F617" s="5" t="s">
        <v>14</v>
      </c>
      <c r="G617" s="5" t="s">
        <v>24</v>
      </c>
      <c r="H617" s="5">
        <v>43753</v>
      </c>
      <c r="I617" s="5">
        <v>874</v>
      </c>
      <c r="J617" s="6">
        <f t="shared" si="9"/>
        <v>42879</v>
      </c>
    </row>
    <row r="618" spans="1:10">
      <c r="A618" s="5">
        <v>129079</v>
      </c>
      <c r="B618" s="5" t="s">
        <v>10</v>
      </c>
      <c r="C618" s="5" t="s">
        <v>22</v>
      </c>
      <c r="D618" s="5" t="s">
        <v>26</v>
      </c>
      <c r="E618" s="5" t="s">
        <v>13</v>
      </c>
      <c r="F618" s="5" t="s">
        <v>28</v>
      </c>
      <c r="G618" s="5" t="s">
        <v>24</v>
      </c>
      <c r="H618" s="5">
        <v>49545</v>
      </c>
      <c r="I618" s="5">
        <v>332</v>
      </c>
      <c r="J618" s="6">
        <f t="shared" si="9"/>
        <v>49213</v>
      </c>
    </row>
    <row r="619" spans="1:10">
      <c r="A619" s="5">
        <v>35054</v>
      </c>
      <c r="B619" s="5" t="s">
        <v>10</v>
      </c>
      <c r="C619" s="5" t="s">
        <v>35</v>
      </c>
      <c r="D619" s="5" t="s">
        <v>12</v>
      </c>
      <c r="E619" s="5" t="s">
        <v>13</v>
      </c>
      <c r="F619" s="5" t="s">
        <v>14</v>
      </c>
      <c r="G619" s="5" t="s">
        <v>15</v>
      </c>
      <c r="H619" s="5">
        <v>158820</v>
      </c>
      <c r="I619" s="5">
        <v>326</v>
      </c>
      <c r="J619" s="6">
        <f t="shared" si="9"/>
        <v>158494</v>
      </c>
    </row>
    <row r="620" spans="1:10">
      <c r="A620" s="5">
        <v>211834</v>
      </c>
      <c r="B620" s="5" t="s">
        <v>16</v>
      </c>
      <c r="C620" s="5" t="s">
        <v>34</v>
      </c>
      <c r="D620" s="5" t="s">
        <v>18</v>
      </c>
      <c r="E620" s="5" t="s">
        <v>13</v>
      </c>
      <c r="F620" s="5" t="s">
        <v>14</v>
      </c>
      <c r="G620" s="5" t="s">
        <v>15</v>
      </c>
      <c r="H620" s="5">
        <v>54082</v>
      </c>
      <c r="I620" s="5">
        <v>212</v>
      </c>
      <c r="J620" s="6">
        <f t="shared" si="9"/>
        <v>53870</v>
      </c>
    </row>
    <row r="621" spans="1:10">
      <c r="A621" s="5">
        <v>121434</v>
      </c>
      <c r="B621" s="5" t="s">
        <v>16</v>
      </c>
      <c r="C621" s="5" t="s">
        <v>22</v>
      </c>
      <c r="D621" s="5" t="s">
        <v>30</v>
      </c>
      <c r="E621" s="5" t="s">
        <v>13</v>
      </c>
      <c r="F621" s="5" t="s">
        <v>14</v>
      </c>
      <c r="G621" s="5" t="s">
        <v>24</v>
      </c>
      <c r="H621" s="5">
        <v>39567</v>
      </c>
      <c r="I621" s="5">
        <v>220</v>
      </c>
      <c r="J621" s="6">
        <f t="shared" si="9"/>
        <v>39347</v>
      </c>
    </row>
    <row r="622" spans="1:10">
      <c r="A622" s="5">
        <v>198184</v>
      </c>
      <c r="B622" s="5" t="s">
        <v>16</v>
      </c>
      <c r="C622" s="5" t="s">
        <v>20</v>
      </c>
      <c r="D622" s="5" t="s">
        <v>32</v>
      </c>
      <c r="E622" s="5" t="s">
        <v>19</v>
      </c>
      <c r="F622" s="5" t="s">
        <v>28</v>
      </c>
      <c r="G622" s="5" t="s">
        <v>24</v>
      </c>
      <c r="H622" s="5">
        <v>901</v>
      </c>
      <c r="I622" s="5">
        <v>0</v>
      </c>
      <c r="J622" s="6">
        <f t="shared" si="9"/>
        <v>901</v>
      </c>
    </row>
    <row r="623" spans="1:10">
      <c r="A623" s="5">
        <v>33356</v>
      </c>
      <c r="B623" s="5" t="s">
        <v>16</v>
      </c>
      <c r="C623" s="5" t="s">
        <v>35</v>
      </c>
      <c r="D623" s="5" t="s">
        <v>30</v>
      </c>
      <c r="E623" s="5" t="s">
        <v>13</v>
      </c>
      <c r="F623" s="5" t="s">
        <v>14</v>
      </c>
      <c r="G623" s="5" t="s">
        <v>15</v>
      </c>
      <c r="H623" s="5">
        <v>11117</v>
      </c>
      <c r="I623" s="5">
        <v>23</v>
      </c>
      <c r="J623" s="6">
        <f t="shared" si="9"/>
        <v>11094</v>
      </c>
    </row>
    <row r="624" spans="1:10">
      <c r="A624" s="5">
        <v>146947</v>
      </c>
      <c r="B624" s="5" t="s">
        <v>10</v>
      </c>
      <c r="C624" s="5" t="s">
        <v>25</v>
      </c>
      <c r="D624" s="5" t="s">
        <v>23</v>
      </c>
      <c r="E624" s="5" t="s">
        <v>19</v>
      </c>
      <c r="F624" s="5" t="s">
        <v>14</v>
      </c>
      <c r="G624" s="5" t="s">
        <v>24</v>
      </c>
      <c r="H624" s="5">
        <v>92653</v>
      </c>
      <c r="I624" s="5">
        <v>11799</v>
      </c>
      <c r="J624" s="6">
        <f t="shared" si="9"/>
        <v>80854</v>
      </c>
    </row>
    <row r="625" spans="1:10">
      <c r="A625" s="5">
        <v>252868</v>
      </c>
      <c r="B625" s="5" t="s">
        <v>10</v>
      </c>
      <c r="C625" s="5" t="s">
        <v>27</v>
      </c>
      <c r="D625" s="5" t="s">
        <v>30</v>
      </c>
      <c r="E625" s="5" t="s">
        <v>13</v>
      </c>
      <c r="F625" s="5" t="s">
        <v>14</v>
      </c>
      <c r="G625" s="5" t="s">
        <v>15</v>
      </c>
      <c r="H625" s="5">
        <v>127193</v>
      </c>
      <c r="I625" s="5">
        <v>999</v>
      </c>
      <c r="J625" s="6">
        <f t="shared" si="9"/>
        <v>126194</v>
      </c>
    </row>
    <row r="626" spans="1:10">
      <c r="A626" s="5">
        <v>64907</v>
      </c>
      <c r="B626" s="5" t="s">
        <v>16</v>
      </c>
      <c r="C626" s="5" t="s">
        <v>35</v>
      </c>
      <c r="D626" s="5" t="s">
        <v>32</v>
      </c>
      <c r="E626" s="5" t="s">
        <v>13</v>
      </c>
      <c r="F626" s="5" t="s">
        <v>14</v>
      </c>
      <c r="G626" s="5" t="s">
        <v>24</v>
      </c>
      <c r="H626" s="5">
        <v>11963</v>
      </c>
      <c r="I626" s="5">
        <v>0</v>
      </c>
      <c r="J626" s="6">
        <f t="shared" si="9"/>
        <v>11963</v>
      </c>
    </row>
    <row r="627" spans="1:10">
      <c r="A627" s="5">
        <v>122922</v>
      </c>
      <c r="B627" s="5" t="s">
        <v>10</v>
      </c>
      <c r="C627" s="5" t="s">
        <v>22</v>
      </c>
      <c r="D627" s="5" t="s">
        <v>12</v>
      </c>
      <c r="E627" s="5" t="s">
        <v>19</v>
      </c>
      <c r="F627" s="5" t="s">
        <v>14</v>
      </c>
      <c r="G627" s="5" t="s">
        <v>15</v>
      </c>
      <c r="H627" s="5">
        <v>129812</v>
      </c>
      <c r="I627" s="5">
        <v>920</v>
      </c>
      <c r="J627" s="6">
        <f t="shared" si="9"/>
        <v>128892</v>
      </c>
    </row>
    <row r="628" spans="1:10">
      <c r="A628" s="5">
        <v>253796</v>
      </c>
      <c r="B628" s="5" t="s">
        <v>10</v>
      </c>
      <c r="C628" s="5" t="s">
        <v>31</v>
      </c>
      <c r="D628" s="5" t="s">
        <v>30</v>
      </c>
      <c r="E628" s="5" t="s">
        <v>19</v>
      </c>
      <c r="F628" s="5" t="s">
        <v>14</v>
      </c>
      <c r="G628" s="5" t="s">
        <v>15</v>
      </c>
      <c r="H628" s="5">
        <v>6611</v>
      </c>
      <c r="I628" s="5">
        <v>0</v>
      </c>
      <c r="J628" s="6">
        <f t="shared" si="9"/>
        <v>6611</v>
      </c>
    </row>
    <row r="629" spans="1:10">
      <c r="A629" s="5">
        <v>75102</v>
      </c>
      <c r="B629" s="5" t="s">
        <v>16</v>
      </c>
      <c r="C629" s="5" t="s">
        <v>27</v>
      </c>
      <c r="D629" s="5" t="s">
        <v>33</v>
      </c>
      <c r="E629" s="5" t="s">
        <v>13</v>
      </c>
      <c r="F629" s="5" t="s">
        <v>14</v>
      </c>
      <c r="G629" s="5" t="s">
        <v>15</v>
      </c>
      <c r="H629" s="5">
        <v>36406</v>
      </c>
      <c r="I629" s="5">
        <v>251</v>
      </c>
      <c r="J629" s="6">
        <f t="shared" si="9"/>
        <v>36155</v>
      </c>
    </row>
    <row r="630" spans="1:10">
      <c r="A630" s="5">
        <v>36699</v>
      </c>
      <c r="B630" s="5" t="s">
        <v>10</v>
      </c>
      <c r="C630" s="5" t="s">
        <v>11</v>
      </c>
      <c r="D630" s="5" t="s">
        <v>36</v>
      </c>
      <c r="E630" s="5" t="s">
        <v>13</v>
      </c>
      <c r="F630" s="5" t="s">
        <v>14</v>
      </c>
      <c r="G630" s="5" t="s">
        <v>15</v>
      </c>
      <c r="H630" s="5">
        <v>83674</v>
      </c>
      <c r="I630" s="5">
        <v>2605</v>
      </c>
      <c r="J630" s="6">
        <f t="shared" si="9"/>
        <v>81069</v>
      </c>
    </row>
    <row r="631" spans="1:10">
      <c r="A631" s="5">
        <v>52470</v>
      </c>
      <c r="B631" s="5" t="s">
        <v>16</v>
      </c>
      <c r="C631" s="5" t="s">
        <v>35</v>
      </c>
      <c r="D631" s="5" t="s">
        <v>33</v>
      </c>
      <c r="E631" s="5" t="s">
        <v>13</v>
      </c>
      <c r="F631" s="5" t="s">
        <v>14</v>
      </c>
      <c r="G631" s="5" t="s">
        <v>15</v>
      </c>
      <c r="H631" s="5">
        <v>37169</v>
      </c>
      <c r="I631" s="5">
        <v>2445</v>
      </c>
      <c r="J631" s="6">
        <f t="shared" si="9"/>
        <v>34724</v>
      </c>
    </row>
    <row r="632" spans="1:10">
      <c r="A632" s="5">
        <v>232596</v>
      </c>
      <c r="B632" s="5" t="s">
        <v>16</v>
      </c>
      <c r="C632" s="5" t="s">
        <v>35</v>
      </c>
      <c r="D632" s="5" t="s">
        <v>33</v>
      </c>
      <c r="E632" s="5" t="s">
        <v>13</v>
      </c>
      <c r="F632" s="5" t="s">
        <v>14</v>
      </c>
      <c r="G632" s="5" t="s">
        <v>15</v>
      </c>
      <c r="H632" s="5">
        <v>99167</v>
      </c>
      <c r="I632" s="5">
        <v>274</v>
      </c>
      <c r="J632" s="6">
        <f t="shared" si="9"/>
        <v>98893</v>
      </c>
    </row>
    <row r="633" spans="1:10">
      <c r="A633" s="5">
        <v>41510</v>
      </c>
      <c r="B633" s="5" t="s">
        <v>16</v>
      </c>
      <c r="C633" s="5" t="s">
        <v>37</v>
      </c>
      <c r="D633" s="5" t="s">
        <v>30</v>
      </c>
      <c r="E633" s="5" t="s">
        <v>19</v>
      </c>
      <c r="F633" s="5" t="s">
        <v>14</v>
      </c>
      <c r="G633" s="5" t="s">
        <v>24</v>
      </c>
      <c r="H633" s="5">
        <v>49651</v>
      </c>
      <c r="I633" s="5">
        <v>1663</v>
      </c>
      <c r="J633" s="6">
        <f t="shared" si="9"/>
        <v>47988</v>
      </c>
    </row>
    <row r="634" spans="1:10">
      <c r="A634" s="5">
        <v>191551</v>
      </c>
      <c r="B634" s="5" t="s">
        <v>16</v>
      </c>
      <c r="C634" s="5" t="s">
        <v>38</v>
      </c>
      <c r="D634" s="5" t="s">
        <v>32</v>
      </c>
      <c r="E634" s="5" t="s">
        <v>13</v>
      </c>
      <c r="F634" s="5" t="s">
        <v>14</v>
      </c>
      <c r="G634" s="5" t="s">
        <v>15</v>
      </c>
      <c r="H634" s="5">
        <v>48603</v>
      </c>
      <c r="I634" s="5">
        <v>29728</v>
      </c>
      <c r="J634" s="6">
        <f t="shared" si="9"/>
        <v>18875</v>
      </c>
    </row>
    <row r="635" spans="1:10">
      <c r="A635" s="5">
        <v>186536</v>
      </c>
      <c r="B635" s="5" t="s">
        <v>10</v>
      </c>
      <c r="C635" s="5" t="s">
        <v>37</v>
      </c>
      <c r="D635" s="5" t="s">
        <v>32</v>
      </c>
      <c r="E635" s="5" t="s">
        <v>13</v>
      </c>
      <c r="F635" s="5" t="s">
        <v>14</v>
      </c>
      <c r="G635" s="5" t="s">
        <v>15</v>
      </c>
      <c r="H635" s="5">
        <v>1187</v>
      </c>
      <c r="I635" s="5">
        <v>1035</v>
      </c>
      <c r="J635" s="6">
        <f t="shared" si="9"/>
        <v>152</v>
      </c>
    </row>
    <row r="636" spans="1:10">
      <c r="A636" s="5">
        <v>111889</v>
      </c>
      <c r="B636" s="5" t="s">
        <v>16</v>
      </c>
      <c r="C636" s="5" t="s">
        <v>22</v>
      </c>
      <c r="D636" s="5" t="s">
        <v>18</v>
      </c>
      <c r="E636" s="5" t="s">
        <v>13</v>
      </c>
      <c r="F636" s="5" t="s">
        <v>14</v>
      </c>
      <c r="G636" s="5" t="s">
        <v>24</v>
      </c>
      <c r="H636" s="5">
        <v>26551</v>
      </c>
      <c r="I636" s="5">
        <v>1252</v>
      </c>
      <c r="J636" s="6">
        <f t="shared" si="9"/>
        <v>25299</v>
      </c>
    </row>
    <row r="637" spans="1:10">
      <c r="A637" s="5">
        <v>32273</v>
      </c>
      <c r="B637" s="5" t="s">
        <v>16</v>
      </c>
      <c r="C637" s="5" t="s">
        <v>35</v>
      </c>
      <c r="D637" s="5" t="s">
        <v>12</v>
      </c>
      <c r="E637" s="5" t="s">
        <v>19</v>
      </c>
      <c r="F637" s="5" t="s">
        <v>14</v>
      </c>
      <c r="G637" s="5" t="s">
        <v>24</v>
      </c>
      <c r="H637" s="5">
        <v>49649</v>
      </c>
      <c r="I637" s="5">
        <v>5532</v>
      </c>
      <c r="J637" s="6">
        <f t="shared" si="9"/>
        <v>44117</v>
      </c>
    </row>
    <row r="638" spans="1:10">
      <c r="A638" s="5">
        <v>37949</v>
      </c>
      <c r="B638" s="5" t="s">
        <v>16</v>
      </c>
      <c r="C638" s="5" t="s">
        <v>35</v>
      </c>
      <c r="D638" s="5" t="s">
        <v>30</v>
      </c>
      <c r="E638" s="5" t="s">
        <v>13</v>
      </c>
      <c r="F638" s="5" t="s">
        <v>14</v>
      </c>
      <c r="G638" s="5" t="s">
        <v>15</v>
      </c>
      <c r="H638" s="5">
        <v>20337</v>
      </c>
      <c r="I638" s="5">
        <v>1623</v>
      </c>
      <c r="J638" s="6">
        <f t="shared" si="9"/>
        <v>18714</v>
      </c>
    </row>
    <row r="639" spans="1:10">
      <c r="A639" s="5">
        <v>197972</v>
      </c>
      <c r="B639" s="5" t="s">
        <v>16</v>
      </c>
      <c r="C639" s="5" t="s">
        <v>38</v>
      </c>
      <c r="D639" s="5" t="s">
        <v>30</v>
      </c>
      <c r="E639" s="5" t="s">
        <v>13</v>
      </c>
      <c r="F639" s="5" t="s">
        <v>14</v>
      </c>
      <c r="G639" s="5" t="s">
        <v>15</v>
      </c>
      <c r="H639" s="5">
        <v>40411</v>
      </c>
      <c r="I639" s="5">
        <v>1526</v>
      </c>
      <c r="J639" s="6">
        <f t="shared" si="9"/>
        <v>38885</v>
      </c>
    </row>
    <row r="640" spans="1:10">
      <c r="A640" s="5">
        <v>90415</v>
      </c>
      <c r="B640" s="5" t="s">
        <v>10</v>
      </c>
      <c r="C640" s="5" t="s">
        <v>20</v>
      </c>
      <c r="D640" s="5" t="s">
        <v>32</v>
      </c>
      <c r="E640" s="5" t="s">
        <v>19</v>
      </c>
      <c r="F640" s="5" t="s">
        <v>28</v>
      </c>
      <c r="G640" s="5" t="s">
        <v>24</v>
      </c>
      <c r="H640" s="5">
        <v>736</v>
      </c>
      <c r="I640" s="5">
        <v>0</v>
      </c>
      <c r="J640" s="6">
        <f t="shared" si="9"/>
        <v>736</v>
      </c>
    </row>
    <row r="641" spans="1:10">
      <c r="A641" s="5">
        <v>189845</v>
      </c>
      <c r="B641" s="5" t="s">
        <v>10</v>
      </c>
      <c r="C641" s="5" t="s">
        <v>37</v>
      </c>
      <c r="D641" s="5" t="s">
        <v>32</v>
      </c>
      <c r="E641" s="5" t="s">
        <v>13</v>
      </c>
      <c r="F641" s="5" t="s">
        <v>14</v>
      </c>
      <c r="G641" s="5" t="s">
        <v>15</v>
      </c>
      <c r="H641" s="5">
        <v>253296</v>
      </c>
      <c r="I641" s="5">
        <v>23237</v>
      </c>
      <c r="J641" s="6">
        <f t="shared" si="9"/>
        <v>230059</v>
      </c>
    </row>
    <row r="642" spans="1:10">
      <c r="A642" s="5">
        <v>173099</v>
      </c>
      <c r="B642" s="5" t="s">
        <v>16</v>
      </c>
      <c r="C642" s="5" t="s">
        <v>27</v>
      </c>
      <c r="D642" s="5" t="s">
        <v>30</v>
      </c>
      <c r="E642" s="5" t="s">
        <v>19</v>
      </c>
      <c r="F642" s="5" t="s">
        <v>14</v>
      </c>
      <c r="G642" s="5" t="s">
        <v>24</v>
      </c>
      <c r="H642" s="5">
        <v>39295</v>
      </c>
      <c r="I642" s="5">
        <v>6133</v>
      </c>
      <c r="J642" s="6">
        <f t="shared" ref="J642:J705" si="10">H642-I642</f>
        <v>33162</v>
      </c>
    </row>
    <row r="643" spans="1:10">
      <c r="A643" s="5">
        <v>246530</v>
      </c>
      <c r="B643" s="5" t="s">
        <v>10</v>
      </c>
      <c r="C643" s="5" t="s">
        <v>25</v>
      </c>
      <c r="D643" s="5" t="s">
        <v>12</v>
      </c>
      <c r="E643" s="5" t="s">
        <v>19</v>
      </c>
      <c r="F643" s="5" t="s">
        <v>28</v>
      </c>
      <c r="G643" s="5" t="s">
        <v>24</v>
      </c>
      <c r="H643" s="5">
        <v>33824</v>
      </c>
      <c r="I643" s="5">
        <v>281</v>
      </c>
      <c r="J643" s="6">
        <f t="shared" si="10"/>
        <v>33543</v>
      </c>
    </row>
    <row r="644" spans="1:10">
      <c r="A644" s="5">
        <v>95275</v>
      </c>
      <c r="B644" s="5" t="s">
        <v>16</v>
      </c>
      <c r="C644" s="5" t="s">
        <v>20</v>
      </c>
      <c r="D644" s="5" t="s">
        <v>21</v>
      </c>
      <c r="E644" s="5" t="s">
        <v>13</v>
      </c>
      <c r="F644" s="5" t="s">
        <v>14</v>
      </c>
      <c r="G644" s="5" t="s">
        <v>24</v>
      </c>
      <c r="H644" s="5">
        <v>5175</v>
      </c>
      <c r="I644" s="5">
        <v>369</v>
      </c>
      <c r="J644" s="6">
        <f t="shared" si="10"/>
        <v>4806</v>
      </c>
    </row>
    <row r="645" spans="1:10">
      <c r="A645" s="5">
        <v>235464</v>
      </c>
      <c r="B645" s="5" t="s">
        <v>16</v>
      </c>
      <c r="C645" s="5" t="s">
        <v>17</v>
      </c>
      <c r="D645" s="5" t="s">
        <v>21</v>
      </c>
      <c r="E645" s="5" t="s">
        <v>19</v>
      </c>
      <c r="F645" s="5" t="s">
        <v>14</v>
      </c>
      <c r="G645" s="5" t="s">
        <v>24</v>
      </c>
      <c r="H645" s="5">
        <v>17679</v>
      </c>
      <c r="I645" s="5">
        <v>189</v>
      </c>
      <c r="J645" s="6">
        <f t="shared" si="10"/>
        <v>17490</v>
      </c>
    </row>
    <row r="646" spans="1:10">
      <c r="A646" s="5">
        <v>172726</v>
      </c>
      <c r="B646" s="5" t="s">
        <v>10</v>
      </c>
      <c r="C646" s="5" t="s">
        <v>17</v>
      </c>
      <c r="D646" s="5" t="s">
        <v>36</v>
      </c>
      <c r="E646" s="5" t="s">
        <v>19</v>
      </c>
      <c r="F646" s="5" t="s">
        <v>14</v>
      </c>
      <c r="G646" s="5" t="s">
        <v>24</v>
      </c>
      <c r="H646" s="5">
        <v>10504</v>
      </c>
      <c r="I646" s="5">
        <v>0</v>
      </c>
      <c r="J646" s="6">
        <f t="shared" si="10"/>
        <v>10504</v>
      </c>
    </row>
    <row r="647" spans="1:10">
      <c r="A647" s="5">
        <v>107317</v>
      </c>
      <c r="B647" s="5" t="s">
        <v>16</v>
      </c>
      <c r="C647" s="5" t="s">
        <v>22</v>
      </c>
      <c r="D647" s="5" t="s">
        <v>33</v>
      </c>
      <c r="E647" s="5" t="s">
        <v>13</v>
      </c>
      <c r="F647" s="5" t="s">
        <v>14</v>
      </c>
      <c r="G647" s="5" t="s">
        <v>15</v>
      </c>
      <c r="H647" s="5">
        <v>45279</v>
      </c>
      <c r="I647" s="5">
        <v>494</v>
      </c>
      <c r="J647" s="6">
        <f t="shared" si="10"/>
        <v>44785</v>
      </c>
    </row>
    <row r="648" spans="1:10">
      <c r="A648" s="5">
        <v>209852</v>
      </c>
      <c r="B648" s="5" t="s">
        <v>16</v>
      </c>
      <c r="C648" s="5" t="s">
        <v>37</v>
      </c>
      <c r="D648" s="5" t="s">
        <v>30</v>
      </c>
      <c r="E648" s="5" t="s">
        <v>19</v>
      </c>
      <c r="F648" s="5" t="s">
        <v>14</v>
      </c>
      <c r="G648" s="5" t="s">
        <v>15</v>
      </c>
      <c r="H648" s="5">
        <v>175816</v>
      </c>
      <c r="I648" s="5">
        <v>3756</v>
      </c>
      <c r="J648" s="6">
        <f t="shared" si="10"/>
        <v>172060</v>
      </c>
    </row>
    <row r="649" spans="1:10">
      <c r="A649" s="5">
        <v>250962</v>
      </c>
      <c r="B649" s="5" t="s">
        <v>10</v>
      </c>
      <c r="C649" s="5" t="s">
        <v>27</v>
      </c>
      <c r="D649" s="5" t="s">
        <v>32</v>
      </c>
      <c r="E649" s="5" t="s">
        <v>13</v>
      </c>
      <c r="F649" s="5" t="s">
        <v>14</v>
      </c>
      <c r="G649" s="5" t="s">
        <v>15</v>
      </c>
      <c r="H649" s="5">
        <v>54064</v>
      </c>
      <c r="I649" s="5">
        <v>0</v>
      </c>
      <c r="J649" s="6">
        <f t="shared" si="10"/>
        <v>54064</v>
      </c>
    </row>
    <row r="650" spans="1:10">
      <c r="A650" s="5">
        <v>157053</v>
      </c>
      <c r="B650" s="5" t="s">
        <v>16</v>
      </c>
      <c r="C650" s="5" t="s">
        <v>25</v>
      </c>
      <c r="D650" s="5" t="s">
        <v>30</v>
      </c>
      <c r="E650" s="5" t="s">
        <v>13</v>
      </c>
      <c r="F650" s="5" t="s">
        <v>28</v>
      </c>
      <c r="G650" s="5" t="s">
        <v>15</v>
      </c>
      <c r="H650" s="5">
        <v>85665</v>
      </c>
      <c r="I650" s="5">
        <v>2286</v>
      </c>
      <c r="J650" s="6">
        <f t="shared" si="10"/>
        <v>83379</v>
      </c>
    </row>
    <row r="651" spans="1:10">
      <c r="A651" s="5">
        <v>170523</v>
      </c>
      <c r="B651" s="5" t="s">
        <v>16</v>
      </c>
      <c r="C651" s="5" t="s">
        <v>17</v>
      </c>
      <c r="D651" s="5" t="s">
        <v>36</v>
      </c>
      <c r="E651" s="5" t="s">
        <v>19</v>
      </c>
      <c r="F651" s="5" t="s">
        <v>14</v>
      </c>
      <c r="G651" s="5" t="s">
        <v>15</v>
      </c>
      <c r="H651" s="5">
        <v>33202</v>
      </c>
      <c r="I651" s="5">
        <v>866</v>
      </c>
      <c r="J651" s="6">
        <f t="shared" si="10"/>
        <v>32336</v>
      </c>
    </row>
    <row r="652" spans="1:10">
      <c r="A652" s="5">
        <v>226101</v>
      </c>
      <c r="B652" s="5" t="s">
        <v>16</v>
      </c>
      <c r="C652" s="5" t="s">
        <v>25</v>
      </c>
      <c r="D652" s="5" t="s">
        <v>18</v>
      </c>
      <c r="E652" s="5" t="s">
        <v>13</v>
      </c>
      <c r="F652" s="5" t="s">
        <v>14</v>
      </c>
      <c r="G652" s="5" t="s">
        <v>15</v>
      </c>
      <c r="H652" s="5">
        <v>22870</v>
      </c>
      <c r="I652" s="5">
        <v>3572</v>
      </c>
      <c r="J652" s="6">
        <f t="shared" si="10"/>
        <v>19298</v>
      </c>
    </row>
    <row r="653" spans="1:10">
      <c r="A653" s="5">
        <v>62139</v>
      </c>
      <c r="B653" s="5" t="s">
        <v>16</v>
      </c>
      <c r="C653" s="5" t="s">
        <v>27</v>
      </c>
      <c r="D653" s="5" t="s">
        <v>33</v>
      </c>
      <c r="E653" s="5" t="s">
        <v>19</v>
      </c>
      <c r="F653" s="5" t="s">
        <v>14</v>
      </c>
      <c r="G653" s="5" t="s">
        <v>24</v>
      </c>
      <c r="H653" s="5">
        <v>61229</v>
      </c>
      <c r="I653" s="5">
        <v>346</v>
      </c>
      <c r="J653" s="6">
        <f t="shared" si="10"/>
        <v>60883</v>
      </c>
    </row>
    <row r="654" spans="1:10">
      <c r="A654" s="5">
        <v>223791</v>
      </c>
      <c r="B654" s="5" t="s">
        <v>10</v>
      </c>
      <c r="C654" s="5" t="s">
        <v>35</v>
      </c>
      <c r="D654" s="5" t="s">
        <v>29</v>
      </c>
      <c r="E654" s="5" t="s">
        <v>13</v>
      </c>
      <c r="F654" s="5" t="s">
        <v>28</v>
      </c>
      <c r="G654" s="5" t="s">
        <v>15</v>
      </c>
      <c r="H654" s="5">
        <v>6260</v>
      </c>
      <c r="I654" s="5">
        <v>0</v>
      </c>
      <c r="J654" s="6">
        <f t="shared" si="10"/>
        <v>6260</v>
      </c>
    </row>
    <row r="655" spans="1:10">
      <c r="A655" s="5">
        <v>253327</v>
      </c>
      <c r="B655" s="5" t="s">
        <v>16</v>
      </c>
      <c r="C655" s="5" t="s">
        <v>25</v>
      </c>
      <c r="D655" s="5" t="s">
        <v>30</v>
      </c>
      <c r="E655" s="5" t="s">
        <v>13</v>
      </c>
      <c r="F655" s="5" t="s">
        <v>28</v>
      </c>
      <c r="G655" s="5" t="s">
        <v>24</v>
      </c>
      <c r="H655" s="5">
        <v>45573</v>
      </c>
      <c r="I655" s="5">
        <v>27</v>
      </c>
      <c r="J655" s="6">
        <f t="shared" si="10"/>
        <v>45546</v>
      </c>
    </row>
    <row r="656" spans="1:10">
      <c r="A656" s="5">
        <v>78798</v>
      </c>
      <c r="B656" s="5" t="s">
        <v>10</v>
      </c>
      <c r="C656" s="5" t="s">
        <v>20</v>
      </c>
      <c r="D656" s="5" t="s">
        <v>29</v>
      </c>
      <c r="E656" s="5" t="s">
        <v>13</v>
      </c>
      <c r="F656" s="5" t="s">
        <v>14</v>
      </c>
      <c r="G656" s="5" t="s">
        <v>15</v>
      </c>
      <c r="H656" s="5">
        <v>32718</v>
      </c>
      <c r="I656" s="5">
        <v>936</v>
      </c>
      <c r="J656" s="6">
        <f t="shared" si="10"/>
        <v>31782</v>
      </c>
    </row>
    <row r="657" spans="1:10">
      <c r="A657" s="5">
        <v>91400</v>
      </c>
      <c r="B657" s="5" t="s">
        <v>16</v>
      </c>
      <c r="C657" s="5" t="s">
        <v>39</v>
      </c>
      <c r="D657" s="5" t="s">
        <v>33</v>
      </c>
      <c r="E657" s="5" t="s">
        <v>13</v>
      </c>
      <c r="F657" s="5" t="s">
        <v>14</v>
      </c>
      <c r="G657" s="5" t="s">
        <v>15</v>
      </c>
      <c r="H657" s="5">
        <v>17334</v>
      </c>
      <c r="I657" s="5">
        <v>323</v>
      </c>
      <c r="J657" s="6">
        <f t="shared" si="10"/>
        <v>17011</v>
      </c>
    </row>
    <row r="658" spans="1:10">
      <c r="A658" s="5">
        <v>22571</v>
      </c>
      <c r="B658" s="5" t="s">
        <v>16</v>
      </c>
      <c r="C658" s="5" t="s">
        <v>35</v>
      </c>
      <c r="D658" s="5" t="s">
        <v>12</v>
      </c>
      <c r="E658" s="5" t="s">
        <v>19</v>
      </c>
      <c r="F658" s="5" t="s">
        <v>28</v>
      </c>
      <c r="G658" s="5" t="s">
        <v>15</v>
      </c>
      <c r="H658" s="5">
        <v>64514</v>
      </c>
      <c r="I658" s="5">
        <v>2548</v>
      </c>
      <c r="J658" s="6">
        <f t="shared" si="10"/>
        <v>61966</v>
      </c>
    </row>
    <row r="659" spans="1:10">
      <c r="A659" s="5">
        <v>110246</v>
      </c>
      <c r="B659" s="5" t="s">
        <v>16</v>
      </c>
      <c r="C659" s="5" t="s">
        <v>34</v>
      </c>
      <c r="D659" s="5" t="s">
        <v>36</v>
      </c>
      <c r="E659" s="5" t="s">
        <v>13</v>
      </c>
      <c r="F659" s="5" t="s">
        <v>14</v>
      </c>
      <c r="G659" s="5" t="s">
        <v>24</v>
      </c>
      <c r="H659" s="5">
        <v>33678</v>
      </c>
      <c r="I659" s="5">
        <v>821</v>
      </c>
      <c r="J659" s="6">
        <f t="shared" si="10"/>
        <v>32857</v>
      </c>
    </row>
    <row r="660" spans="1:10">
      <c r="A660" s="5">
        <v>243356</v>
      </c>
      <c r="B660" s="5" t="s">
        <v>16</v>
      </c>
      <c r="C660" s="5" t="s">
        <v>37</v>
      </c>
      <c r="D660" s="5" t="s">
        <v>32</v>
      </c>
      <c r="E660" s="5" t="s">
        <v>19</v>
      </c>
      <c r="F660" s="5" t="s">
        <v>14</v>
      </c>
      <c r="G660" s="5" t="s">
        <v>24</v>
      </c>
      <c r="H660" s="5">
        <v>30975</v>
      </c>
      <c r="I660" s="5">
        <v>110</v>
      </c>
      <c r="J660" s="6">
        <f t="shared" si="10"/>
        <v>30865</v>
      </c>
    </row>
    <row r="661" spans="1:10">
      <c r="A661" s="5">
        <v>131623</v>
      </c>
      <c r="B661" s="5" t="s">
        <v>16</v>
      </c>
      <c r="C661" s="5" t="s">
        <v>25</v>
      </c>
      <c r="D661" s="5" t="s">
        <v>23</v>
      </c>
      <c r="E661" s="5" t="s">
        <v>13</v>
      </c>
      <c r="F661" s="5" t="s">
        <v>28</v>
      </c>
      <c r="G661" s="5" t="s">
        <v>24</v>
      </c>
      <c r="H661" s="5">
        <v>40486</v>
      </c>
      <c r="I661" s="5">
        <v>161</v>
      </c>
      <c r="J661" s="6">
        <f t="shared" si="10"/>
        <v>40325</v>
      </c>
    </row>
    <row r="662" spans="1:10">
      <c r="A662" s="5">
        <v>140627</v>
      </c>
      <c r="B662" s="5" t="s">
        <v>10</v>
      </c>
      <c r="C662" s="5" t="s">
        <v>17</v>
      </c>
      <c r="D662" s="5" t="s">
        <v>29</v>
      </c>
      <c r="E662" s="5" t="s">
        <v>19</v>
      </c>
      <c r="F662" s="5" t="s">
        <v>14</v>
      </c>
      <c r="G662" s="5" t="s">
        <v>24</v>
      </c>
      <c r="H662" s="5">
        <v>31818</v>
      </c>
      <c r="I662" s="5">
        <v>2273</v>
      </c>
      <c r="J662" s="6">
        <f t="shared" si="10"/>
        <v>29545</v>
      </c>
    </row>
    <row r="663" spans="1:10">
      <c r="A663" s="5">
        <v>254142</v>
      </c>
      <c r="B663" s="5" t="s">
        <v>10</v>
      </c>
      <c r="C663" s="5" t="s">
        <v>25</v>
      </c>
      <c r="D663" s="5" t="s">
        <v>21</v>
      </c>
      <c r="E663" s="5" t="s">
        <v>13</v>
      </c>
      <c r="F663" s="5" t="s">
        <v>28</v>
      </c>
      <c r="G663" s="5" t="s">
        <v>24</v>
      </c>
      <c r="H663" s="5">
        <v>45130</v>
      </c>
      <c r="I663" s="5">
        <v>2348</v>
      </c>
      <c r="J663" s="6">
        <f t="shared" si="10"/>
        <v>42782</v>
      </c>
    </row>
    <row r="664" spans="1:10">
      <c r="A664" s="5">
        <v>104734</v>
      </c>
      <c r="B664" s="5" t="s">
        <v>16</v>
      </c>
      <c r="C664" s="5" t="s">
        <v>27</v>
      </c>
      <c r="D664" s="5" t="s">
        <v>32</v>
      </c>
      <c r="E664" s="5" t="s">
        <v>13</v>
      </c>
      <c r="F664" s="5" t="s">
        <v>14</v>
      </c>
      <c r="G664" s="5" t="s">
        <v>24</v>
      </c>
      <c r="H664" s="5">
        <v>5200</v>
      </c>
      <c r="I664" s="5">
        <v>0</v>
      </c>
      <c r="J664" s="6">
        <f t="shared" si="10"/>
        <v>5200</v>
      </c>
    </row>
    <row r="665" spans="1:10">
      <c r="A665" s="5">
        <v>184775</v>
      </c>
      <c r="B665" s="5" t="s">
        <v>16</v>
      </c>
      <c r="C665" s="5" t="s">
        <v>34</v>
      </c>
      <c r="D665" s="5" t="s">
        <v>33</v>
      </c>
      <c r="E665" s="5" t="s">
        <v>13</v>
      </c>
      <c r="F665" s="5" t="s">
        <v>14</v>
      </c>
      <c r="G665" s="5" t="s">
        <v>15</v>
      </c>
      <c r="H665" s="5">
        <v>62812</v>
      </c>
      <c r="I665" s="5">
        <v>321</v>
      </c>
      <c r="J665" s="6">
        <f t="shared" si="10"/>
        <v>62491</v>
      </c>
    </row>
    <row r="666" spans="1:10">
      <c r="A666" s="5">
        <v>181468</v>
      </c>
      <c r="B666" s="5" t="s">
        <v>10</v>
      </c>
      <c r="C666" s="5" t="s">
        <v>20</v>
      </c>
      <c r="D666" s="5" t="s">
        <v>21</v>
      </c>
      <c r="E666" s="5" t="s">
        <v>19</v>
      </c>
      <c r="F666" s="5" t="s">
        <v>14</v>
      </c>
      <c r="G666" s="5" t="s">
        <v>15</v>
      </c>
      <c r="H666" s="5">
        <v>33930</v>
      </c>
      <c r="I666" s="5">
        <v>348</v>
      </c>
      <c r="J666" s="6">
        <f t="shared" si="10"/>
        <v>33582</v>
      </c>
    </row>
    <row r="667" spans="1:10">
      <c r="A667" s="5">
        <v>88841</v>
      </c>
      <c r="B667" s="5" t="s">
        <v>10</v>
      </c>
      <c r="C667" s="5" t="s">
        <v>38</v>
      </c>
      <c r="D667" s="5" t="s">
        <v>32</v>
      </c>
      <c r="E667" s="5" t="s">
        <v>13</v>
      </c>
      <c r="F667" s="5" t="s">
        <v>14</v>
      </c>
      <c r="G667" s="5" t="s">
        <v>15</v>
      </c>
      <c r="H667" s="5">
        <v>3</v>
      </c>
      <c r="I667" s="5">
        <v>0</v>
      </c>
      <c r="J667" s="6">
        <f t="shared" si="10"/>
        <v>3</v>
      </c>
    </row>
    <row r="668" spans="1:10">
      <c r="A668" s="5">
        <v>227145</v>
      </c>
      <c r="B668" s="5" t="s">
        <v>10</v>
      </c>
      <c r="C668" s="5" t="s">
        <v>17</v>
      </c>
      <c r="D668" s="5" t="s">
        <v>26</v>
      </c>
      <c r="E668" s="5" t="s">
        <v>19</v>
      </c>
      <c r="F668" s="5" t="s">
        <v>28</v>
      </c>
      <c r="G668" s="5" t="s">
        <v>24</v>
      </c>
      <c r="H668" s="5">
        <v>52340</v>
      </c>
      <c r="I668" s="5">
        <v>4056</v>
      </c>
      <c r="J668" s="6">
        <f t="shared" si="10"/>
        <v>48284</v>
      </c>
    </row>
    <row r="669" spans="1:10">
      <c r="A669" s="5">
        <v>199532</v>
      </c>
      <c r="B669" s="5" t="s">
        <v>10</v>
      </c>
      <c r="C669" s="5" t="s">
        <v>39</v>
      </c>
      <c r="D669" s="5" t="s">
        <v>23</v>
      </c>
      <c r="E669" s="5" t="s">
        <v>13</v>
      </c>
      <c r="F669" s="5" t="s">
        <v>14</v>
      </c>
      <c r="G669" s="5" t="s">
        <v>15</v>
      </c>
      <c r="H669" s="5">
        <v>17570</v>
      </c>
      <c r="I669" s="5">
        <v>967</v>
      </c>
      <c r="J669" s="6">
        <f t="shared" si="10"/>
        <v>16603</v>
      </c>
    </row>
    <row r="670" spans="1:10">
      <c r="A670" s="5">
        <v>23643</v>
      </c>
      <c r="B670" s="5" t="s">
        <v>10</v>
      </c>
      <c r="C670" s="5" t="s">
        <v>11</v>
      </c>
      <c r="D670" s="5" t="s">
        <v>32</v>
      </c>
      <c r="E670" s="5" t="s">
        <v>13</v>
      </c>
      <c r="F670" s="5" t="s">
        <v>14</v>
      </c>
      <c r="G670" s="5" t="s">
        <v>15</v>
      </c>
      <c r="H670" s="5">
        <v>41594</v>
      </c>
      <c r="I670" s="5">
        <v>5775</v>
      </c>
      <c r="J670" s="6">
        <f t="shared" si="10"/>
        <v>35819</v>
      </c>
    </row>
    <row r="671" spans="1:10">
      <c r="A671" s="5">
        <v>31299</v>
      </c>
      <c r="B671" s="5" t="s">
        <v>16</v>
      </c>
      <c r="C671" s="5" t="s">
        <v>20</v>
      </c>
      <c r="D671" s="5" t="s">
        <v>32</v>
      </c>
      <c r="E671" s="5" t="s">
        <v>19</v>
      </c>
      <c r="F671" s="5" t="s">
        <v>28</v>
      </c>
      <c r="G671" s="5" t="s">
        <v>24</v>
      </c>
      <c r="H671" s="5">
        <v>499</v>
      </c>
      <c r="I671" s="5">
        <v>0</v>
      </c>
      <c r="J671" s="6">
        <f t="shared" si="10"/>
        <v>499</v>
      </c>
    </row>
    <row r="672" spans="1:10">
      <c r="A672" s="5">
        <v>234031</v>
      </c>
      <c r="B672" s="5" t="s">
        <v>16</v>
      </c>
      <c r="C672" s="5" t="s">
        <v>17</v>
      </c>
      <c r="D672" s="5" t="s">
        <v>36</v>
      </c>
      <c r="E672" s="5" t="s">
        <v>13</v>
      </c>
      <c r="F672" s="5" t="s">
        <v>14</v>
      </c>
      <c r="G672" s="5" t="s">
        <v>24</v>
      </c>
      <c r="H672" s="5">
        <v>32571</v>
      </c>
      <c r="I672" s="5">
        <v>780</v>
      </c>
      <c r="J672" s="6">
        <f t="shared" si="10"/>
        <v>31791</v>
      </c>
    </row>
    <row r="673" spans="1:10">
      <c r="A673" s="5">
        <v>163500</v>
      </c>
      <c r="B673" s="5" t="s">
        <v>16</v>
      </c>
      <c r="C673" s="5" t="s">
        <v>27</v>
      </c>
      <c r="D673" s="5" t="s">
        <v>21</v>
      </c>
      <c r="E673" s="5" t="s">
        <v>19</v>
      </c>
      <c r="F673" s="5" t="s">
        <v>14</v>
      </c>
      <c r="G673" s="5" t="s">
        <v>24</v>
      </c>
      <c r="H673" s="5">
        <v>39858</v>
      </c>
      <c r="I673" s="5">
        <v>316</v>
      </c>
      <c r="J673" s="6">
        <f t="shared" si="10"/>
        <v>39542</v>
      </c>
    </row>
    <row r="674" spans="1:10">
      <c r="A674" s="5">
        <v>179672</v>
      </c>
      <c r="B674" s="5" t="s">
        <v>16</v>
      </c>
      <c r="C674" s="5" t="s">
        <v>31</v>
      </c>
      <c r="D674" s="5" t="s">
        <v>18</v>
      </c>
      <c r="E674" s="5" t="s">
        <v>19</v>
      </c>
      <c r="F674" s="5" t="s">
        <v>14</v>
      </c>
      <c r="G674" s="5" t="s">
        <v>24</v>
      </c>
      <c r="H674" s="5">
        <v>17427</v>
      </c>
      <c r="I674" s="5">
        <v>164</v>
      </c>
      <c r="J674" s="6">
        <f t="shared" si="10"/>
        <v>17263</v>
      </c>
    </row>
    <row r="675" spans="1:10">
      <c r="A675" s="5">
        <v>200015</v>
      </c>
      <c r="B675" s="5" t="s">
        <v>10</v>
      </c>
      <c r="C675" s="5" t="s">
        <v>37</v>
      </c>
      <c r="D675" s="5" t="s">
        <v>12</v>
      </c>
      <c r="E675" s="5" t="s">
        <v>13</v>
      </c>
      <c r="F675" s="5" t="s">
        <v>28</v>
      </c>
      <c r="G675" s="5" t="s">
        <v>15</v>
      </c>
      <c r="H675" s="5">
        <v>169967</v>
      </c>
      <c r="I675" s="5">
        <v>5465</v>
      </c>
      <c r="J675" s="6">
        <f t="shared" si="10"/>
        <v>164502</v>
      </c>
    </row>
    <row r="676" spans="1:10">
      <c r="A676" s="5">
        <v>29681</v>
      </c>
      <c r="B676" s="5" t="s">
        <v>16</v>
      </c>
      <c r="C676" s="5" t="s">
        <v>11</v>
      </c>
      <c r="D676" s="5" t="s">
        <v>32</v>
      </c>
      <c r="E676" s="5" t="s">
        <v>13</v>
      </c>
      <c r="F676" s="5" t="s">
        <v>14</v>
      </c>
      <c r="G676" s="5" t="s">
        <v>15</v>
      </c>
      <c r="H676" s="5">
        <v>27854</v>
      </c>
      <c r="I676" s="5">
        <v>3</v>
      </c>
      <c r="J676" s="6">
        <f t="shared" si="10"/>
        <v>27851</v>
      </c>
    </row>
    <row r="677" spans="1:10">
      <c r="A677" s="5">
        <v>100138</v>
      </c>
      <c r="B677" s="5" t="s">
        <v>16</v>
      </c>
      <c r="C677" s="5" t="s">
        <v>11</v>
      </c>
      <c r="D677" s="5" t="s">
        <v>30</v>
      </c>
      <c r="E677" s="5" t="s">
        <v>13</v>
      </c>
      <c r="F677" s="5" t="s">
        <v>14</v>
      </c>
      <c r="G677" s="5" t="s">
        <v>15</v>
      </c>
      <c r="H677" s="5">
        <v>23903</v>
      </c>
      <c r="I677" s="5">
        <v>490</v>
      </c>
      <c r="J677" s="6">
        <f t="shared" si="10"/>
        <v>23413</v>
      </c>
    </row>
    <row r="678" spans="1:10">
      <c r="A678" s="5">
        <v>183256</v>
      </c>
      <c r="B678" s="5" t="s">
        <v>10</v>
      </c>
      <c r="C678" s="5" t="s">
        <v>20</v>
      </c>
      <c r="D678" s="5" t="s">
        <v>32</v>
      </c>
      <c r="E678" s="5" t="s">
        <v>13</v>
      </c>
      <c r="F678" s="5" t="s">
        <v>14</v>
      </c>
      <c r="G678" s="5" t="s">
        <v>15</v>
      </c>
      <c r="H678" s="5">
        <v>12859</v>
      </c>
      <c r="I678" s="5">
        <v>0</v>
      </c>
      <c r="J678" s="6">
        <f t="shared" si="10"/>
        <v>12859</v>
      </c>
    </row>
    <row r="679" spans="1:10">
      <c r="A679" s="5">
        <v>215528</v>
      </c>
      <c r="B679" s="5" t="s">
        <v>10</v>
      </c>
      <c r="C679" s="5" t="s">
        <v>39</v>
      </c>
      <c r="D679" s="5" t="s">
        <v>30</v>
      </c>
      <c r="E679" s="5" t="s">
        <v>13</v>
      </c>
      <c r="F679" s="5" t="s">
        <v>14</v>
      </c>
      <c r="G679" s="5" t="s">
        <v>15</v>
      </c>
      <c r="H679" s="5">
        <v>23531</v>
      </c>
      <c r="I679" s="5">
        <v>164</v>
      </c>
      <c r="J679" s="6">
        <f t="shared" si="10"/>
        <v>23367</v>
      </c>
    </row>
    <row r="680" spans="1:10">
      <c r="A680" s="5">
        <v>255425</v>
      </c>
      <c r="B680" s="5" t="s">
        <v>10</v>
      </c>
      <c r="C680" s="5" t="s">
        <v>17</v>
      </c>
      <c r="D680" s="5" t="s">
        <v>21</v>
      </c>
      <c r="E680" s="5" t="s">
        <v>19</v>
      </c>
      <c r="F680" s="5" t="s">
        <v>14</v>
      </c>
      <c r="G680" s="5" t="s">
        <v>24</v>
      </c>
      <c r="H680" s="5">
        <v>28105</v>
      </c>
      <c r="I680" s="5">
        <v>4479</v>
      </c>
      <c r="J680" s="6">
        <f t="shared" si="10"/>
        <v>23626</v>
      </c>
    </row>
    <row r="681" spans="1:10">
      <c r="A681" s="5">
        <v>90196</v>
      </c>
      <c r="B681" s="5" t="s">
        <v>10</v>
      </c>
      <c r="C681" s="5" t="s">
        <v>37</v>
      </c>
      <c r="D681" s="5" t="s">
        <v>30</v>
      </c>
      <c r="E681" s="5" t="s">
        <v>13</v>
      </c>
      <c r="F681" s="5" t="s">
        <v>14</v>
      </c>
      <c r="G681" s="5" t="s">
        <v>15</v>
      </c>
      <c r="H681" s="5">
        <v>184333</v>
      </c>
      <c r="I681" s="5">
        <v>3533</v>
      </c>
      <c r="J681" s="6">
        <f t="shared" si="10"/>
        <v>180800</v>
      </c>
    </row>
    <row r="682" spans="1:10">
      <c r="A682" s="5">
        <v>50413</v>
      </c>
      <c r="B682" s="5" t="s">
        <v>16</v>
      </c>
      <c r="C682" s="5" t="s">
        <v>35</v>
      </c>
      <c r="D682" s="5" t="s">
        <v>30</v>
      </c>
      <c r="E682" s="5" t="s">
        <v>13</v>
      </c>
      <c r="F682" s="5" t="s">
        <v>14</v>
      </c>
      <c r="G682" s="5" t="s">
        <v>15</v>
      </c>
      <c r="H682" s="5">
        <v>53904</v>
      </c>
      <c r="I682" s="5">
        <v>1732</v>
      </c>
      <c r="J682" s="6">
        <f t="shared" si="10"/>
        <v>52172</v>
      </c>
    </row>
    <row r="683" spans="1:10">
      <c r="A683" s="5">
        <v>210414</v>
      </c>
      <c r="B683" s="5" t="s">
        <v>10</v>
      </c>
      <c r="C683" s="5" t="s">
        <v>37</v>
      </c>
      <c r="D683" s="5" t="s">
        <v>29</v>
      </c>
      <c r="E683" s="5" t="s">
        <v>19</v>
      </c>
      <c r="F683" s="5" t="s">
        <v>14</v>
      </c>
      <c r="G683" s="5" t="s">
        <v>15</v>
      </c>
      <c r="H683" s="5">
        <v>175129</v>
      </c>
      <c r="I683" s="5">
        <v>326</v>
      </c>
      <c r="J683" s="6">
        <f t="shared" si="10"/>
        <v>174803</v>
      </c>
    </row>
    <row r="684" spans="1:10">
      <c r="A684" s="5">
        <v>93194</v>
      </c>
      <c r="B684" s="5" t="s">
        <v>10</v>
      </c>
      <c r="C684" s="5" t="s">
        <v>20</v>
      </c>
      <c r="D684" s="5" t="s">
        <v>21</v>
      </c>
      <c r="E684" s="5" t="s">
        <v>13</v>
      </c>
      <c r="F684" s="5" t="s">
        <v>14</v>
      </c>
      <c r="G684" s="5" t="s">
        <v>15</v>
      </c>
      <c r="H684" s="5">
        <v>25284</v>
      </c>
      <c r="I684" s="5">
        <v>10570</v>
      </c>
      <c r="J684" s="6">
        <f t="shared" si="10"/>
        <v>14714</v>
      </c>
    </row>
    <row r="685" spans="1:10">
      <c r="A685" s="5">
        <v>200380</v>
      </c>
      <c r="B685" s="5" t="s">
        <v>10</v>
      </c>
      <c r="C685" s="5" t="s">
        <v>37</v>
      </c>
      <c r="D685" s="5" t="s">
        <v>30</v>
      </c>
      <c r="E685" s="5" t="s">
        <v>13</v>
      </c>
      <c r="F685" s="5" t="s">
        <v>14</v>
      </c>
      <c r="G685" s="5" t="s">
        <v>15</v>
      </c>
      <c r="H685" s="5">
        <v>329651</v>
      </c>
      <c r="I685" s="5">
        <v>46867</v>
      </c>
      <c r="J685" s="6">
        <f t="shared" si="10"/>
        <v>282784</v>
      </c>
    </row>
    <row r="686" spans="1:10">
      <c r="A686" s="5">
        <v>9396</v>
      </c>
      <c r="B686" s="5" t="s">
        <v>10</v>
      </c>
      <c r="C686" s="5" t="s">
        <v>20</v>
      </c>
      <c r="D686" s="5" t="s">
        <v>32</v>
      </c>
      <c r="E686" s="5" t="s">
        <v>13</v>
      </c>
      <c r="F686" s="5" t="s">
        <v>14</v>
      </c>
      <c r="G686" s="5" t="s">
        <v>15</v>
      </c>
      <c r="H686" s="5">
        <v>23983</v>
      </c>
      <c r="I686" s="5">
        <v>832</v>
      </c>
      <c r="J686" s="6">
        <f t="shared" si="10"/>
        <v>23151</v>
      </c>
    </row>
    <row r="687" spans="1:10">
      <c r="A687" s="5">
        <v>32871</v>
      </c>
      <c r="B687" s="5" t="s">
        <v>10</v>
      </c>
      <c r="C687" s="5" t="s">
        <v>35</v>
      </c>
      <c r="D687" s="5" t="s">
        <v>30</v>
      </c>
      <c r="E687" s="5" t="s">
        <v>19</v>
      </c>
      <c r="F687" s="5" t="s">
        <v>14</v>
      </c>
      <c r="G687" s="5" t="s">
        <v>24</v>
      </c>
      <c r="H687" s="5">
        <v>79165</v>
      </c>
      <c r="I687" s="5">
        <v>6037</v>
      </c>
      <c r="J687" s="6">
        <f t="shared" si="10"/>
        <v>73128</v>
      </c>
    </row>
    <row r="688" spans="1:10">
      <c r="A688" s="5">
        <v>199881</v>
      </c>
      <c r="B688" s="5" t="s">
        <v>10</v>
      </c>
      <c r="C688" s="5" t="s">
        <v>37</v>
      </c>
      <c r="D688" s="5" t="s">
        <v>36</v>
      </c>
      <c r="E688" s="5" t="s">
        <v>13</v>
      </c>
      <c r="F688" s="5" t="s">
        <v>14</v>
      </c>
      <c r="G688" s="5" t="s">
        <v>15</v>
      </c>
      <c r="H688" s="5">
        <v>92935</v>
      </c>
      <c r="I688" s="5">
        <v>1255</v>
      </c>
      <c r="J688" s="6">
        <f t="shared" si="10"/>
        <v>91680</v>
      </c>
    </row>
    <row r="689" spans="1:10">
      <c r="A689" s="5">
        <v>252786</v>
      </c>
      <c r="B689" s="5" t="s">
        <v>16</v>
      </c>
      <c r="C689" s="5" t="s">
        <v>17</v>
      </c>
      <c r="D689" s="5" t="s">
        <v>32</v>
      </c>
      <c r="E689" s="5" t="s">
        <v>13</v>
      </c>
      <c r="F689" s="5" t="s">
        <v>14</v>
      </c>
      <c r="G689" s="5" t="s">
        <v>24</v>
      </c>
      <c r="H689" s="5">
        <v>5023</v>
      </c>
      <c r="I689" s="5">
        <v>0</v>
      </c>
      <c r="J689" s="6">
        <f t="shared" si="10"/>
        <v>5023</v>
      </c>
    </row>
    <row r="690" spans="1:10">
      <c r="A690" s="5">
        <v>82555</v>
      </c>
      <c r="B690" s="5" t="s">
        <v>16</v>
      </c>
      <c r="C690" s="5" t="s">
        <v>34</v>
      </c>
      <c r="D690" s="5" t="s">
        <v>18</v>
      </c>
      <c r="E690" s="5" t="s">
        <v>19</v>
      </c>
      <c r="F690" s="5" t="s">
        <v>28</v>
      </c>
      <c r="G690" s="5" t="s">
        <v>24</v>
      </c>
      <c r="H690" s="5">
        <v>40466</v>
      </c>
      <c r="I690" s="5">
        <v>795</v>
      </c>
      <c r="J690" s="6">
        <f t="shared" si="10"/>
        <v>39671</v>
      </c>
    </row>
    <row r="691" spans="1:10">
      <c r="A691" s="5">
        <v>7284</v>
      </c>
      <c r="B691" s="5" t="s">
        <v>16</v>
      </c>
      <c r="C691" s="5" t="s">
        <v>38</v>
      </c>
      <c r="D691" s="5" t="s">
        <v>32</v>
      </c>
      <c r="E691" s="5" t="s">
        <v>19</v>
      </c>
      <c r="F691" s="5" t="s">
        <v>28</v>
      </c>
      <c r="G691" s="5" t="s">
        <v>24</v>
      </c>
      <c r="H691" s="5">
        <v>560</v>
      </c>
      <c r="I691" s="5">
        <v>0</v>
      </c>
      <c r="J691" s="6">
        <f t="shared" si="10"/>
        <v>560</v>
      </c>
    </row>
    <row r="692" spans="1:10">
      <c r="A692" s="5">
        <v>151875</v>
      </c>
      <c r="B692" s="5" t="s">
        <v>10</v>
      </c>
      <c r="C692" s="5" t="s">
        <v>22</v>
      </c>
      <c r="D692" s="5" t="s">
        <v>26</v>
      </c>
      <c r="E692" s="5" t="s">
        <v>13</v>
      </c>
      <c r="F692" s="5" t="s">
        <v>28</v>
      </c>
      <c r="G692" s="5" t="s">
        <v>24</v>
      </c>
      <c r="H692" s="5">
        <v>79168</v>
      </c>
      <c r="I692" s="5">
        <v>1895</v>
      </c>
      <c r="J692" s="6">
        <f t="shared" si="10"/>
        <v>77273</v>
      </c>
    </row>
    <row r="693" spans="1:10">
      <c r="A693" s="5">
        <v>89513</v>
      </c>
      <c r="B693" s="5" t="s">
        <v>10</v>
      </c>
      <c r="C693" s="5" t="s">
        <v>38</v>
      </c>
      <c r="D693" s="5" t="s">
        <v>32</v>
      </c>
      <c r="E693" s="5" t="s">
        <v>19</v>
      </c>
      <c r="F693" s="5" t="s">
        <v>28</v>
      </c>
      <c r="G693" s="5" t="s">
        <v>24</v>
      </c>
      <c r="H693" s="5">
        <v>19087</v>
      </c>
      <c r="I693" s="5">
        <v>0</v>
      </c>
      <c r="J693" s="6">
        <f t="shared" si="10"/>
        <v>19087</v>
      </c>
    </row>
    <row r="694" spans="1:10">
      <c r="A694" s="5">
        <v>235265</v>
      </c>
      <c r="B694" s="5" t="s">
        <v>10</v>
      </c>
      <c r="C694" s="5" t="s">
        <v>17</v>
      </c>
      <c r="D694" s="5" t="s">
        <v>23</v>
      </c>
      <c r="E694" s="5" t="s">
        <v>13</v>
      </c>
      <c r="F694" s="5" t="s">
        <v>14</v>
      </c>
      <c r="G694" s="5" t="s">
        <v>15</v>
      </c>
      <c r="H694" s="5">
        <v>43712</v>
      </c>
      <c r="I694" s="5">
        <v>538</v>
      </c>
      <c r="J694" s="6">
        <f t="shared" si="10"/>
        <v>43174</v>
      </c>
    </row>
    <row r="695" spans="1:10">
      <c r="A695" s="5">
        <v>161513</v>
      </c>
      <c r="B695" s="5" t="s">
        <v>10</v>
      </c>
      <c r="C695" s="5" t="s">
        <v>25</v>
      </c>
      <c r="D695" s="5" t="s">
        <v>30</v>
      </c>
      <c r="E695" s="5" t="s">
        <v>13</v>
      </c>
      <c r="F695" s="5" t="s">
        <v>28</v>
      </c>
      <c r="G695" s="5" t="s">
        <v>15</v>
      </c>
      <c r="H695" s="5">
        <v>24109</v>
      </c>
      <c r="I695" s="5">
        <v>2931</v>
      </c>
      <c r="J695" s="6">
        <f t="shared" si="10"/>
        <v>21178</v>
      </c>
    </row>
    <row r="696" spans="1:10">
      <c r="A696" s="5">
        <v>193943</v>
      </c>
      <c r="B696" s="5" t="s">
        <v>16</v>
      </c>
      <c r="C696" s="5" t="s">
        <v>11</v>
      </c>
      <c r="D696" s="5" t="s">
        <v>33</v>
      </c>
      <c r="E696" s="5" t="s">
        <v>19</v>
      </c>
      <c r="F696" s="5" t="s">
        <v>28</v>
      </c>
      <c r="G696" s="5" t="s">
        <v>15</v>
      </c>
      <c r="H696" s="5">
        <v>74283</v>
      </c>
      <c r="I696" s="5">
        <v>552</v>
      </c>
      <c r="J696" s="6">
        <f t="shared" si="10"/>
        <v>73731</v>
      </c>
    </row>
    <row r="697" spans="1:10">
      <c r="A697" s="5">
        <v>147549</v>
      </c>
      <c r="B697" s="5" t="s">
        <v>10</v>
      </c>
      <c r="C697" s="5" t="s">
        <v>31</v>
      </c>
      <c r="D697" s="5" t="s">
        <v>23</v>
      </c>
      <c r="E697" s="5" t="s">
        <v>19</v>
      </c>
      <c r="F697" s="5" t="s">
        <v>28</v>
      </c>
      <c r="G697" s="5" t="s">
        <v>24</v>
      </c>
      <c r="H697" s="5">
        <v>27072</v>
      </c>
      <c r="I697" s="5">
        <v>661</v>
      </c>
      <c r="J697" s="6">
        <f t="shared" si="10"/>
        <v>26411</v>
      </c>
    </row>
    <row r="698" spans="1:10">
      <c r="A698" s="5">
        <v>130304</v>
      </c>
      <c r="B698" s="5" t="s">
        <v>16</v>
      </c>
      <c r="C698" s="5" t="s">
        <v>22</v>
      </c>
      <c r="D698" s="5" t="s">
        <v>36</v>
      </c>
      <c r="E698" s="5" t="s">
        <v>19</v>
      </c>
      <c r="F698" s="5" t="s">
        <v>14</v>
      </c>
      <c r="G698" s="5" t="s">
        <v>24</v>
      </c>
      <c r="H698" s="5">
        <v>29568</v>
      </c>
      <c r="I698" s="5">
        <v>614</v>
      </c>
      <c r="J698" s="6">
        <f t="shared" si="10"/>
        <v>28954</v>
      </c>
    </row>
    <row r="699" spans="1:10">
      <c r="A699" s="5">
        <v>24753</v>
      </c>
      <c r="B699" s="5" t="s">
        <v>10</v>
      </c>
      <c r="C699" s="5" t="s">
        <v>11</v>
      </c>
      <c r="D699" s="5" t="s">
        <v>23</v>
      </c>
      <c r="E699" s="5" t="s">
        <v>13</v>
      </c>
      <c r="F699" s="5" t="s">
        <v>14</v>
      </c>
      <c r="G699" s="5" t="s">
        <v>15</v>
      </c>
      <c r="H699" s="5">
        <v>72248</v>
      </c>
      <c r="I699" s="5">
        <v>1331</v>
      </c>
      <c r="J699" s="6">
        <f t="shared" si="10"/>
        <v>70917</v>
      </c>
    </row>
    <row r="700" spans="1:10">
      <c r="A700" s="5">
        <v>112634</v>
      </c>
      <c r="B700" s="5" t="s">
        <v>10</v>
      </c>
      <c r="C700" s="5" t="s">
        <v>27</v>
      </c>
      <c r="D700" s="5" t="s">
        <v>23</v>
      </c>
      <c r="E700" s="5" t="s">
        <v>13</v>
      </c>
      <c r="F700" s="5" t="s">
        <v>14</v>
      </c>
      <c r="G700" s="5" t="s">
        <v>24</v>
      </c>
      <c r="H700" s="5">
        <v>124770</v>
      </c>
      <c r="I700" s="5">
        <v>26221</v>
      </c>
      <c r="J700" s="6">
        <f t="shared" si="10"/>
        <v>98549</v>
      </c>
    </row>
    <row r="701" spans="1:10">
      <c r="A701" s="5">
        <v>244553</v>
      </c>
      <c r="B701" s="5" t="s">
        <v>16</v>
      </c>
      <c r="C701" s="5" t="s">
        <v>17</v>
      </c>
      <c r="D701" s="5" t="s">
        <v>12</v>
      </c>
      <c r="E701" s="5" t="s">
        <v>19</v>
      </c>
      <c r="F701" s="5" t="s">
        <v>14</v>
      </c>
      <c r="G701" s="5" t="s">
        <v>24</v>
      </c>
      <c r="H701" s="5">
        <v>31481</v>
      </c>
      <c r="I701" s="5">
        <v>1182</v>
      </c>
      <c r="J701" s="6">
        <f t="shared" si="10"/>
        <v>30299</v>
      </c>
    </row>
    <row r="702" spans="1:10">
      <c r="A702" s="5">
        <v>39252</v>
      </c>
      <c r="B702" s="5" t="s">
        <v>16</v>
      </c>
      <c r="C702" s="5" t="s">
        <v>37</v>
      </c>
      <c r="D702" s="5" t="s">
        <v>33</v>
      </c>
      <c r="E702" s="5" t="s">
        <v>13</v>
      </c>
      <c r="F702" s="5" t="s">
        <v>28</v>
      </c>
      <c r="G702" s="5" t="s">
        <v>15</v>
      </c>
      <c r="H702" s="5">
        <v>71534</v>
      </c>
      <c r="I702" s="5">
        <v>1001</v>
      </c>
      <c r="J702" s="6">
        <f t="shared" si="10"/>
        <v>70533</v>
      </c>
    </row>
    <row r="703" spans="1:10">
      <c r="A703" s="5">
        <v>36295</v>
      </c>
      <c r="B703" s="5" t="s">
        <v>16</v>
      </c>
      <c r="C703" s="5" t="s">
        <v>11</v>
      </c>
      <c r="D703" s="5" t="s">
        <v>33</v>
      </c>
      <c r="E703" s="5" t="s">
        <v>13</v>
      </c>
      <c r="F703" s="5" t="s">
        <v>14</v>
      </c>
      <c r="G703" s="5" t="s">
        <v>24</v>
      </c>
      <c r="H703" s="5">
        <v>55183</v>
      </c>
      <c r="I703" s="5">
        <v>520</v>
      </c>
      <c r="J703" s="6">
        <f t="shared" si="10"/>
        <v>54663</v>
      </c>
    </row>
    <row r="704" spans="1:10">
      <c r="A704" s="5">
        <v>5787</v>
      </c>
      <c r="B704" s="5" t="s">
        <v>10</v>
      </c>
      <c r="C704" s="5" t="s">
        <v>38</v>
      </c>
      <c r="D704" s="5" t="s">
        <v>12</v>
      </c>
      <c r="E704" s="5" t="s">
        <v>13</v>
      </c>
      <c r="F704" s="5" t="s">
        <v>14</v>
      </c>
      <c r="G704" s="5" t="s">
        <v>15</v>
      </c>
      <c r="H704" s="5">
        <v>403365</v>
      </c>
      <c r="I704" s="5">
        <v>7349</v>
      </c>
      <c r="J704" s="6">
        <f t="shared" si="10"/>
        <v>396016</v>
      </c>
    </row>
    <row r="705" spans="1:10">
      <c r="A705" s="5">
        <v>24663</v>
      </c>
      <c r="B705" s="5" t="s">
        <v>10</v>
      </c>
      <c r="C705" s="5" t="s">
        <v>11</v>
      </c>
      <c r="D705" s="5" t="s">
        <v>26</v>
      </c>
      <c r="E705" s="5" t="s">
        <v>13</v>
      </c>
      <c r="F705" s="5" t="s">
        <v>14</v>
      </c>
      <c r="G705" s="5" t="s">
        <v>24</v>
      </c>
      <c r="H705" s="5">
        <v>161394</v>
      </c>
      <c r="I705" s="5">
        <v>4678</v>
      </c>
      <c r="J705" s="6">
        <f t="shared" si="10"/>
        <v>156716</v>
      </c>
    </row>
    <row r="706" spans="1:10">
      <c r="A706" s="5">
        <v>62368</v>
      </c>
      <c r="B706" s="5" t="s">
        <v>16</v>
      </c>
      <c r="C706" s="5" t="s">
        <v>38</v>
      </c>
      <c r="D706" s="5" t="s">
        <v>32</v>
      </c>
      <c r="E706" s="5" t="s">
        <v>13</v>
      </c>
      <c r="F706" s="5" t="s">
        <v>14</v>
      </c>
      <c r="G706" s="5" t="s">
        <v>15</v>
      </c>
      <c r="H706" s="5">
        <v>26245</v>
      </c>
      <c r="I706" s="5">
        <v>1489</v>
      </c>
      <c r="J706" s="6">
        <f t="shared" ref="J706:J769" si="11">H706-I706</f>
        <v>24756</v>
      </c>
    </row>
    <row r="707" spans="1:10">
      <c r="A707" s="5">
        <v>49875</v>
      </c>
      <c r="B707" s="5" t="s">
        <v>10</v>
      </c>
      <c r="C707" s="5" t="s">
        <v>35</v>
      </c>
      <c r="D707" s="5" t="s">
        <v>30</v>
      </c>
      <c r="E707" s="5" t="s">
        <v>13</v>
      </c>
      <c r="F707" s="5" t="s">
        <v>14</v>
      </c>
      <c r="G707" s="5" t="s">
        <v>15</v>
      </c>
      <c r="H707" s="5">
        <v>308731</v>
      </c>
      <c r="I707" s="5">
        <v>4609</v>
      </c>
      <c r="J707" s="6">
        <f t="shared" si="11"/>
        <v>304122</v>
      </c>
    </row>
    <row r="708" spans="1:10">
      <c r="A708" s="5">
        <v>235271</v>
      </c>
      <c r="B708" s="5" t="s">
        <v>10</v>
      </c>
      <c r="C708" s="5" t="s">
        <v>17</v>
      </c>
      <c r="D708" s="5" t="s">
        <v>21</v>
      </c>
      <c r="E708" s="5" t="s">
        <v>13</v>
      </c>
      <c r="F708" s="5" t="s">
        <v>14</v>
      </c>
      <c r="G708" s="5" t="s">
        <v>24</v>
      </c>
      <c r="H708" s="5">
        <v>77110</v>
      </c>
      <c r="I708" s="5">
        <v>6523</v>
      </c>
      <c r="J708" s="6">
        <f t="shared" si="11"/>
        <v>70587</v>
      </c>
    </row>
    <row r="709" spans="1:10">
      <c r="A709" s="5">
        <v>229718</v>
      </c>
      <c r="B709" s="5" t="s">
        <v>10</v>
      </c>
      <c r="C709" s="5" t="s">
        <v>25</v>
      </c>
      <c r="D709" s="5" t="s">
        <v>29</v>
      </c>
      <c r="E709" s="5" t="s">
        <v>13</v>
      </c>
      <c r="F709" s="5" t="s">
        <v>14</v>
      </c>
      <c r="G709" s="5" t="s">
        <v>15</v>
      </c>
      <c r="H709" s="5">
        <v>142769</v>
      </c>
      <c r="I709" s="5">
        <v>3344</v>
      </c>
      <c r="J709" s="6">
        <f t="shared" si="11"/>
        <v>139425</v>
      </c>
    </row>
    <row r="710" spans="1:10">
      <c r="A710" s="5">
        <v>249239</v>
      </c>
      <c r="B710" s="5" t="s">
        <v>10</v>
      </c>
      <c r="C710" s="5" t="s">
        <v>17</v>
      </c>
      <c r="D710" s="5" t="s">
        <v>33</v>
      </c>
      <c r="E710" s="5" t="s">
        <v>19</v>
      </c>
      <c r="F710" s="5" t="s">
        <v>28</v>
      </c>
      <c r="G710" s="5" t="s">
        <v>15</v>
      </c>
      <c r="H710" s="5">
        <v>39258</v>
      </c>
      <c r="I710" s="5">
        <v>0</v>
      </c>
      <c r="J710" s="6">
        <f t="shared" si="11"/>
        <v>39258</v>
      </c>
    </row>
    <row r="711" spans="1:10">
      <c r="A711" s="5">
        <v>238766</v>
      </c>
      <c r="B711" s="5" t="s">
        <v>10</v>
      </c>
      <c r="C711" s="5" t="s">
        <v>17</v>
      </c>
      <c r="D711" s="5" t="s">
        <v>23</v>
      </c>
      <c r="E711" s="5" t="s">
        <v>19</v>
      </c>
      <c r="F711" s="5" t="s">
        <v>14</v>
      </c>
      <c r="G711" s="5" t="s">
        <v>24</v>
      </c>
      <c r="H711" s="5">
        <v>25625</v>
      </c>
      <c r="I711" s="5">
        <v>337</v>
      </c>
      <c r="J711" s="6">
        <f t="shared" si="11"/>
        <v>25288</v>
      </c>
    </row>
    <row r="712" spans="1:10">
      <c r="A712" s="5">
        <v>6340</v>
      </c>
      <c r="B712" s="5" t="s">
        <v>10</v>
      </c>
      <c r="C712" s="5" t="s">
        <v>39</v>
      </c>
      <c r="D712" s="5" t="s">
        <v>33</v>
      </c>
      <c r="E712" s="5" t="s">
        <v>13</v>
      </c>
      <c r="F712" s="5" t="s">
        <v>14</v>
      </c>
      <c r="G712" s="5" t="s">
        <v>15</v>
      </c>
      <c r="H712" s="5">
        <v>74710</v>
      </c>
      <c r="I712" s="5">
        <v>8333</v>
      </c>
      <c r="J712" s="6">
        <f t="shared" si="11"/>
        <v>66377</v>
      </c>
    </row>
    <row r="713" spans="1:10">
      <c r="A713" s="5">
        <v>151973</v>
      </c>
      <c r="B713" s="5" t="s">
        <v>16</v>
      </c>
      <c r="C713" s="5" t="s">
        <v>22</v>
      </c>
      <c r="D713" s="5" t="s">
        <v>30</v>
      </c>
      <c r="E713" s="5" t="s">
        <v>13</v>
      </c>
      <c r="F713" s="5" t="s">
        <v>14</v>
      </c>
      <c r="G713" s="5" t="s">
        <v>15</v>
      </c>
      <c r="H713" s="5">
        <v>18458</v>
      </c>
      <c r="I713" s="5">
        <v>343</v>
      </c>
      <c r="J713" s="6">
        <f t="shared" si="11"/>
        <v>18115</v>
      </c>
    </row>
    <row r="714" spans="1:10">
      <c r="A714" s="5">
        <v>141007</v>
      </c>
      <c r="B714" s="5" t="s">
        <v>10</v>
      </c>
      <c r="C714" s="5" t="s">
        <v>17</v>
      </c>
      <c r="D714" s="5" t="s">
        <v>18</v>
      </c>
      <c r="E714" s="5" t="s">
        <v>19</v>
      </c>
      <c r="F714" s="5" t="s">
        <v>14</v>
      </c>
      <c r="G714" s="5" t="s">
        <v>24</v>
      </c>
      <c r="H714" s="5">
        <v>63024</v>
      </c>
      <c r="I714" s="5">
        <v>482</v>
      </c>
      <c r="J714" s="6">
        <f t="shared" si="11"/>
        <v>62542</v>
      </c>
    </row>
    <row r="715" spans="1:10">
      <c r="A715" s="5">
        <v>154205</v>
      </c>
      <c r="B715" s="5" t="s">
        <v>10</v>
      </c>
      <c r="C715" s="5" t="s">
        <v>22</v>
      </c>
      <c r="D715" s="5" t="s">
        <v>30</v>
      </c>
      <c r="E715" s="5" t="s">
        <v>13</v>
      </c>
      <c r="F715" s="5" t="s">
        <v>28</v>
      </c>
      <c r="G715" s="5" t="s">
        <v>15</v>
      </c>
      <c r="H715" s="5">
        <v>82987</v>
      </c>
      <c r="I715" s="5">
        <v>2399</v>
      </c>
      <c r="J715" s="6">
        <f t="shared" si="11"/>
        <v>80588</v>
      </c>
    </row>
    <row r="716" spans="1:10">
      <c r="A716" s="5">
        <v>15878</v>
      </c>
      <c r="B716" s="5" t="s">
        <v>10</v>
      </c>
      <c r="C716" s="5" t="s">
        <v>11</v>
      </c>
      <c r="D716" s="5" t="s">
        <v>30</v>
      </c>
      <c r="E716" s="5" t="s">
        <v>13</v>
      </c>
      <c r="F716" s="5" t="s">
        <v>14</v>
      </c>
      <c r="G716" s="5" t="s">
        <v>15</v>
      </c>
      <c r="H716" s="5">
        <v>47465</v>
      </c>
      <c r="I716" s="5">
        <v>2527</v>
      </c>
      <c r="J716" s="6">
        <f t="shared" si="11"/>
        <v>44938</v>
      </c>
    </row>
    <row r="717" spans="1:10">
      <c r="A717" s="5">
        <v>159237</v>
      </c>
      <c r="B717" s="5" t="s">
        <v>16</v>
      </c>
      <c r="C717" s="5" t="s">
        <v>34</v>
      </c>
      <c r="D717" s="5" t="s">
        <v>29</v>
      </c>
      <c r="E717" s="5" t="s">
        <v>19</v>
      </c>
      <c r="F717" s="5" t="s">
        <v>14</v>
      </c>
      <c r="G717" s="5" t="s">
        <v>24</v>
      </c>
      <c r="H717" s="5">
        <v>29069</v>
      </c>
      <c r="I717" s="5">
        <v>2047</v>
      </c>
      <c r="J717" s="6">
        <f t="shared" si="11"/>
        <v>27022</v>
      </c>
    </row>
    <row r="718" spans="1:10">
      <c r="A718" s="5">
        <v>125591</v>
      </c>
      <c r="B718" s="5" t="s">
        <v>16</v>
      </c>
      <c r="C718" s="5" t="s">
        <v>17</v>
      </c>
      <c r="D718" s="5" t="s">
        <v>33</v>
      </c>
      <c r="E718" s="5" t="s">
        <v>19</v>
      </c>
      <c r="F718" s="5" t="s">
        <v>28</v>
      </c>
      <c r="G718" s="5" t="s">
        <v>24</v>
      </c>
      <c r="H718" s="5">
        <v>34294</v>
      </c>
      <c r="I718" s="5">
        <v>1076</v>
      </c>
      <c r="J718" s="6">
        <f t="shared" si="11"/>
        <v>33218</v>
      </c>
    </row>
    <row r="719" spans="1:10">
      <c r="A719" s="5">
        <v>17386</v>
      </c>
      <c r="B719" s="5" t="s">
        <v>16</v>
      </c>
      <c r="C719" s="5" t="s">
        <v>34</v>
      </c>
      <c r="D719" s="5" t="s">
        <v>36</v>
      </c>
      <c r="E719" s="5" t="s">
        <v>13</v>
      </c>
      <c r="F719" s="5" t="s">
        <v>14</v>
      </c>
      <c r="G719" s="5" t="s">
        <v>15</v>
      </c>
      <c r="H719" s="5">
        <v>30106</v>
      </c>
      <c r="I719" s="5">
        <v>1183</v>
      </c>
      <c r="J719" s="6">
        <f t="shared" si="11"/>
        <v>28923</v>
      </c>
    </row>
    <row r="720" spans="1:10">
      <c r="A720" s="5">
        <v>27609</v>
      </c>
      <c r="B720" s="5" t="s">
        <v>10</v>
      </c>
      <c r="C720" s="5" t="s">
        <v>11</v>
      </c>
      <c r="D720" s="5" t="s">
        <v>23</v>
      </c>
      <c r="E720" s="5" t="s">
        <v>19</v>
      </c>
      <c r="F720" s="5" t="s">
        <v>14</v>
      </c>
      <c r="G720" s="5" t="s">
        <v>24</v>
      </c>
      <c r="H720" s="5">
        <v>12363</v>
      </c>
      <c r="I720" s="5">
        <v>168</v>
      </c>
      <c r="J720" s="6">
        <f t="shared" si="11"/>
        <v>12195</v>
      </c>
    </row>
    <row r="721" spans="1:10">
      <c r="A721" s="5">
        <v>176077</v>
      </c>
      <c r="B721" s="5" t="s">
        <v>10</v>
      </c>
      <c r="C721" s="5" t="s">
        <v>22</v>
      </c>
      <c r="D721" s="5" t="s">
        <v>12</v>
      </c>
      <c r="E721" s="5" t="s">
        <v>19</v>
      </c>
      <c r="F721" s="5" t="s">
        <v>14</v>
      </c>
      <c r="G721" s="5" t="s">
        <v>15</v>
      </c>
      <c r="H721" s="5">
        <v>37747</v>
      </c>
      <c r="I721" s="5">
        <v>3058</v>
      </c>
      <c r="J721" s="6">
        <f t="shared" si="11"/>
        <v>34689</v>
      </c>
    </row>
    <row r="722" spans="1:10">
      <c r="A722" s="5">
        <v>251449</v>
      </c>
      <c r="B722" s="5" t="s">
        <v>10</v>
      </c>
      <c r="C722" s="5" t="s">
        <v>17</v>
      </c>
      <c r="D722" s="5" t="s">
        <v>29</v>
      </c>
      <c r="E722" s="5" t="s">
        <v>19</v>
      </c>
      <c r="F722" s="5" t="s">
        <v>28</v>
      </c>
      <c r="G722" s="5" t="s">
        <v>24</v>
      </c>
      <c r="H722" s="5">
        <v>36272</v>
      </c>
      <c r="I722" s="5">
        <v>507</v>
      </c>
      <c r="J722" s="6">
        <f t="shared" si="11"/>
        <v>35765</v>
      </c>
    </row>
    <row r="723" spans="1:10">
      <c r="A723" s="5">
        <v>71684</v>
      </c>
      <c r="B723" s="5" t="s">
        <v>16</v>
      </c>
      <c r="C723" s="5" t="s">
        <v>11</v>
      </c>
      <c r="D723" s="5" t="s">
        <v>33</v>
      </c>
      <c r="E723" s="5" t="s">
        <v>13</v>
      </c>
      <c r="F723" s="5" t="s">
        <v>28</v>
      </c>
      <c r="G723" s="5" t="s">
        <v>15</v>
      </c>
      <c r="H723" s="5">
        <v>15685</v>
      </c>
      <c r="I723" s="5">
        <v>55</v>
      </c>
      <c r="J723" s="6">
        <f t="shared" si="11"/>
        <v>15630</v>
      </c>
    </row>
    <row r="724" spans="1:10">
      <c r="A724" s="5">
        <v>213900</v>
      </c>
      <c r="B724" s="5" t="s">
        <v>10</v>
      </c>
      <c r="C724" s="5" t="s">
        <v>11</v>
      </c>
      <c r="D724" s="5" t="s">
        <v>23</v>
      </c>
      <c r="E724" s="5" t="s">
        <v>13</v>
      </c>
      <c r="F724" s="5" t="s">
        <v>14</v>
      </c>
      <c r="G724" s="5" t="s">
        <v>15</v>
      </c>
      <c r="H724" s="5">
        <v>179410</v>
      </c>
      <c r="I724" s="5">
        <v>3116</v>
      </c>
      <c r="J724" s="6">
        <f t="shared" si="11"/>
        <v>176294</v>
      </c>
    </row>
    <row r="725" spans="1:10">
      <c r="A725" s="5">
        <v>63932</v>
      </c>
      <c r="B725" s="5" t="s">
        <v>10</v>
      </c>
      <c r="C725" s="5" t="s">
        <v>27</v>
      </c>
      <c r="D725" s="5" t="s">
        <v>29</v>
      </c>
      <c r="E725" s="5" t="s">
        <v>13</v>
      </c>
      <c r="F725" s="5" t="s">
        <v>14</v>
      </c>
      <c r="G725" s="5" t="s">
        <v>15</v>
      </c>
      <c r="H725" s="5">
        <v>84562</v>
      </c>
      <c r="I725" s="5">
        <v>6401</v>
      </c>
      <c r="J725" s="6">
        <f t="shared" si="11"/>
        <v>78161</v>
      </c>
    </row>
    <row r="726" spans="1:10">
      <c r="A726" s="5">
        <v>199294</v>
      </c>
      <c r="B726" s="5" t="s">
        <v>16</v>
      </c>
      <c r="C726" s="5" t="s">
        <v>39</v>
      </c>
      <c r="D726" s="5" t="s">
        <v>32</v>
      </c>
      <c r="E726" s="5" t="s">
        <v>13</v>
      </c>
      <c r="F726" s="5" t="s">
        <v>14</v>
      </c>
      <c r="G726" s="5" t="s">
        <v>15</v>
      </c>
      <c r="H726" s="5">
        <v>33852</v>
      </c>
      <c r="I726" s="5">
        <v>528</v>
      </c>
      <c r="J726" s="6">
        <f t="shared" si="11"/>
        <v>33324</v>
      </c>
    </row>
    <row r="727" spans="1:10">
      <c r="A727" s="5">
        <v>72731</v>
      </c>
      <c r="B727" s="5" t="s">
        <v>10</v>
      </c>
      <c r="C727" s="5" t="s">
        <v>27</v>
      </c>
      <c r="D727" s="5" t="s">
        <v>23</v>
      </c>
      <c r="E727" s="5" t="s">
        <v>13</v>
      </c>
      <c r="F727" s="5" t="s">
        <v>14</v>
      </c>
      <c r="G727" s="5" t="s">
        <v>24</v>
      </c>
      <c r="H727" s="5">
        <v>41819</v>
      </c>
      <c r="I727" s="5">
        <v>1012</v>
      </c>
      <c r="J727" s="6">
        <f t="shared" si="11"/>
        <v>40807</v>
      </c>
    </row>
    <row r="728" spans="1:10">
      <c r="A728" s="5">
        <v>99834</v>
      </c>
      <c r="B728" s="5" t="s">
        <v>16</v>
      </c>
      <c r="C728" s="5" t="s">
        <v>34</v>
      </c>
      <c r="D728" s="5" t="s">
        <v>36</v>
      </c>
      <c r="E728" s="5" t="s">
        <v>19</v>
      </c>
      <c r="F728" s="5" t="s">
        <v>14</v>
      </c>
      <c r="G728" s="5" t="s">
        <v>24</v>
      </c>
      <c r="H728" s="5">
        <v>38434</v>
      </c>
      <c r="I728" s="5">
        <v>317</v>
      </c>
      <c r="J728" s="6">
        <f t="shared" si="11"/>
        <v>38117</v>
      </c>
    </row>
    <row r="729" spans="1:10">
      <c r="A729" s="5">
        <v>161786</v>
      </c>
      <c r="B729" s="5" t="s">
        <v>16</v>
      </c>
      <c r="C729" s="5" t="s">
        <v>25</v>
      </c>
      <c r="D729" s="5" t="s">
        <v>30</v>
      </c>
      <c r="E729" s="5" t="s">
        <v>13</v>
      </c>
      <c r="F729" s="5" t="s">
        <v>14</v>
      </c>
      <c r="G729" s="5" t="s">
        <v>24</v>
      </c>
      <c r="H729" s="5">
        <v>28082</v>
      </c>
      <c r="I729" s="5">
        <v>1764</v>
      </c>
      <c r="J729" s="6">
        <f t="shared" si="11"/>
        <v>26318</v>
      </c>
    </row>
    <row r="730" spans="1:10">
      <c r="A730" s="5">
        <v>95259</v>
      </c>
      <c r="B730" s="5" t="s">
        <v>16</v>
      </c>
      <c r="C730" s="5" t="s">
        <v>38</v>
      </c>
      <c r="D730" s="5" t="s">
        <v>33</v>
      </c>
      <c r="E730" s="5" t="s">
        <v>13</v>
      </c>
      <c r="F730" s="5" t="s">
        <v>14</v>
      </c>
      <c r="G730" s="5" t="s">
        <v>15</v>
      </c>
      <c r="H730" s="5">
        <v>23775</v>
      </c>
      <c r="I730" s="5">
        <v>833</v>
      </c>
      <c r="J730" s="6">
        <f t="shared" si="11"/>
        <v>22942</v>
      </c>
    </row>
    <row r="731" spans="1:10">
      <c r="A731" s="5">
        <v>178749</v>
      </c>
      <c r="B731" s="5" t="s">
        <v>16</v>
      </c>
      <c r="C731" s="5" t="s">
        <v>17</v>
      </c>
      <c r="D731" s="5" t="s">
        <v>33</v>
      </c>
      <c r="E731" s="5" t="s">
        <v>19</v>
      </c>
      <c r="F731" s="5" t="s">
        <v>28</v>
      </c>
      <c r="G731" s="5" t="s">
        <v>24</v>
      </c>
      <c r="H731" s="5">
        <v>21889</v>
      </c>
      <c r="I731" s="5">
        <v>0</v>
      </c>
      <c r="J731" s="6">
        <f t="shared" si="11"/>
        <v>21889</v>
      </c>
    </row>
    <row r="732" spans="1:10">
      <c r="A732" s="5">
        <v>34593</v>
      </c>
      <c r="B732" s="5" t="s">
        <v>10</v>
      </c>
      <c r="C732" s="5" t="s">
        <v>35</v>
      </c>
      <c r="D732" s="5" t="s">
        <v>30</v>
      </c>
      <c r="E732" s="5" t="s">
        <v>13</v>
      </c>
      <c r="F732" s="5" t="s">
        <v>28</v>
      </c>
      <c r="G732" s="5" t="s">
        <v>15</v>
      </c>
      <c r="H732" s="5">
        <v>102932</v>
      </c>
      <c r="I732" s="5">
        <v>3460</v>
      </c>
      <c r="J732" s="6">
        <f t="shared" si="11"/>
        <v>99472</v>
      </c>
    </row>
    <row r="733" spans="1:10">
      <c r="A733" s="5">
        <v>97724</v>
      </c>
      <c r="B733" s="5" t="s">
        <v>16</v>
      </c>
      <c r="C733" s="5" t="s">
        <v>34</v>
      </c>
      <c r="D733" s="5" t="s">
        <v>36</v>
      </c>
      <c r="E733" s="5" t="s">
        <v>13</v>
      </c>
      <c r="F733" s="5" t="s">
        <v>14</v>
      </c>
      <c r="G733" s="5" t="s">
        <v>24</v>
      </c>
      <c r="H733" s="5">
        <v>34074</v>
      </c>
      <c r="I733" s="5">
        <v>1060</v>
      </c>
      <c r="J733" s="6">
        <f t="shared" si="11"/>
        <v>33014</v>
      </c>
    </row>
    <row r="734" spans="1:10">
      <c r="A734" s="5">
        <v>95696</v>
      </c>
      <c r="B734" s="5" t="s">
        <v>16</v>
      </c>
      <c r="C734" s="5" t="s">
        <v>39</v>
      </c>
      <c r="D734" s="5" t="s">
        <v>32</v>
      </c>
      <c r="E734" s="5" t="s">
        <v>13</v>
      </c>
      <c r="F734" s="5" t="s">
        <v>14</v>
      </c>
      <c r="G734" s="5" t="s">
        <v>15</v>
      </c>
      <c r="H734" s="5">
        <v>83420</v>
      </c>
      <c r="I734" s="5">
        <v>2844</v>
      </c>
      <c r="J734" s="6">
        <f t="shared" si="11"/>
        <v>80576</v>
      </c>
    </row>
    <row r="735" spans="1:10">
      <c r="A735" s="5">
        <v>177538</v>
      </c>
      <c r="B735" s="5" t="s">
        <v>16</v>
      </c>
      <c r="C735" s="5" t="s">
        <v>25</v>
      </c>
      <c r="D735" s="5" t="s">
        <v>30</v>
      </c>
      <c r="E735" s="5" t="s">
        <v>19</v>
      </c>
      <c r="F735" s="5" t="s">
        <v>28</v>
      </c>
      <c r="G735" s="5" t="s">
        <v>15</v>
      </c>
      <c r="H735" s="5">
        <v>30531</v>
      </c>
      <c r="I735" s="5">
        <v>0</v>
      </c>
      <c r="J735" s="6">
        <f t="shared" si="11"/>
        <v>30531</v>
      </c>
    </row>
    <row r="736" spans="1:10">
      <c r="A736" s="5">
        <v>115505</v>
      </c>
      <c r="B736" s="5" t="s">
        <v>10</v>
      </c>
      <c r="C736" s="5" t="s">
        <v>25</v>
      </c>
      <c r="D736" s="5" t="s">
        <v>12</v>
      </c>
      <c r="E736" s="5" t="s">
        <v>19</v>
      </c>
      <c r="F736" s="5" t="s">
        <v>14</v>
      </c>
      <c r="G736" s="5" t="s">
        <v>15</v>
      </c>
      <c r="H736" s="5">
        <v>95614</v>
      </c>
      <c r="I736" s="5">
        <v>5867</v>
      </c>
      <c r="J736" s="6">
        <f t="shared" si="11"/>
        <v>89747</v>
      </c>
    </row>
    <row r="737" spans="1:10">
      <c r="A737" s="5">
        <v>109731</v>
      </c>
      <c r="B737" s="5" t="s">
        <v>16</v>
      </c>
      <c r="C737" s="5" t="s">
        <v>35</v>
      </c>
      <c r="D737" s="5" t="s">
        <v>26</v>
      </c>
      <c r="E737" s="5" t="s">
        <v>13</v>
      </c>
      <c r="F737" s="5" t="s">
        <v>14</v>
      </c>
      <c r="G737" s="5" t="s">
        <v>24</v>
      </c>
      <c r="H737" s="5">
        <v>4857</v>
      </c>
      <c r="I737" s="5">
        <v>0</v>
      </c>
      <c r="J737" s="6">
        <f t="shared" si="11"/>
        <v>4857</v>
      </c>
    </row>
    <row r="738" spans="1:10">
      <c r="A738" s="5">
        <v>171099</v>
      </c>
      <c r="B738" s="5" t="s">
        <v>10</v>
      </c>
      <c r="C738" s="5" t="s">
        <v>31</v>
      </c>
      <c r="D738" s="5" t="s">
        <v>21</v>
      </c>
      <c r="E738" s="5" t="s">
        <v>19</v>
      </c>
      <c r="F738" s="5" t="s">
        <v>14</v>
      </c>
      <c r="G738" s="5" t="s">
        <v>24</v>
      </c>
      <c r="H738" s="5">
        <v>28839</v>
      </c>
      <c r="I738" s="5">
        <v>605</v>
      </c>
      <c r="J738" s="6">
        <f t="shared" si="11"/>
        <v>28234</v>
      </c>
    </row>
    <row r="739" spans="1:10">
      <c r="A739" s="5">
        <v>227196</v>
      </c>
      <c r="B739" s="5" t="s">
        <v>10</v>
      </c>
      <c r="C739" s="5" t="s">
        <v>25</v>
      </c>
      <c r="D739" s="5" t="s">
        <v>26</v>
      </c>
      <c r="E739" s="5" t="s">
        <v>19</v>
      </c>
      <c r="F739" s="5" t="s">
        <v>28</v>
      </c>
      <c r="G739" s="5" t="s">
        <v>24</v>
      </c>
      <c r="H739" s="5">
        <v>42950</v>
      </c>
      <c r="I739" s="5">
        <v>0</v>
      </c>
      <c r="J739" s="6">
        <f t="shared" si="11"/>
        <v>42950</v>
      </c>
    </row>
    <row r="740" spans="1:10">
      <c r="A740" s="5">
        <v>2664</v>
      </c>
      <c r="B740" s="5" t="s">
        <v>10</v>
      </c>
      <c r="C740" s="5" t="s">
        <v>20</v>
      </c>
      <c r="D740" s="5" t="s">
        <v>32</v>
      </c>
      <c r="E740" s="5" t="s">
        <v>13</v>
      </c>
      <c r="F740" s="5" t="s">
        <v>14</v>
      </c>
      <c r="G740" s="5" t="s">
        <v>24</v>
      </c>
      <c r="H740" s="5">
        <v>17985</v>
      </c>
      <c r="I740" s="5">
        <v>322</v>
      </c>
      <c r="J740" s="6">
        <f t="shared" si="11"/>
        <v>17663</v>
      </c>
    </row>
    <row r="741" spans="1:10">
      <c r="A741" s="5">
        <v>2057</v>
      </c>
      <c r="B741" s="5" t="s">
        <v>16</v>
      </c>
      <c r="C741" s="5" t="s">
        <v>39</v>
      </c>
      <c r="D741" s="5" t="s">
        <v>33</v>
      </c>
      <c r="E741" s="5" t="s">
        <v>19</v>
      </c>
      <c r="F741" s="5" t="s">
        <v>14</v>
      </c>
      <c r="G741" s="5" t="s">
        <v>15</v>
      </c>
      <c r="H741" s="5">
        <v>36043</v>
      </c>
      <c r="I741" s="5">
        <v>7789</v>
      </c>
      <c r="J741" s="6">
        <f t="shared" si="11"/>
        <v>28254</v>
      </c>
    </row>
    <row r="742" spans="1:10">
      <c r="A742" s="5">
        <v>100751</v>
      </c>
      <c r="B742" s="5" t="s">
        <v>10</v>
      </c>
      <c r="C742" s="5" t="s">
        <v>34</v>
      </c>
      <c r="D742" s="5" t="s">
        <v>12</v>
      </c>
      <c r="E742" s="5" t="s">
        <v>13</v>
      </c>
      <c r="F742" s="5" t="s">
        <v>14</v>
      </c>
      <c r="G742" s="5" t="s">
        <v>15</v>
      </c>
      <c r="H742" s="5">
        <v>82008</v>
      </c>
      <c r="I742" s="5">
        <v>4438</v>
      </c>
      <c r="J742" s="6">
        <f t="shared" si="11"/>
        <v>77570</v>
      </c>
    </row>
    <row r="743" spans="1:10">
      <c r="A743" s="5">
        <v>102449</v>
      </c>
      <c r="B743" s="5" t="s">
        <v>16</v>
      </c>
      <c r="C743" s="5" t="s">
        <v>34</v>
      </c>
      <c r="D743" s="5" t="s">
        <v>12</v>
      </c>
      <c r="E743" s="5" t="s">
        <v>13</v>
      </c>
      <c r="F743" s="5" t="s">
        <v>14</v>
      </c>
      <c r="G743" s="5" t="s">
        <v>15</v>
      </c>
      <c r="H743" s="5">
        <v>84090</v>
      </c>
      <c r="I743" s="5">
        <v>4361</v>
      </c>
      <c r="J743" s="6">
        <f t="shared" si="11"/>
        <v>79729</v>
      </c>
    </row>
    <row r="744" spans="1:10">
      <c r="A744" s="5">
        <v>183143</v>
      </c>
      <c r="B744" s="5" t="s">
        <v>10</v>
      </c>
      <c r="C744" s="5" t="s">
        <v>37</v>
      </c>
      <c r="D744" s="5" t="s">
        <v>26</v>
      </c>
      <c r="E744" s="5" t="s">
        <v>13</v>
      </c>
      <c r="F744" s="5" t="s">
        <v>14</v>
      </c>
      <c r="G744" s="5" t="s">
        <v>24</v>
      </c>
      <c r="H744" s="5">
        <v>55127</v>
      </c>
      <c r="I744" s="5">
        <v>1275</v>
      </c>
      <c r="J744" s="6">
        <f t="shared" si="11"/>
        <v>53852</v>
      </c>
    </row>
    <row r="745" spans="1:10">
      <c r="A745" s="5">
        <v>203773</v>
      </c>
      <c r="B745" s="5" t="s">
        <v>16</v>
      </c>
      <c r="C745" s="5" t="s">
        <v>37</v>
      </c>
      <c r="D745" s="5" t="s">
        <v>12</v>
      </c>
      <c r="E745" s="5" t="s">
        <v>13</v>
      </c>
      <c r="F745" s="5" t="s">
        <v>14</v>
      </c>
      <c r="G745" s="5" t="s">
        <v>15</v>
      </c>
      <c r="H745" s="5">
        <v>46703</v>
      </c>
      <c r="I745" s="5">
        <v>325</v>
      </c>
      <c r="J745" s="6">
        <f t="shared" si="11"/>
        <v>46378</v>
      </c>
    </row>
    <row r="746" spans="1:10">
      <c r="A746" s="5">
        <v>48704</v>
      </c>
      <c r="B746" s="5" t="s">
        <v>10</v>
      </c>
      <c r="C746" s="5" t="s">
        <v>27</v>
      </c>
      <c r="D746" s="5" t="s">
        <v>30</v>
      </c>
      <c r="E746" s="5" t="s">
        <v>13</v>
      </c>
      <c r="F746" s="5" t="s">
        <v>14</v>
      </c>
      <c r="G746" s="5" t="s">
        <v>15</v>
      </c>
      <c r="H746" s="5">
        <v>75992</v>
      </c>
      <c r="I746" s="5">
        <v>615</v>
      </c>
      <c r="J746" s="6">
        <f t="shared" si="11"/>
        <v>75377</v>
      </c>
    </row>
    <row r="747" spans="1:10">
      <c r="A747" s="5">
        <v>134449</v>
      </c>
      <c r="B747" s="5" t="s">
        <v>16</v>
      </c>
      <c r="C747" s="5" t="s">
        <v>22</v>
      </c>
      <c r="D747" s="5" t="s">
        <v>30</v>
      </c>
      <c r="E747" s="5" t="s">
        <v>13</v>
      </c>
      <c r="F747" s="5" t="s">
        <v>28</v>
      </c>
      <c r="G747" s="5" t="s">
        <v>15</v>
      </c>
      <c r="H747" s="5">
        <v>47729</v>
      </c>
      <c r="I747" s="5">
        <v>0</v>
      </c>
      <c r="J747" s="6">
        <f t="shared" si="11"/>
        <v>47729</v>
      </c>
    </row>
    <row r="748" spans="1:10">
      <c r="A748" s="5">
        <v>75961</v>
      </c>
      <c r="B748" s="5" t="s">
        <v>16</v>
      </c>
      <c r="C748" s="5" t="s">
        <v>27</v>
      </c>
      <c r="D748" s="5" t="s">
        <v>33</v>
      </c>
      <c r="E748" s="5" t="s">
        <v>19</v>
      </c>
      <c r="F748" s="5" t="s">
        <v>28</v>
      </c>
      <c r="G748" s="5" t="s">
        <v>15</v>
      </c>
      <c r="H748" s="5">
        <v>40390</v>
      </c>
      <c r="I748" s="5">
        <v>318</v>
      </c>
      <c r="J748" s="6">
        <f t="shared" si="11"/>
        <v>40072</v>
      </c>
    </row>
    <row r="749" spans="1:10">
      <c r="A749" s="5">
        <v>241385</v>
      </c>
      <c r="B749" s="5" t="s">
        <v>16</v>
      </c>
      <c r="C749" s="5" t="s">
        <v>35</v>
      </c>
      <c r="D749" s="5" t="s">
        <v>33</v>
      </c>
      <c r="E749" s="5" t="s">
        <v>13</v>
      </c>
      <c r="F749" s="5" t="s">
        <v>14</v>
      </c>
      <c r="G749" s="5" t="s">
        <v>24</v>
      </c>
      <c r="H749" s="5">
        <v>30008</v>
      </c>
      <c r="I749" s="5">
        <v>161</v>
      </c>
      <c r="J749" s="6">
        <f t="shared" si="11"/>
        <v>29847</v>
      </c>
    </row>
    <row r="750" spans="1:10">
      <c r="A750" s="5">
        <v>10099</v>
      </c>
      <c r="B750" s="5" t="s">
        <v>10</v>
      </c>
      <c r="C750" s="5" t="s">
        <v>20</v>
      </c>
      <c r="D750" s="5" t="s">
        <v>32</v>
      </c>
      <c r="E750" s="5" t="s">
        <v>13</v>
      </c>
      <c r="F750" s="5" t="s">
        <v>14</v>
      </c>
      <c r="G750" s="5" t="s">
        <v>15</v>
      </c>
      <c r="H750" s="5">
        <v>77602</v>
      </c>
      <c r="I750" s="5">
        <v>0</v>
      </c>
      <c r="J750" s="6">
        <f t="shared" si="11"/>
        <v>77602</v>
      </c>
    </row>
    <row r="751" spans="1:10">
      <c r="A751" s="5">
        <v>172962</v>
      </c>
      <c r="B751" s="5" t="s">
        <v>16</v>
      </c>
      <c r="C751" s="5" t="s">
        <v>31</v>
      </c>
      <c r="D751" s="5" t="s">
        <v>36</v>
      </c>
      <c r="E751" s="5" t="s">
        <v>19</v>
      </c>
      <c r="F751" s="5" t="s">
        <v>28</v>
      </c>
      <c r="G751" s="5" t="s">
        <v>24</v>
      </c>
      <c r="H751" s="5">
        <v>6657</v>
      </c>
      <c r="I751" s="5">
        <v>0</v>
      </c>
      <c r="J751" s="6">
        <f t="shared" si="11"/>
        <v>6657</v>
      </c>
    </row>
    <row r="752" spans="1:10">
      <c r="A752" s="5">
        <v>209832</v>
      </c>
      <c r="B752" s="5" t="s">
        <v>16</v>
      </c>
      <c r="C752" s="5" t="s">
        <v>38</v>
      </c>
      <c r="D752" s="5" t="s">
        <v>12</v>
      </c>
      <c r="E752" s="5" t="s">
        <v>13</v>
      </c>
      <c r="F752" s="5" t="s">
        <v>14</v>
      </c>
      <c r="G752" s="5" t="s">
        <v>15</v>
      </c>
      <c r="H752" s="5">
        <v>113967</v>
      </c>
      <c r="I752" s="5">
        <v>4431</v>
      </c>
      <c r="J752" s="6">
        <f t="shared" si="11"/>
        <v>109536</v>
      </c>
    </row>
    <row r="753" spans="1:10">
      <c r="A753" s="5">
        <v>237184</v>
      </c>
      <c r="B753" s="5" t="s">
        <v>16</v>
      </c>
      <c r="C753" s="5" t="s">
        <v>25</v>
      </c>
      <c r="D753" s="5" t="s">
        <v>33</v>
      </c>
      <c r="E753" s="5" t="s">
        <v>13</v>
      </c>
      <c r="F753" s="5" t="s">
        <v>14</v>
      </c>
      <c r="G753" s="5" t="s">
        <v>24</v>
      </c>
      <c r="H753" s="5">
        <v>37298</v>
      </c>
      <c r="I753" s="5">
        <v>1880</v>
      </c>
      <c r="J753" s="6">
        <f t="shared" si="11"/>
        <v>35418</v>
      </c>
    </row>
    <row r="754" spans="1:10">
      <c r="A754" s="5">
        <v>74814</v>
      </c>
      <c r="B754" s="5" t="s">
        <v>10</v>
      </c>
      <c r="C754" s="5" t="s">
        <v>34</v>
      </c>
      <c r="D754" s="5" t="s">
        <v>32</v>
      </c>
      <c r="E754" s="5" t="s">
        <v>13</v>
      </c>
      <c r="F754" s="5" t="s">
        <v>14</v>
      </c>
      <c r="G754" s="5" t="s">
        <v>24</v>
      </c>
      <c r="H754" s="5">
        <v>22435</v>
      </c>
      <c r="I754" s="5">
        <v>0</v>
      </c>
      <c r="J754" s="6">
        <f t="shared" si="11"/>
        <v>22435</v>
      </c>
    </row>
    <row r="755" spans="1:10">
      <c r="A755" s="5">
        <v>89712</v>
      </c>
      <c r="B755" s="5" t="s">
        <v>10</v>
      </c>
      <c r="C755" s="5" t="s">
        <v>38</v>
      </c>
      <c r="D755" s="5" t="s">
        <v>32</v>
      </c>
      <c r="E755" s="5" t="s">
        <v>13</v>
      </c>
      <c r="F755" s="5" t="s">
        <v>28</v>
      </c>
      <c r="G755" s="5" t="s">
        <v>15</v>
      </c>
      <c r="H755" s="5">
        <v>6544</v>
      </c>
      <c r="I755" s="5">
        <v>11</v>
      </c>
      <c r="J755" s="6">
        <f t="shared" si="11"/>
        <v>6533</v>
      </c>
    </row>
    <row r="756" spans="1:10">
      <c r="A756" s="5">
        <v>93995</v>
      </c>
      <c r="B756" s="5" t="s">
        <v>10</v>
      </c>
      <c r="C756" s="5" t="s">
        <v>38</v>
      </c>
      <c r="D756" s="5" t="s">
        <v>32</v>
      </c>
      <c r="E756" s="5" t="s">
        <v>13</v>
      </c>
      <c r="F756" s="5" t="s">
        <v>14</v>
      </c>
      <c r="G756" s="5" t="s">
        <v>24</v>
      </c>
      <c r="H756" s="5">
        <v>25845</v>
      </c>
      <c r="I756" s="5">
        <v>1975</v>
      </c>
      <c r="J756" s="6">
        <f t="shared" si="11"/>
        <v>23870</v>
      </c>
    </row>
    <row r="757" spans="1:10">
      <c r="A757" s="5">
        <v>40587</v>
      </c>
      <c r="B757" s="5" t="s">
        <v>16</v>
      </c>
      <c r="C757" s="5" t="s">
        <v>38</v>
      </c>
      <c r="D757" s="5" t="s">
        <v>33</v>
      </c>
      <c r="E757" s="5" t="s">
        <v>13</v>
      </c>
      <c r="F757" s="5" t="s">
        <v>14</v>
      </c>
      <c r="G757" s="5" t="s">
        <v>15</v>
      </c>
      <c r="H757" s="5">
        <v>63641</v>
      </c>
      <c r="I757" s="5">
        <v>63</v>
      </c>
      <c r="J757" s="6">
        <f t="shared" si="11"/>
        <v>63578</v>
      </c>
    </row>
    <row r="758" spans="1:10">
      <c r="A758" s="5">
        <v>139341</v>
      </c>
      <c r="B758" s="5" t="s">
        <v>10</v>
      </c>
      <c r="C758" s="5" t="s">
        <v>25</v>
      </c>
      <c r="D758" s="5" t="s">
        <v>36</v>
      </c>
      <c r="E758" s="5" t="s">
        <v>19</v>
      </c>
      <c r="F758" s="5" t="s">
        <v>14</v>
      </c>
      <c r="G758" s="5" t="s">
        <v>15</v>
      </c>
      <c r="H758" s="5">
        <v>4002</v>
      </c>
      <c r="I758" s="5">
        <v>0</v>
      </c>
      <c r="J758" s="6">
        <f t="shared" si="11"/>
        <v>4002</v>
      </c>
    </row>
    <row r="759" spans="1:10">
      <c r="A759" s="5">
        <v>202417</v>
      </c>
      <c r="B759" s="5" t="s">
        <v>10</v>
      </c>
      <c r="C759" s="5" t="s">
        <v>37</v>
      </c>
      <c r="D759" s="5" t="s">
        <v>30</v>
      </c>
      <c r="E759" s="5" t="s">
        <v>13</v>
      </c>
      <c r="F759" s="5" t="s">
        <v>14</v>
      </c>
      <c r="G759" s="5" t="s">
        <v>15</v>
      </c>
      <c r="H759" s="5">
        <v>54800</v>
      </c>
      <c r="I759" s="5">
        <v>4226</v>
      </c>
      <c r="J759" s="6">
        <f t="shared" si="11"/>
        <v>50574</v>
      </c>
    </row>
    <row r="760" spans="1:10">
      <c r="A760" s="5">
        <v>232392</v>
      </c>
      <c r="B760" s="5" t="s">
        <v>10</v>
      </c>
      <c r="C760" s="5" t="s">
        <v>17</v>
      </c>
      <c r="D760" s="5" t="s">
        <v>18</v>
      </c>
      <c r="E760" s="5" t="s">
        <v>19</v>
      </c>
      <c r="F760" s="5" t="s">
        <v>14</v>
      </c>
      <c r="G760" s="5" t="s">
        <v>24</v>
      </c>
      <c r="H760" s="5">
        <v>25379</v>
      </c>
      <c r="I760" s="5">
        <v>249</v>
      </c>
      <c r="J760" s="6">
        <f t="shared" si="11"/>
        <v>25130</v>
      </c>
    </row>
    <row r="761" spans="1:10">
      <c r="A761" s="5">
        <v>251085</v>
      </c>
      <c r="B761" s="5" t="s">
        <v>10</v>
      </c>
      <c r="C761" s="5" t="s">
        <v>39</v>
      </c>
      <c r="D761" s="5" t="s">
        <v>21</v>
      </c>
      <c r="E761" s="5" t="s">
        <v>13</v>
      </c>
      <c r="F761" s="5" t="s">
        <v>14</v>
      </c>
      <c r="G761" s="5" t="s">
        <v>15</v>
      </c>
      <c r="H761" s="5">
        <v>12899</v>
      </c>
      <c r="I761" s="5">
        <v>0</v>
      </c>
      <c r="J761" s="6">
        <f t="shared" si="11"/>
        <v>12899</v>
      </c>
    </row>
    <row r="762" spans="1:10">
      <c r="A762" s="5">
        <v>165703</v>
      </c>
      <c r="B762" s="5" t="s">
        <v>16</v>
      </c>
      <c r="C762" s="5" t="s">
        <v>27</v>
      </c>
      <c r="D762" s="5" t="s">
        <v>33</v>
      </c>
      <c r="E762" s="5" t="s">
        <v>13</v>
      </c>
      <c r="F762" s="5" t="s">
        <v>28</v>
      </c>
      <c r="G762" s="5" t="s">
        <v>24</v>
      </c>
      <c r="H762" s="5">
        <v>12492</v>
      </c>
      <c r="I762" s="5">
        <v>0</v>
      </c>
      <c r="J762" s="6">
        <f t="shared" si="11"/>
        <v>12492</v>
      </c>
    </row>
    <row r="763" spans="1:10">
      <c r="A763" s="5">
        <v>7293</v>
      </c>
      <c r="B763" s="5" t="s">
        <v>10</v>
      </c>
      <c r="C763" s="5" t="s">
        <v>37</v>
      </c>
      <c r="D763" s="5" t="s">
        <v>12</v>
      </c>
      <c r="E763" s="5" t="s">
        <v>13</v>
      </c>
      <c r="F763" s="5" t="s">
        <v>14</v>
      </c>
      <c r="G763" s="5" t="s">
        <v>15</v>
      </c>
      <c r="H763" s="5">
        <v>308104</v>
      </c>
      <c r="I763" s="5">
        <v>1083</v>
      </c>
      <c r="J763" s="6">
        <f t="shared" si="11"/>
        <v>307021</v>
      </c>
    </row>
    <row r="764" spans="1:10">
      <c r="A764" s="5">
        <v>133874</v>
      </c>
      <c r="B764" s="5" t="s">
        <v>10</v>
      </c>
      <c r="C764" s="5" t="s">
        <v>25</v>
      </c>
      <c r="D764" s="5" t="s">
        <v>21</v>
      </c>
      <c r="E764" s="5" t="s">
        <v>19</v>
      </c>
      <c r="F764" s="5" t="s">
        <v>28</v>
      </c>
      <c r="G764" s="5" t="s">
        <v>24</v>
      </c>
      <c r="H764" s="5">
        <v>4796</v>
      </c>
      <c r="I764" s="5">
        <v>0</v>
      </c>
      <c r="J764" s="6">
        <f t="shared" si="11"/>
        <v>4796</v>
      </c>
    </row>
    <row r="765" spans="1:10">
      <c r="A765" s="5">
        <v>98414</v>
      </c>
      <c r="B765" s="5" t="s">
        <v>10</v>
      </c>
      <c r="C765" s="5" t="s">
        <v>34</v>
      </c>
      <c r="D765" s="5" t="s">
        <v>32</v>
      </c>
      <c r="E765" s="5" t="s">
        <v>13</v>
      </c>
      <c r="F765" s="5" t="s">
        <v>14</v>
      </c>
      <c r="G765" s="5" t="s">
        <v>15</v>
      </c>
      <c r="H765" s="5">
        <v>141894</v>
      </c>
      <c r="I765" s="5">
        <v>3784</v>
      </c>
      <c r="J765" s="6">
        <f t="shared" si="11"/>
        <v>138110</v>
      </c>
    </row>
    <row r="766" spans="1:10">
      <c r="A766" s="5">
        <v>258399</v>
      </c>
      <c r="B766" s="5" t="s">
        <v>10</v>
      </c>
      <c r="C766" s="5" t="s">
        <v>17</v>
      </c>
      <c r="D766" s="5" t="s">
        <v>23</v>
      </c>
      <c r="E766" s="5" t="s">
        <v>19</v>
      </c>
      <c r="F766" s="5" t="s">
        <v>14</v>
      </c>
      <c r="G766" s="5" t="s">
        <v>24</v>
      </c>
      <c r="H766" s="5">
        <v>40195</v>
      </c>
      <c r="I766" s="5">
        <v>4424</v>
      </c>
      <c r="J766" s="6">
        <f t="shared" si="11"/>
        <v>35771</v>
      </c>
    </row>
    <row r="767" spans="1:10">
      <c r="A767" s="5">
        <v>175359</v>
      </c>
      <c r="B767" s="5" t="s">
        <v>16</v>
      </c>
      <c r="C767" s="5" t="s">
        <v>22</v>
      </c>
      <c r="D767" s="5" t="s">
        <v>18</v>
      </c>
      <c r="E767" s="5" t="s">
        <v>13</v>
      </c>
      <c r="F767" s="5" t="s">
        <v>14</v>
      </c>
      <c r="G767" s="5" t="s">
        <v>15</v>
      </c>
      <c r="H767" s="5">
        <v>995</v>
      </c>
      <c r="I767" s="5">
        <v>279</v>
      </c>
      <c r="J767" s="6">
        <f t="shared" si="11"/>
        <v>716</v>
      </c>
    </row>
    <row r="768" spans="1:10">
      <c r="A768" s="5">
        <v>172160</v>
      </c>
      <c r="B768" s="5" t="s">
        <v>16</v>
      </c>
      <c r="C768" s="5" t="s">
        <v>11</v>
      </c>
      <c r="D768" s="5" t="s">
        <v>21</v>
      </c>
      <c r="E768" s="5" t="s">
        <v>13</v>
      </c>
      <c r="F768" s="5" t="s">
        <v>14</v>
      </c>
      <c r="G768" s="5" t="s">
        <v>15</v>
      </c>
      <c r="H768" s="5">
        <v>44641</v>
      </c>
      <c r="I768" s="5">
        <v>444</v>
      </c>
      <c r="J768" s="6">
        <f t="shared" si="11"/>
        <v>44197</v>
      </c>
    </row>
    <row r="769" spans="1:10">
      <c r="A769" s="5">
        <v>19953</v>
      </c>
      <c r="B769" s="5" t="s">
        <v>10</v>
      </c>
      <c r="C769" s="5" t="s">
        <v>11</v>
      </c>
      <c r="D769" s="5" t="s">
        <v>12</v>
      </c>
      <c r="E769" s="5" t="s">
        <v>13</v>
      </c>
      <c r="F769" s="5" t="s">
        <v>14</v>
      </c>
      <c r="G769" s="5" t="s">
        <v>15</v>
      </c>
      <c r="H769" s="5">
        <v>64028</v>
      </c>
      <c r="I769" s="5">
        <v>1640</v>
      </c>
      <c r="J769" s="6">
        <f t="shared" si="11"/>
        <v>62388</v>
      </c>
    </row>
    <row r="770" spans="1:10">
      <c r="A770" s="5">
        <v>134335</v>
      </c>
      <c r="B770" s="5" t="s">
        <v>10</v>
      </c>
      <c r="C770" s="5" t="s">
        <v>25</v>
      </c>
      <c r="D770" s="5" t="s">
        <v>32</v>
      </c>
      <c r="E770" s="5" t="s">
        <v>13</v>
      </c>
      <c r="F770" s="5" t="s">
        <v>14</v>
      </c>
      <c r="G770" s="5" t="s">
        <v>24</v>
      </c>
      <c r="H770" s="5">
        <v>21963</v>
      </c>
      <c r="I770" s="5">
        <v>0</v>
      </c>
      <c r="J770" s="6">
        <f t="shared" ref="J770:J833" si="12">H770-I770</f>
        <v>21963</v>
      </c>
    </row>
    <row r="771" spans="1:10">
      <c r="A771" s="5">
        <v>106589</v>
      </c>
      <c r="B771" s="5" t="s">
        <v>10</v>
      </c>
      <c r="C771" s="5" t="s">
        <v>25</v>
      </c>
      <c r="D771" s="5" t="s">
        <v>26</v>
      </c>
      <c r="E771" s="5" t="s">
        <v>19</v>
      </c>
      <c r="F771" s="5" t="s">
        <v>14</v>
      </c>
      <c r="G771" s="5" t="s">
        <v>24</v>
      </c>
      <c r="H771" s="5">
        <v>93019</v>
      </c>
      <c r="I771" s="5">
        <v>19172</v>
      </c>
      <c r="J771" s="6">
        <f t="shared" si="12"/>
        <v>73847</v>
      </c>
    </row>
    <row r="772" spans="1:10">
      <c r="A772" s="5">
        <v>195840</v>
      </c>
      <c r="B772" s="5" t="s">
        <v>16</v>
      </c>
      <c r="C772" s="5" t="s">
        <v>34</v>
      </c>
      <c r="D772" s="5" t="s">
        <v>26</v>
      </c>
      <c r="E772" s="5" t="s">
        <v>19</v>
      </c>
      <c r="F772" s="5" t="s">
        <v>14</v>
      </c>
      <c r="G772" s="5" t="s">
        <v>24</v>
      </c>
      <c r="H772" s="5">
        <v>34034</v>
      </c>
      <c r="I772" s="5">
        <v>265</v>
      </c>
      <c r="J772" s="6">
        <f t="shared" si="12"/>
        <v>33769</v>
      </c>
    </row>
    <row r="773" spans="1:10">
      <c r="A773" s="5">
        <v>202686</v>
      </c>
      <c r="B773" s="5" t="s">
        <v>16</v>
      </c>
      <c r="C773" s="5" t="s">
        <v>37</v>
      </c>
      <c r="D773" s="5" t="s">
        <v>18</v>
      </c>
      <c r="E773" s="5" t="s">
        <v>13</v>
      </c>
      <c r="F773" s="5" t="s">
        <v>14</v>
      </c>
      <c r="G773" s="5" t="s">
        <v>15</v>
      </c>
      <c r="H773" s="5">
        <v>21462</v>
      </c>
      <c r="I773" s="5">
        <v>0</v>
      </c>
      <c r="J773" s="6">
        <f t="shared" si="12"/>
        <v>21462</v>
      </c>
    </row>
    <row r="774" spans="1:10">
      <c r="A774" s="5">
        <v>29893</v>
      </c>
      <c r="B774" s="5" t="s">
        <v>10</v>
      </c>
      <c r="C774" s="5" t="s">
        <v>11</v>
      </c>
      <c r="D774" s="5" t="s">
        <v>29</v>
      </c>
      <c r="E774" s="5" t="s">
        <v>13</v>
      </c>
      <c r="F774" s="5" t="s">
        <v>14</v>
      </c>
      <c r="G774" s="5" t="s">
        <v>24</v>
      </c>
      <c r="H774" s="5">
        <v>37850</v>
      </c>
      <c r="I774" s="5">
        <v>285</v>
      </c>
      <c r="J774" s="6">
        <f t="shared" si="12"/>
        <v>37565</v>
      </c>
    </row>
    <row r="775" spans="1:10">
      <c r="A775" s="5">
        <v>245623</v>
      </c>
      <c r="B775" s="5" t="s">
        <v>10</v>
      </c>
      <c r="C775" s="5" t="s">
        <v>17</v>
      </c>
      <c r="D775" s="5" t="s">
        <v>29</v>
      </c>
      <c r="E775" s="5" t="s">
        <v>19</v>
      </c>
      <c r="F775" s="5" t="s">
        <v>28</v>
      </c>
      <c r="G775" s="5" t="s">
        <v>15</v>
      </c>
      <c r="H775" s="5">
        <v>28095</v>
      </c>
      <c r="I775" s="5">
        <v>245</v>
      </c>
      <c r="J775" s="6">
        <f t="shared" si="12"/>
        <v>27850</v>
      </c>
    </row>
    <row r="776" spans="1:10">
      <c r="A776" s="5">
        <v>251206</v>
      </c>
      <c r="B776" s="5" t="s">
        <v>16</v>
      </c>
      <c r="C776" s="5" t="s">
        <v>17</v>
      </c>
      <c r="D776" s="5" t="s">
        <v>36</v>
      </c>
      <c r="E776" s="5" t="s">
        <v>19</v>
      </c>
      <c r="F776" s="5" t="s">
        <v>14</v>
      </c>
      <c r="G776" s="5" t="s">
        <v>24</v>
      </c>
      <c r="H776" s="5">
        <v>36550</v>
      </c>
      <c r="I776" s="5">
        <v>2936</v>
      </c>
      <c r="J776" s="6">
        <f t="shared" si="12"/>
        <v>33614</v>
      </c>
    </row>
    <row r="777" spans="1:10">
      <c r="A777" s="5">
        <v>140007</v>
      </c>
      <c r="B777" s="5" t="s">
        <v>10</v>
      </c>
      <c r="C777" s="5" t="s">
        <v>17</v>
      </c>
      <c r="D777" s="5" t="s">
        <v>18</v>
      </c>
      <c r="E777" s="5" t="s">
        <v>19</v>
      </c>
      <c r="F777" s="5" t="s">
        <v>14</v>
      </c>
      <c r="G777" s="5" t="s">
        <v>15</v>
      </c>
      <c r="H777" s="5">
        <v>5530</v>
      </c>
      <c r="I777" s="5">
        <v>92</v>
      </c>
      <c r="J777" s="6">
        <f t="shared" si="12"/>
        <v>5438</v>
      </c>
    </row>
    <row r="778" spans="1:10">
      <c r="A778" s="5">
        <v>219657</v>
      </c>
      <c r="B778" s="5" t="s">
        <v>16</v>
      </c>
      <c r="C778" s="5" t="s">
        <v>25</v>
      </c>
      <c r="D778" s="5" t="s">
        <v>21</v>
      </c>
      <c r="E778" s="5" t="s">
        <v>13</v>
      </c>
      <c r="F778" s="5" t="s">
        <v>28</v>
      </c>
      <c r="G778" s="5" t="s">
        <v>24</v>
      </c>
      <c r="H778" s="5">
        <v>55341</v>
      </c>
      <c r="I778" s="5">
        <v>1625</v>
      </c>
      <c r="J778" s="6">
        <f t="shared" si="12"/>
        <v>53716</v>
      </c>
    </row>
    <row r="779" spans="1:10">
      <c r="A779" s="5">
        <v>155122</v>
      </c>
      <c r="B779" s="5" t="s">
        <v>16</v>
      </c>
      <c r="C779" s="5" t="s">
        <v>17</v>
      </c>
      <c r="D779" s="5" t="s">
        <v>18</v>
      </c>
      <c r="E779" s="5" t="s">
        <v>19</v>
      </c>
      <c r="F779" s="5" t="s">
        <v>28</v>
      </c>
      <c r="G779" s="5" t="s">
        <v>15</v>
      </c>
      <c r="H779" s="5">
        <v>25552</v>
      </c>
      <c r="I779" s="5">
        <v>117</v>
      </c>
      <c r="J779" s="6">
        <f t="shared" si="12"/>
        <v>25435</v>
      </c>
    </row>
    <row r="780" spans="1:10">
      <c r="A780" s="5">
        <v>209635</v>
      </c>
      <c r="B780" s="5" t="s">
        <v>16</v>
      </c>
      <c r="C780" s="5" t="s">
        <v>38</v>
      </c>
      <c r="D780" s="5" t="s">
        <v>33</v>
      </c>
      <c r="E780" s="5" t="s">
        <v>13</v>
      </c>
      <c r="F780" s="5" t="s">
        <v>28</v>
      </c>
      <c r="G780" s="5" t="s">
        <v>15</v>
      </c>
      <c r="H780" s="5">
        <v>57115</v>
      </c>
      <c r="I780" s="5">
        <v>937</v>
      </c>
      <c r="J780" s="6">
        <f t="shared" si="12"/>
        <v>56178</v>
      </c>
    </row>
    <row r="781" spans="1:10">
      <c r="A781" s="5">
        <v>24808</v>
      </c>
      <c r="B781" s="5" t="s">
        <v>16</v>
      </c>
      <c r="C781" s="5" t="s">
        <v>11</v>
      </c>
      <c r="D781" s="5" t="s">
        <v>32</v>
      </c>
      <c r="E781" s="5" t="s">
        <v>13</v>
      </c>
      <c r="F781" s="5" t="s">
        <v>14</v>
      </c>
      <c r="G781" s="5" t="s">
        <v>15</v>
      </c>
      <c r="H781" s="5">
        <v>203977</v>
      </c>
      <c r="I781" s="5">
        <v>36100</v>
      </c>
      <c r="J781" s="6">
        <f t="shared" si="12"/>
        <v>167877</v>
      </c>
    </row>
    <row r="782" spans="1:10">
      <c r="A782" s="5">
        <v>194182</v>
      </c>
      <c r="B782" s="5" t="s">
        <v>16</v>
      </c>
      <c r="C782" s="5" t="s">
        <v>11</v>
      </c>
      <c r="D782" s="5" t="s">
        <v>23</v>
      </c>
      <c r="E782" s="5" t="s">
        <v>13</v>
      </c>
      <c r="F782" s="5" t="s">
        <v>28</v>
      </c>
      <c r="G782" s="5" t="s">
        <v>15</v>
      </c>
      <c r="H782" s="5">
        <v>33192</v>
      </c>
      <c r="I782" s="5">
        <v>269</v>
      </c>
      <c r="J782" s="6">
        <f t="shared" si="12"/>
        <v>32923</v>
      </c>
    </row>
    <row r="783" spans="1:10">
      <c r="A783" s="5">
        <v>28655</v>
      </c>
      <c r="B783" s="5" t="s">
        <v>10</v>
      </c>
      <c r="C783" s="5" t="s">
        <v>35</v>
      </c>
      <c r="D783" s="5" t="s">
        <v>23</v>
      </c>
      <c r="E783" s="5" t="s">
        <v>13</v>
      </c>
      <c r="F783" s="5" t="s">
        <v>28</v>
      </c>
      <c r="G783" s="5" t="s">
        <v>24</v>
      </c>
      <c r="H783" s="5">
        <v>93232</v>
      </c>
      <c r="I783" s="5">
        <v>164</v>
      </c>
      <c r="J783" s="6">
        <f t="shared" si="12"/>
        <v>93068</v>
      </c>
    </row>
    <row r="784" spans="1:10">
      <c r="A784" s="5">
        <v>176587</v>
      </c>
      <c r="B784" s="5" t="s">
        <v>16</v>
      </c>
      <c r="C784" s="5" t="s">
        <v>17</v>
      </c>
      <c r="D784" s="5" t="s">
        <v>18</v>
      </c>
      <c r="E784" s="5" t="s">
        <v>19</v>
      </c>
      <c r="F784" s="5" t="s">
        <v>28</v>
      </c>
      <c r="G784" s="5" t="s">
        <v>24</v>
      </c>
      <c r="H784" s="5">
        <v>30325</v>
      </c>
      <c r="I784" s="5">
        <v>183</v>
      </c>
      <c r="J784" s="6">
        <f t="shared" si="12"/>
        <v>30142</v>
      </c>
    </row>
    <row r="785" spans="1:10">
      <c r="A785" s="5">
        <v>188556</v>
      </c>
      <c r="B785" s="5" t="s">
        <v>10</v>
      </c>
      <c r="C785" s="5" t="s">
        <v>20</v>
      </c>
      <c r="D785" s="5" t="s">
        <v>32</v>
      </c>
      <c r="E785" s="5" t="s">
        <v>13</v>
      </c>
      <c r="F785" s="5" t="s">
        <v>14</v>
      </c>
      <c r="G785" s="5" t="s">
        <v>15</v>
      </c>
      <c r="H785" s="5">
        <v>47299</v>
      </c>
      <c r="I785" s="5">
        <v>290</v>
      </c>
      <c r="J785" s="6">
        <f t="shared" si="12"/>
        <v>47009</v>
      </c>
    </row>
    <row r="786" spans="1:10">
      <c r="A786" s="5">
        <v>50450</v>
      </c>
      <c r="B786" s="5" t="s">
        <v>16</v>
      </c>
      <c r="C786" s="5" t="s">
        <v>35</v>
      </c>
      <c r="D786" s="5" t="s">
        <v>12</v>
      </c>
      <c r="E786" s="5" t="s">
        <v>13</v>
      </c>
      <c r="F786" s="5" t="s">
        <v>14</v>
      </c>
      <c r="G786" s="5" t="s">
        <v>15</v>
      </c>
      <c r="H786" s="5">
        <v>13812</v>
      </c>
      <c r="I786" s="5">
        <v>0</v>
      </c>
      <c r="J786" s="6">
        <f t="shared" si="12"/>
        <v>13812</v>
      </c>
    </row>
    <row r="787" spans="1:10">
      <c r="A787" s="5">
        <v>35784</v>
      </c>
      <c r="B787" s="5" t="s">
        <v>10</v>
      </c>
      <c r="C787" s="5" t="s">
        <v>35</v>
      </c>
      <c r="D787" s="5" t="s">
        <v>26</v>
      </c>
      <c r="E787" s="5" t="s">
        <v>13</v>
      </c>
      <c r="F787" s="5" t="s">
        <v>28</v>
      </c>
      <c r="G787" s="5" t="s">
        <v>15</v>
      </c>
      <c r="H787" s="5">
        <v>122128</v>
      </c>
      <c r="I787" s="5">
        <v>5831</v>
      </c>
      <c r="J787" s="6">
        <f t="shared" si="12"/>
        <v>116297</v>
      </c>
    </row>
    <row r="788" spans="1:10">
      <c r="A788" s="5">
        <v>80318</v>
      </c>
      <c r="B788" s="5" t="s">
        <v>10</v>
      </c>
      <c r="C788" s="5" t="s">
        <v>37</v>
      </c>
      <c r="D788" s="5" t="s">
        <v>29</v>
      </c>
      <c r="E788" s="5" t="s">
        <v>13</v>
      </c>
      <c r="F788" s="5" t="s">
        <v>14</v>
      </c>
      <c r="G788" s="5" t="s">
        <v>24</v>
      </c>
      <c r="H788" s="5">
        <v>22998</v>
      </c>
      <c r="I788" s="5">
        <v>198</v>
      </c>
      <c r="J788" s="6">
        <f t="shared" si="12"/>
        <v>22800</v>
      </c>
    </row>
    <row r="789" spans="1:10">
      <c r="A789" s="5">
        <v>13114</v>
      </c>
      <c r="B789" s="5" t="s">
        <v>16</v>
      </c>
      <c r="C789" s="5" t="s">
        <v>34</v>
      </c>
      <c r="D789" s="5" t="s">
        <v>18</v>
      </c>
      <c r="E789" s="5" t="s">
        <v>13</v>
      </c>
      <c r="F789" s="5" t="s">
        <v>14</v>
      </c>
      <c r="G789" s="5" t="s">
        <v>15</v>
      </c>
      <c r="H789" s="5">
        <v>29097</v>
      </c>
      <c r="I789" s="5">
        <v>6997</v>
      </c>
      <c r="J789" s="6">
        <f t="shared" si="12"/>
        <v>22100</v>
      </c>
    </row>
    <row r="790" spans="1:10">
      <c r="A790" s="5">
        <v>238848</v>
      </c>
      <c r="B790" s="5" t="s">
        <v>10</v>
      </c>
      <c r="C790" s="5" t="s">
        <v>34</v>
      </c>
      <c r="D790" s="5" t="s">
        <v>32</v>
      </c>
      <c r="E790" s="5" t="s">
        <v>13</v>
      </c>
      <c r="F790" s="5" t="s">
        <v>14</v>
      </c>
      <c r="G790" s="5" t="s">
        <v>24</v>
      </c>
      <c r="H790" s="5">
        <v>19903</v>
      </c>
      <c r="I790" s="5">
        <v>0</v>
      </c>
      <c r="J790" s="6">
        <f t="shared" si="12"/>
        <v>19903</v>
      </c>
    </row>
    <row r="791" spans="1:10">
      <c r="A791" s="5">
        <v>93717</v>
      </c>
      <c r="B791" s="5" t="s">
        <v>10</v>
      </c>
      <c r="C791" s="5" t="s">
        <v>20</v>
      </c>
      <c r="D791" s="5" t="s">
        <v>32</v>
      </c>
      <c r="E791" s="5" t="s">
        <v>19</v>
      </c>
      <c r="F791" s="5" t="s">
        <v>14</v>
      </c>
      <c r="G791" s="5" t="s">
        <v>15</v>
      </c>
      <c r="H791" s="5">
        <v>38850</v>
      </c>
      <c r="I791" s="5">
        <v>96</v>
      </c>
      <c r="J791" s="6">
        <f t="shared" si="12"/>
        <v>38754</v>
      </c>
    </row>
    <row r="792" spans="1:10">
      <c r="A792" s="5">
        <v>91493</v>
      </c>
      <c r="B792" s="5" t="s">
        <v>10</v>
      </c>
      <c r="C792" s="5" t="s">
        <v>20</v>
      </c>
      <c r="D792" s="5" t="s">
        <v>32</v>
      </c>
      <c r="E792" s="5" t="s">
        <v>13</v>
      </c>
      <c r="F792" s="5" t="s">
        <v>14</v>
      </c>
      <c r="G792" s="5" t="s">
        <v>15</v>
      </c>
      <c r="H792" s="5">
        <v>7049</v>
      </c>
      <c r="I792" s="5">
        <v>0</v>
      </c>
      <c r="J792" s="6">
        <f t="shared" si="12"/>
        <v>7049</v>
      </c>
    </row>
    <row r="793" spans="1:10">
      <c r="A793" s="5">
        <v>217116</v>
      </c>
      <c r="B793" s="5" t="s">
        <v>10</v>
      </c>
      <c r="C793" s="5" t="s">
        <v>11</v>
      </c>
      <c r="D793" s="5" t="s">
        <v>32</v>
      </c>
      <c r="E793" s="5" t="s">
        <v>13</v>
      </c>
      <c r="F793" s="5" t="s">
        <v>28</v>
      </c>
      <c r="G793" s="5" t="s">
        <v>24</v>
      </c>
      <c r="H793" s="5">
        <v>44100</v>
      </c>
      <c r="I793" s="5">
        <v>10790</v>
      </c>
      <c r="J793" s="6">
        <f t="shared" si="12"/>
        <v>33310</v>
      </c>
    </row>
    <row r="794" spans="1:10">
      <c r="A794" s="5">
        <v>42644</v>
      </c>
      <c r="B794" s="5" t="s">
        <v>16</v>
      </c>
      <c r="C794" s="5" t="s">
        <v>35</v>
      </c>
      <c r="D794" s="5" t="s">
        <v>33</v>
      </c>
      <c r="E794" s="5" t="s">
        <v>19</v>
      </c>
      <c r="F794" s="5" t="s">
        <v>14</v>
      </c>
      <c r="G794" s="5" t="s">
        <v>24</v>
      </c>
      <c r="H794" s="5">
        <v>60018</v>
      </c>
      <c r="I794" s="5">
        <v>469</v>
      </c>
      <c r="J794" s="6">
        <f t="shared" si="12"/>
        <v>59549</v>
      </c>
    </row>
    <row r="795" spans="1:10">
      <c r="A795" s="5">
        <v>216647</v>
      </c>
      <c r="B795" s="5" t="s">
        <v>10</v>
      </c>
      <c r="C795" s="5" t="s">
        <v>34</v>
      </c>
      <c r="D795" s="5" t="s">
        <v>12</v>
      </c>
      <c r="E795" s="5" t="s">
        <v>19</v>
      </c>
      <c r="F795" s="5" t="s">
        <v>28</v>
      </c>
      <c r="G795" s="5" t="s">
        <v>24</v>
      </c>
      <c r="H795" s="5">
        <v>42736</v>
      </c>
      <c r="I795" s="5">
        <v>175</v>
      </c>
      <c r="J795" s="6">
        <f t="shared" si="12"/>
        <v>42561</v>
      </c>
    </row>
    <row r="796" spans="1:10">
      <c r="A796" s="5">
        <v>171112</v>
      </c>
      <c r="B796" s="5" t="s">
        <v>16</v>
      </c>
      <c r="C796" s="5" t="s">
        <v>31</v>
      </c>
      <c r="D796" s="5" t="s">
        <v>21</v>
      </c>
      <c r="E796" s="5" t="s">
        <v>19</v>
      </c>
      <c r="F796" s="5" t="s">
        <v>28</v>
      </c>
      <c r="G796" s="5" t="s">
        <v>24</v>
      </c>
      <c r="H796" s="5">
        <v>11511</v>
      </c>
      <c r="I796" s="5">
        <v>137</v>
      </c>
      <c r="J796" s="6">
        <f t="shared" si="12"/>
        <v>11374</v>
      </c>
    </row>
    <row r="797" spans="1:10">
      <c r="A797" s="5">
        <v>254527</v>
      </c>
      <c r="B797" s="5" t="s">
        <v>16</v>
      </c>
      <c r="C797" s="5" t="s">
        <v>25</v>
      </c>
      <c r="D797" s="5" t="s">
        <v>33</v>
      </c>
      <c r="E797" s="5" t="s">
        <v>19</v>
      </c>
      <c r="F797" s="5" t="s">
        <v>14</v>
      </c>
      <c r="G797" s="5" t="s">
        <v>24</v>
      </c>
      <c r="H797" s="5">
        <v>21113</v>
      </c>
      <c r="I797" s="5">
        <v>328</v>
      </c>
      <c r="J797" s="6">
        <f t="shared" si="12"/>
        <v>20785</v>
      </c>
    </row>
    <row r="798" spans="1:10">
      <c r="A798" s="5">
        <v>24725</v>
      </c>
      <c r="B798" s="5" t="s">
        <v>16</v>
      </c>
      <c r="C798" s="5" t="s">
        <v>35</v>
      </c>
      <c r="D798" s="5" t="s">
        <v>23</v>
      </c>
      <c r="E798" s="5" t="s">
        <v>13</v>
      </c>
      <c r="F798" s="5" t="s">
        <v>14</v>
      </c>
      <c r="G798" s="5" t="s">
        <v>15</v>
      </c>
      <c r="H798" s="5">
        <v>63142</v>
      </c>
      <c r="I798" s="5">
        <v>4254</v>
      </c>
      <c r="J798" s="6">
        <f t="shared" si="12"/>
        <v>58888</v>
      </c>
    </row>
    <row r="799" spans="1:10">
      <c r="A799" s="5">
        <v>188399</v>
      </c>
      <c r="B799" s="5" t="s">
        <v>16</v>
      </c>
      <c r="C799" s="5" t="s">
        <v>38</v>
      </c>
      <c r="D799" s="5" t="s">
        <v>32</v>
      </c>
      <c r="E799" s="5" t="s">
        <v>13</v>
      </c>
      <c r="F799" s="5" t="s">
        <v>14</v>
      </c>
      <c r="G799" s="5" t="s">
        <v>15</v>
      </c>
      <c r="H799" s="5">
        <v>53319</v>
      </c>
      <c r="I799" s="5">
        <v>0</v>
      </c>
      <c r="J799" s="6">
        <f t="shared" si="12"/>
        <v>53319</v>
      </c>
    </row>
    <row r="800" spans="1:10">
      <c r="A800" s="5">
        <v>223203</v>
      </c>
      <c r="B800" s="5" t="s">
        <v>16</v>
      </c>
      <c r="C800" s="5" t="s">
        <v>25</v>
      </c>
      <c r="D800" s="5" t="s">
        <v>33</v>
      </c>
      <c r="E800" s="5" t="s">
        <v>19</v>
      </c>
      <c r="F800" s="5" t="s">
        <v>28</v>
      </c>
      <c r="G800" s="5" t="s">
        <v>24</v>
      </c>
      <c r="H800" s="5">
        <v>18268</v>
      </c>
      <c r="I800" s="5">
        <v>36</v>
      </c>
      <c r="J800" s="6">
        <f t="shared" si="12"/>
        <v>18232</v>
      </c>
    </row>
    <row r="801" spans="1:10">
      <c r="A801" s="5">
        <v>29100</v>
      </c>
      <c r="B801" s="5" t="s">
        <v>10</v>
      </c>
      <c r="C801" s="5" t="s">
        <v>35</v>
      </c>
      <c r="D801" s="5" t="s">
        <v>33</v>
      </c>
      <c r="E801" s="5" t="s">
        <v>13</v>
      </c>
      <c r="F801" s="5" t="s">
        <v>14</v>
      </c>
      <c r="G801" s="5" t="s">
        <v>15</v>
      </c>
      <c r="H801" s="5">
        <v>57252</v>
      </c>
      <c r="I801" s="5">
        <v>7765</v>
      </c>
      <c r="J801" s="6">
        <f t="shared" si="12"/>
        <v>49487</v>
      </c>
    </row>
    <row r="802" spans="1:10">
      <c r="A802" s="5">
        <v>102880</v>
      </c>
      <c r="B802" s="5" t="s">
        <v>10</v>
      </c>
      <c r="C802" s="5" t="s">
        <v>11</v>
      </c>
      <c r="D802" s="5" t="s">
        <v>30</v>
      </c>
      <c r="E802" s="5" t="s">
        <v>13</v>
      </c>
      <c r="F802" s="5" t="s">
        <v>14</v>
      </c>
      <c r="G802" s="5" t="s">
        <v>15</v>
      </c>
      <c r="H802" s="5">
        <v>320023</v>
      </c>
      <c r="I802" s="5">
        <v>11775</v>
      </c>
      <c r="J802" s="6">
        <f t="shared" si="12"/>
        <v>308248</v>
      </c>
    </row>
    <row r="803" spans="1:10">
      <c r="A803" s="5">
        <v>24654</v>
      </c>
      <c r="B803" s="5" t="s">
        <v>10</v>
      </c>
      <c r="C803" s="5" t="s">
        <v>11</v>
      </c>
      <c r="D803" s="5" t="s">
        <v>23</v>
      </c>
      <c r="E803" s="5" t="s">
        <v>19</v>
      </c>
      <c r="F803" s="5" t="s">
        <v>14</v>
      </c>
      <c r="G803" s="5" t="s">
        <v>24</v>
      </c>
      <c r="H803" s="5">
        <v>82447</v>
      </c>
      <c r="I803" s="5">
        <v>5248</v>
      </c>
      <c r="J803" s="6">
        <f t="shared" si="12"/>
        <v>77199</v>
      </c>
    </row>
    <row r="804" spans="1:10">
      <c r="A804" s="5">
        <v>194889</v>
      </c>
      <c r="B804" s="5" t="s">
        <v>16</v>
      </c>
      <c r="C804" s="5" t="s">
        <v>11</v>
      </c>
      <c r="D804" s="5" t="s">
        <v>33</v>
      </c>
      <c r="E804" s="5" t="s">
        <v>19</v>
      </c>
      <c r="F804" s="5" t="s">
        <v>14</v>
      </c>
      <c r="G804" s="5" t="s">
        <v>15</v>
      </c>
      <c r="H804" s="5">
        <v>86314</v>
      </c>
      <c r="I804" s="5">
        <v>1998</v>
      </c>
      <c r="J804" s="6">
        <f t="shared" si="12"/>
        <v>84316</v>
      </c>
    </row>
    <row r="805" spans="1:10">
      <c r="A805" s="5">
        <v>80861</v>
      </c>
      <c r="B805" s="5" t="s">
        <v>16</v>
      </c>
      <c r="C805" s="5" t="s">
        <v>38</v>
      </c>
      <c r="D805" s="5" t="s">
        <v>33</v>
      </c>
      <c r="E805" s="5" t="s">
        <v>19</v>
      </c>
      <c r="F805" s="5" t="s">
        <v>14</v>
      </c>
      <c r="G805" s="5" t="s">
        <v>15</v>
      </c>
      <c r="H805" s="5">
        <v>37153</v>
      </c>
      <c r="I805" s="5">
        <v>406</v>
      </c>
      <c r="J805" s="6">
        <f t="shared" si="12"/>
        <v>36747</v>
      </c>
    </row>
    <row r="806" spans="1:10">
      <c r="A806" s="5">
        <v>151263</v>
      </c>
      <c r="B806" s="5" t="s">
        <v>16</v>
      </c>
      <c r="C806" s="5" t="s">
        <v>22</v>
      </c>
      <c r="D806" s="5" t="s">
        <v>30</v>
      </c>
      <c r="E806" s="5" t="s">
        <v>13</v>
      </c>
      <c r="F806" s="5" t="s">
        <v>14</v>
      </c>
      <c r="G806" s="5" t="s">
        <v>24</v>
      </c>
      <c r="H806" s="5">
        <v>39718</v>
      </c>
      <c r="I806" s="5">
        <v>3016</v>
      </c>
      <c r="J806" s="6">
        <f t="shared" si="12"/>
        <v>36702</v>
      </c>
    </row>
    <row r="807" spans="1:10">
      <c r="A807" s="5">
        <v>27100</v>
      </c>
      <c r="B807" s="5" t="s">
        <v>16</v>
      </c>
      <c r="C807" s="5" t="s">
        <v>35</v>
      </c>
      <c r="D807" s="5" t="s">
        <v>30</v>
      </c>
      <c r="E807" s="5" t="s">
        <v>19</v>
      </c>
      <c r="F807" s="5" t="s">
        <v>14</v>
      </c>
      <c r="G807" s="5" t="s">
        <v>24</v>
      </c>
      <c r="H807" s="5">
        <v>87809</v>
      </c>
      <c r="I807" s="5">
        <v>8172</v>
      </c>
      <c r="J807" s="6">
        <f t="shared" si="12"/>
        <v>79637</v>
      </c>
    </row>
    <row r="808" spans="1:10">
      <c r="A808" s="5">
        <v>153875</v>
      </c>
      <c r="B808" s="5" t="s">
        <v>16</v>
      </c>
      <c r="C808" s="5" t="s">
        <v>25</v>
      </c>
      <c r="D808" s="5" t="s">
        <v>30</v>
      </c>
      <c r="E808" s="5" t="s">
        <v>13</v>
      </c>
      <c r="F808" s="5" t="s">
        <v>14</v>
      </c>
      <c r="G808" s="5" t="s">
        <v>15</v>
      </c>
      <c r="H808" s="5">
        <v>54434</v>
      </c>
      <c r="I808" s="5">
        <v>888</v>
      </c>
      <c r="J808" s="6">
        <f t="shared" si="12"/>
        <v>53546</v>
      </c>
    </row>
    <row r="809" spans="1:10">
      <c r="A809" s="5">
        <v>198016</v>
      </c>
      <c r="B809" s="5" t="s">
        <v>10</v>
      </c>
      <c r="C809" s="5" t="s">
        <v>38</v>
      </c>
      <c r="D809" s="5" t="s">
        <v>32</v>
      </c>
      <c r="E809" s="5" t="s">
        <v>19</v>
      </c>
      <c r="F809" s="5" t="s">
        <v>14</v>
      </c>
      <c r="G809" s="5" t="s">
        <v>15</v>
      </c>
      <c r="H809" s="5">
        <v>52726</v>
      </c>
      <c r="I809" s="5">
        <v>8</v>
      </c>
      <c r="J809" s="6">
        <f t="shared" si="12"/>
        <v>52718</v>
      </c>
    </row>
    <row r="810" spans="1:10">
      <c r="A810" s="5">
        <v>57957</v>
      </c>
      <c r="B810" s="5" t="s">
        <v>16</v>
      </c>
      <c r="C810" s="5" t="s">
        <v>20</v>
      </c>
      <c r="D810" s="5" t="s">
        <v>32</v>
      </c>
      <c r="E810" s="5" t="s">
        <v>13</v>
      </c>
      <c r="F810" s="5" t="s">
        <v>14</v>
      </c>
      <c r="G810" s="5" t="s">
        <v>15</v>
      </c>
      <c r="H810" s="5">
        <v>19594</v>
      </c>
      <c r="I810" s="5">
        <v>54</v>
      </c>
      <c r="J810" s="6">
        <f t="shared" si="12"/>
        <v>19540</v>
      </c>
    </row>
    <row r="811" spans="1:10">
      <c r="A811" s="5">
        <v>53102</v>
      </c>
      <c r="B811" s="5" t="s">
        <v>10</v>
      </c>
      <c r="C811" s="5" t="s">
        <v>35</v>
      </c>
      <c r="D811" s="5" t="s">
        <v>32</v>
      </c>
      <c r="E811" s="5" t="s">
        <v>13</v>
      </c>
      <c r="F811" s="5" t="s">
        <v>14</v>
      </c>
      <c r="G811" s="5" t="s">
        <v>15</v>
      </c>
      <c r="H811" s="5">
        <v>64882</v>
      </c>
      <c r="I811" s="5">
        <v>2008</v>
      </c>
      <c r="J811" s="6">
        <f t="shared" si="12"/>
        <v>62874</v>
      </c>
    </row>
    <row r="812" spans="1:10">
      <c r="A812" s="5">
        <v>124298</v>
      </c>
      <c r="B812" s="5" t="s">
        <v>10</v>
      </c>
      <c r="C812" s="5" t="s">
        <v>25</v>
      </c>
      <c r="D812" s="5" t="s">
        <v>23</v>
      </c>
      <c r="E812" s="5" t="s">
        <v>13</v>
      </c>
      <c r="F812" s="5" t="s">
        <v>28</v>
      </c>
      <c r="G812" s="5" t="s">
        <v>15</v>
      </c>
      <c r="H812" s="5">
        <v>126758</v>
      </c>
      <c r="I812" s="5">
        <v>6567</v>
      </c>
      <c r="J812" s="6">
        <f t="shared" si="12"/>
        <v>120191</v>
      </c>
    </row>
    <row r="813" spans="1:10">
      <c r="A813" s="5">
        <v>138401</v>
      </c>
      <c r="B813" s="5" t="s">
        <v>10</v>
      </c>
      <c r="C813" s="5" t="s">
        <v>25</v>
      </c>
      <c r="D813" s="5" t="s">
        <v>12</v>
      </c>
      <c r="E813" s="5" t="s">
        <v>19</v>
      </c>
      <c r="F813" s="5" t="s">
        <v>14</v>
      </c>
      <c r="G813" s="5" t="s">
        <v>24</v>
      </c>
      <c r="H813" s="5">
        <v>61883</v>
      </c>
      <c r="I813" s="5">
        <v>2491</v>
      </c>
      <c r="J813" s="6">
        <f t="shared" si="12"/>
        <v>59392</v>
      </c>
    </row>
    <row r="814" spans="1:10">
      <c r="A814" s="5">
        <v>50588</v>
      </c>
      <c r="B814" s="5" t="s">
        <v>16</v>
      </c>
      <c r="C814" s="5" t="s">
        <v>35</v>
      </c>
      <c r="D814" s="5" t="s">
        <v>12</v>
      </c>
      <c r="E814" s="5" t="s">
        <v>13</v>
      </c>
      <c r="F814" s="5" t="s">
        <v>14</v>
      </c>
      <c r="G814" s="5" t="s">
        <v>15</v>
      </c>
      <c r="H814" s="5">
        <v>-80309</v>
      </c>
      <c r="I814" s="5">
        <v>6086</v>
      </c>
      <c r="J814" s="6">
        <f t="shared" si="12"/>
        <v>-86395</v>
      </c>
    </row>
    <row r="815" spans="1:10">
      <c r="A815" s="5">
        <v>96731</v>
      </c>
      <c r="B815" s="5" t="s">
        <v>16</v>
      </c>
      <c r="C815" s="5" t="s">
        <v>34</v>
      </c>
      <c r="D815" s="5" t="s">
        <v>33</v>
      </c>
      <c r="E815" s="5" t="s">
        <v>13</v>
      </c>
      <c r="F815" s="5" t="s">
        <v>28</v>
      </c>
      <c r="G815" s="5" t="s">
        <v>15</v>
      </c>
      <c r="H815" s="5">
        <v>75532</v>
      </c>
      <c r="I815" s="5">
        <v>2777</v>
      </c>
      <c r="J815" s="6">
        <f t="shared" si="12"/>
        <v>72755</v>
      </c>
    </row>
    <row r="816" spans="1:10">
      <c r="A816" s="5">
        <v>257304</v>
      </c>
      <c r="B816" s="5" t="s">
        <v>10</v>
      </c>
      <c r="C816" s="5" t="s">
        <v>17</v>
      </c>
      <c r="D816" s="5" t="s">
        <v>23</v>
      </c>
      <c r="E816" s="5" t="s">
        <v>19</v>
      </c>
      <c r="F816" s="5" t="s">
        <v>14</v>
      </c>
      <c r="G816" s="5" t="s">
        <v>24</v>
      </c>
      <c r="H816" s="5">
        <v>108991</v>
      </c>
      <c r="I816" s="5">
        <v>16430</v>
      </c>
      <c r="J816" s="6">
        <f t="shared" si="12"/>
        <v>92561</v>
      </c>
    </row>
    <row r="817" spans="1:10">
      <c r="A817" s="5">
        <v>20559</v>
      </c>
      <c r="B817" s="5" t="s">
        <v>16</v>
      </c>
      <c r="C817" s="5" t="s">
        <v>11</v>
      </c>
      <c r="D817" s="5" t="s">
        <v>33</v>
      </c>
      <c r="E817" s="5" t="s">
        <v>13</v>
      </c>
      <c r="F817" s="5" t="s">
        <v>14</v>
      </c>
      <c r="G817" s="5" t="s">
        <v>24</v>
      </c>
      <c r="H817" s="5">
        <v>38472</v>
      </c>
      <c r="I817" s="5">
        <v>1453</v>
      </c>
      <c r="J817" s="6">
        <f t="shared" si="12"/>
        <v>37019</v>
      </c>
    </row>
    <row r="818" spans="1:10">
      <c r="A818" s="5">
        <v>113044</v>
      </c>
      <c r="B818" s="5" t="s">
        <v>16</v>
      </c>
      <c r="C818" s="5" t="s">
        <v>22</v>
      </c>
      <c r="D818" s="5" t="s">
        <v>21</v>
      </c>
      <c r="E818" s="5" t="s">
        <v>19</v>
      </c>
      <c r="F818" s="5" t="s">
        <v>14</v>
      </c>
      <c r="G818" s="5" t="s">
        <v>15</v>
      </c>
      <c r="H818" s="5">
        <v>24630</v>
      </c>
      <c r="I818" s="5">
        <v>59</v>
      </c>
      <c r="J818" s="6">
        <f t="shared" si="12"/>
        <v>24571</v>
      </c>
    </row>
    <row r="819" spans="1:10">
      <c r="A819" s="5">
        <v>211924</v>
      </c>
      <c r="B819" s="5" t="s">
        <v>16</v>
      </c>
      <c r="C819" s="5" t="s">
        <v>37</v>
      </c>
      <c r="D819" s="5" t="s">
        <v>36</v>
      </c>
      <c r="E819" s="5" t="s">
        <v>13</v>
      </c>
      <c r="F819" s="5" t="s">
        <v>14</v>
      </c>
      <c r="G819" s="5" t="s">
        <v>15</v>
      </c>
      <c r="H819" s="5">
        <v>71227</v>
      </c>
      <c r="I819" s="5">
        <v>896</v>
      </c>
      <c r="J819" s="6">
        <f t="shared" si="12"/>
        <v>70331</v>
      </c>
    </row>
    <row r="820" spans="1:10">
      <c r="A820" s="5">
        <v>177714</v>
      </c>
      <c r="B820" s="5" t="s">
        <v>16</v>
      </c>
      <c r="C820" s="5" t="s">
        <v>11</v>
      </c>
      <c r="D820" s="5" t="s">
        <v>36</v>
      </c>
      <c r="E820" s="5" t="s">
        <v>19</v>
      </c>
      <c r="F820" s="5" t="s">
        <v>28</v>
      </c>
      <c r="G820" s="5" t="s">
        <v>24</v>
      </c>
      <c r="H820" s="5">
        <v>44382</v>
      </c>
      <c r="I820" s="5">
        <v>272</v>
      </c>
      <c r="J820" s="6">
        <f t="shared" si="12"/>
        <v>44110</v>
      </c>
    </row>
    <row r="821" spans="1:10">
      <c r="A821" s="5">
        <v>77093</v>
      </c>
      <c r="B821" s="5" t="s">
        <v>16</v>
      </c>
      <c r="C821" s="5" t="s">
        <v>35</v>
      </c>
      <c r="D821" s="5" t="s">
        <v>30</v>
      </c>
      <c r="E821" s="5" t="s">
        <v>19</v>
      </c>
      <c r="F821" s="5" t="s">
        <v>14</v>
      </c>
      <c r="G821" s="5" t="s">
        <v>15</v>
      </c>
      <c r="H821" s="5">
        <v>137272</v>
      </c>
      <c r="I821" s="5">
        <v>2971</v>
      </c>
      <c r="J821" s="6">
        <f t="shared" si="12"/>
        <v>134301</v>
      </c>
    </row>
    <row r="822" spans="1:10">
      <c r="A822" s="5">
        <v>7788</v>
      </c>
      <c r="B822" s="5" t="s">
        <v>10</v>
      </c>
      <c r="C822" s="5" t="s">
        <v>39</v>
      </c>
      <c r="D822" s="5" t="s">
        <v>30</v>
      </c>
      <c r="E822" s="5" t="s">
        <v>19</v>
      </c>
      <c r="F822" s="5" t="s">
        <v>14</v>
      </c>
      <c r="G822" s="5" t="s">
        <v>15</v>
      </c>
      <c r="H822" s="5">
        <v>116772</v>
      </c>
      <c r="I822" s="5">
        <v>3507</v>
      </c>
      <c r="J822" s="6">
        <f t="shared" si="12"/>
        <v>113265</v>
      </c>
    </row>
    <row r="823" spans="1:10">
      <c r="A823" s="5">
        <v>193704</v>
      </c>
      <c r="B823" s="5" t="s">
        <v>10</v>
      </c>
      <c r="C823" s="5" t="s">
        <v>38</v>
      </c>
      <c r="D823" s="5" t="s">
        <v>26</v>
      </c>
      <c r="E823" s="5" t="s">
        <v>19</v>
      </c>
      <c r="F823" s="5" t="s">
        <v>14</v>
      </c>
      <c r="G823" s="5" t="s">
        <v>24</v>
      </c>
      <c r="H823" s="5">
        <v>35497</v>
      </c>
      <c r="I823" s="5">
        <v>3720</v>
      </c>
      <c r="J823" s="6">
        <f t="shared" si="12"/>
        <v>31777</v>
      </c>
    </row>
    <row r="824" spans="1:10">
      <c r="A824" s="5">
        <v>79817</v>
      </c>
      <c r="B824" s="5" t="s">
        <v>10</v>
      </c>
      <c r="C824" s="5" t="s">
        <v>38</v>
      </c>
      <c r="D824" s="5" t="s">
        <v>30</v>
      </c>
      <c r="E824" s="5" t="s">
        <v>13</v>
      </c>
      <c r="F824" s="5" t="s">
        <v>14</v>
      </c>
      <c r="G824" s="5" t="s">
        <v>24</v>
      </c>
      <c r="H824" s="5">
        <v>34728</v>
      </c>
      <c r="I824" s="5">
        <v>160</v>
      </c>
      <c r="J824" s="6">
        <f t="shared" si="12"/>
        <v>34568</v>
      </c>
    </row>
    <row r="825" spans="1:10">
      <c r="A825" s="5">
        <v>54297</v>
      </c>
      <c r="B825" s="5" t="s">
        <v>10</v>
      </c>
      <c r="C825" s="5" t="s">
        <v>35</v>
      </c>
      <c r="D825" s="5" t="s">
        <v>36</v>
      </c>
      <c r="E825" s="5" t="s">
        <v>13</v>
      </c>
      <c r="F825" s="5" t="s">
        <v>28</v>
      </c>
      <c r="G825" s="5" t="s">
        <v>24</v>
      </c>
      <c r="H825" s="5">
        <v>58264</v>
      </c>
      <c r="I825" s="5">
        <v>2198</v>
      </c>
      <c r="J825" s="6">
        <f t="shared" si="12"/>
        <v>56066</v>
      </c>
    </row>
    <row r="826" spans="1:10">
      <c r="A826" s="5">
        <v>161943</v>
      </c>
      <c r="B826" s="5" t="s">
        <v>10</v>
      </c>
      <c r="C826" s="5" t="s">
        <v>25</v>
      </c>
      <c r="D826" s="5" t="s">
        <v>21</v>
      </c>
      <c r="E826" s="5" t="s">
        <v>19</v>
      </c>
      <c r="F826" s="5" t="s">
        <v>28</v>
      </c>
      <c r="G826" s="5" t="s">
        <v>24</v>
      </c>
      <c r="H826" s="5">
        <v>74208</v>
      </c>
      <c r="I826" s="5">
        <v>7317</v>
      </c>
      <c r="J826" s="6">
        <f t="shared" si="12"/>
        <v>66891</v>
      </c>
    </row>
    <row r="827" spans="1:10">
      <c r="A827" s="5">
        <v>178022</v>
      </c>
      <c r="B827" s="5" t="s">
        <v>16</v>
      </c>
      <c r="C827" s="5" t="s">
        <v>25</v>
      </c>
      <c r="D827" s="5" t="s">
        <v>33</v>
      </c>
      <c r="E827" s="5" t="s">
        <v>19</v>
      </c>
      <c r="F827" s="5" t="s">
        <v>14</v>
      </c>
      <c r="G827" s="5" t="s">
        <v>15</v>
      </c>
      <c r="H827" s="5">
        <v>69939</v>
      </c>
      <c r="I827" s="5">
        <v>1470</v>
      </c>
      <c r="J827" s="6">
        <f t="shared" si="12"/>
        <v>68469</v>
      </c>
    </row>
    <row r="828" spans="1:10">
      <c r="A828" s="5">
        <v>33275</v>
      </c>
      <c r="B828" s="5" t="s">
        <v>16</v>
      </c>
      <c r="C828" s="5" t="s">
        <v>27</v>
      </c>
      <c r="D828" s="5" t="s">
        <v>26</v>
      </c>
      <c r="E828" s="5" t="s">
        <v>13</v>
      </c>
      <c r="F828" s="5" t="s">
        <v>14</v>
      </c>
      <c r="G828" s="5" t="s">
        <v>15</v>
      </c>
      <c r="H828" s="5">
        <v>26041</v>
      </c>
      <c r="I828" s="5">
        <v>5824</v>
      </c>
      <c r="J828" s="6">
        <f t="shared" si="12"/>
        <v>20217</v>
      </c>
    </row>
    <row r="829" spans="1:10">
      <c r="A829" s="5">
        <v>249669</v>
      </c>
      <c r="B829" s="5" t="s">
        <v>16</v>
      </c>
      <c r="C829" s="5" t="s">
        <v>34</v>
      </c>
      <c r="D829" s="5" t="s">
        <v>30</v>
      </c>
      <c r="E829" s="5" t="s">
        <v>19</v>
      </c>
      <c r="F829" s="5" t="s">
        <v>14</v>
      </c>
      <c r="G829" s="5" t="s">
        <v>24</v>
      </c>
      <c r="H829" s="5">
        <v>77359</v>
      </c>
      <c r="I829" s="5">
        <v>2313</v>
      </c>
      <c r="J829" s="6">
        <f t="shared" si="12"/>
        <v>75046</v>
      </c>
    </row>
    <row r="830" spans="1:10">
      <c r="A830" s="5">
        <v>168241</v>
      </c>
      <c r="B830" s="5" t="s">
        <v>10</v>
      </c>
      <c r="C830" s="5" t="s">
        <v>22</v>
      </c>
      <c r="D830" s="5" t="s">
        <v>23</v>
      </c>
      <c r="E830" s="5" t="s">
        <v>19</v>
      </c>
      <c r="F830" s="5" t="s">
        <v>28</v>
      </c>
      <c r="G830" s="5" t="s">
        <v>15</v>
      </c>
      <c r="H830" s="5">
        <v>74546</v>
      </c>
      <c r="I830" s="5">
        <v>7875</v>
      </c>
      <c r="J830" s="6">
        <f t="shared" si="12"/>
        <v>66671</v>
      </c>
    </row>
    <row r="831" spans="1:10">
      <c r="A831" s="5">
        <v>220425</v>
      </c>
      <c r="B831" s="5" t="s">
        <v>10</v>
      </c>
      <c r="C831" s="5" t="s">
        <v>25</v>
      </c>
      <c r="D831" s="5" t="s">
        <v>29</v>
      </c>
      <c r="E831" s="5" t="s">
        <v>19</v>
      </c>
      <c r="F831" s="5" t="s">
        <v>14</v>
      </c>
      <c r="G831" s="5" t="s">
        <v>15</v>
      </c>
      <c r="H831" s="5">
        <v>106253</v>
      </c>
      <c r="I831" s="5">
        <v>17088</v>
      </c>
      <c r="J831" s="6">
        <f t="shared" si="12"/>
        <v>89165</v>
      </c>
    </row>
    <row r="832" spans="1:10">
      <c r="A832" s="5">
        <v>96183</v>
      </c>
      <c r="B832" s="5" t="s">
        <v>10</v>
      </c>
      <c r="C832" s="5" t="s">
        <v>37</v>
      </c>
      <c r="D832" s="5" t="s">
        <v>32</v>
      </c>
      <c r="E832" s="5" t="s">
        <v>13</v>
      </c>
      <c r="F832" s="5" t="s">
        <v>14</v>
      </c>
      <c r="G832" s="5" t="s">
        <v>15</v>
      </c>
      <c r="H832" s="5">
        <v>9505</v>
      </c>
      <c r="I832" s="5">
        <v>0</v>
      </c>
      <c r="J832" s="6">
        <f t="shared" si="12"/>
        <v>9505</v>
      </c>
    </row>
    <row r="833" spans="1:10">
      <c r="A833" s="5">
        <v>142035</v>
      </c>
      <c r="B833" s="5" t="s">
        <v>16</v>
      </c>
      <c r="C833" s="5" t="s">
        <v>17</v>
      </c>
      <c r="D833" s="5" t="s">
        <v>26</v>
      </c>
      <c r="E833" s="5" t="s">
        <v>19</v>
      </c>
      <c r="F833" s="5" t="s">
        <v>14</v>
      </c>
      <c r="G833" s="5" t="s">
        <v>24</v>
      </c>
      <c r="H833" s="5">
        <v>36431</v>
      </c>
      <c r="I833" s="5">
        <v>324</v>
      </c>
      <c r="J833" s="6">
        <f t="shared" si="12"/>
        <v>36107</v>
      </c>
    </row>
    <row r="834" spans="1:10">
      <c r="A834" s="5">
        <v>80578</v>
      </c>
      <c r="B834" s="5" t="s">
        <v>10</v>
      </c>
      <c r="C834" s="5" t="s">
        <v>38</v>
      </c>
      <c r="D834" s="5" t="s">
        <v>30</v>
      </c>
      <c r="E834" s="5" t="s">
        <v>13</v>
      </c>
      <c r="F834" s="5" t="s">
        <v>28</v>
      </c>
      <c r="G834" s="5" t="s">
        <v>15</v>
      </c>
      <c r="H834" s="5">
        <v>22652</v>
      </c>
      <c r="I834" s="5">
        <v>0</v>
      </c>
      <c r="J834" s="6">
        <f t="shared" ref="J834:J897" si="13">H834-I834</f>
        <v>22652</v>
      </c>
    </row>
    <row r="835" spans="1:10">
      <c r="A835" s="5">
        <v>218513</v>
      </c>
      <c r="B835" s="5" t="s">
        <v>16</v>
      </c>
      <c r="C835" s="5" t="s">
        <v>37</v>
      </c>
      <c r="D835" s="5" t="s">
        <v>33</v>
      </c>
      <c r="E835" s="5" t="s">
        <v>13</v>
      </c>
      <c r="F835" s="5" t="s">
        <v>14</v>
      </c>
      <c r="G835" s="5" t="s">
        <v>15</v>
      </c>
      <c r="H835" s="5">
        <v>17364</v>
      </c>
      <c r="I835" s="5">
        <v>2112</v>
      </c>
      <c r="J835" s="6">
        <f t="shared" si="13"/>
        <v>15252</v>
      </c>
    </row>
    <row r="836" spans="1:10">
      <c r="A836" s="5">
        <v>105290</v>
      </c>
      <c r="B836" s="5" t="s">
        <v>16</v>
      </c>
      <c r="C836" s="5" t="s">
        <v>22</v>
      </c>
      <c r="D836" s="5" t="s">
        <v>36</v>
      </c>
      <c r="E836" s="5" t="s">
        <v>13</v>
      </c>
      <c r="F836" s="5" t="s">
        <v>14</v>
      </c>
      <c r="G836" s="5" t="s">
        <v>15</v>
      </c>
      <c r="H836" s="5">
        <v>34967</v>
      </c>
      <c r="I836" s="5">
        <v>495</v>
      </c>
      <c r="J836" s="6">
        <f t="shared" si="13"/>
        <v>34472</v>
      </c>
    </row>
    <row r="837" spans="1:10">
      <c r="A837" s="5">
        <v>127505</v>
      </c>
      <c r="B837" s="5" t="s">
        <v>16</v>
      </c>
      <c r="C837" s="5" t="s">
        <v>27</v>
      </c>
      <c r="D837" s="5" t="s">
        <v>30</v>
      </c>
      <c r="E837" s="5" t="s">
        <v>13</v>
      </c>
      <c r="F837" s="5" t="s">
        <v>28</v>
      </c>
      <c r="G837" s="5" t="s">
        <v>15</v>
      </c>
      <c r="H837" s="5">
        <v>78369</v>
      </c>
      <c r="I837" s="5">
        <v>1082</v>
      </c>
      <c r="J837" s="6">
        <f t="shared" si="13"/>
        <v>77287</v>
      </c>
    </row>
    <row r="838" spans="1:10">
      <c r="A838" s="5">
        <v>217415</v>
      </c>
      <c r="B838" s="5" t="s">
        <v>10</v>
      </c>
      <c r="C838" s="5" t="s">
        <v>20</v>
      </c>
      <c r="D838" s="5" t="s">
        <v>21</v>
      </c>
      <c r="E838" s="5" t="s">
        <v>19</v>
      </c>
      <c r="F838" s="5" t="s">
        <v>28</v>
      </c>
      <c r="G838" s="5" t="s">
        <v>15</v>
      </c>
      <c r="H838" s="5">
        <v>34612</v>
      </c>
      <c r="I838" s="5">
        <v>0</v>
      </c>
      <c r="J838" s="6">
        <f t="shared" si="13"/>
        <v>34612</v>
      </c>
    </row>
    <row r="839" spans="1:10">
      <c r="A839" s="5">
        <v>242852</v>
      </c>
      <c r="B839" s="5" t="s">
        <v>10</v>
      </c>
      <c r="C839" s="5" t="s">
        <v>17</v>
      </c>
      <c r="D839" s="5" t="s">
        <v>33</v>
      </c>
      <c r="E839" s="5" t="s">
        <v>19</v>
      </c>
      <c r="F839" s="5" t="s">
        <v>28</v>
      </c>
      <c r="G839" s="5" t="s">
        <v>15</v>
      </c>
      <c r="H839" s="5">
        <v>39485</v>
      </c>
      <c r="I839" s="5">
        <v>115</v>
      </c>
      <c r="J839" s="6">
        <f t="shared" si="13"/>
        <v>39370</v>
      </c>
    </row>
    <row r="840" spans="1:10">
      <c r="A840" s="5">
        <v>87257</v>
      </c>
      <c r="B840" s="5" t="s">
        <v>10</v>
      </c>
      <c r="C840" s="5" t="s">
        <v>20</v>
      </c>
      <c r="D840" s="5" t="s">
        <v>32</v>
      </c>
      <c r="E840" s="5" t="s">
        <v>13</v>
      </c>
      <c r="F840" s="5" t="s">
        <v>14</v>
      </c>
      <c r="G840" s="5" t="s">
        <v>15</v>
      </c>
      <c r="H840" s="5">
        <v>11072</v>
      </c>
      <c r="I840" s="5">
        <v>2392</v>
      </c>
      <c r="J840" s="6">
        <f t="shared" si="13"/>
        <v>8680</v>
      </c>
    </row>
    <row r="841" spans="1:10">
      <c r="A841" s="5">
        <v>17403</v>
      </c>
      <c r="B841" s="5" t="s">
        <v>10</v>
      </c>
      <c r="C841" s="5" t="s">
        <v>34</v>
      </c>
      <c r="D841" s="5" t="s">
        <v>23</v>
      </c>
      <c r="E841" s="5" t="s">
        <v>13</v>
      </c>
      <c r="F841" s="5" t="s">
        <v>14</v>
      </c>
      <c r="G841" s="5" t="s">
        <v>15</v>
      </c>
      <c r="H841" s="5">
        <v>75600</v>
      </c>
      <c r="I841" s="5">
        <v>4665</v>
      </c>
      <c r="J841" s="6">
        <f t="shared" si="13"/>
        <v>70935</v>
      </c>
    </row>
    <row r="842" spans="1:10">
      <c r="A842" s="5">
        <v>69177</v>
      </c>
      <c r="B842" s="5" t="s">
        <v>16</v>
      </c>
      <c r="C842" s="5" t="s">
        <v>27</v>
      </c>
      <c r="D842" s="5" t="s">
        <v>30</v>
      </c>
      <c r="E842" s="5" t="s">
        <v>13</v>
      </c>
      <c r="F842" s="5" t="s">
        <v>14</v>
      </c>
      <c r="G842" s="5" t="s">
        <v>15</v>
      </c>
      <c r="H842" s="5">
        <v>36178</v>
      </c>
      <c r="I842" s="5">
        <v>484</v>
      </c>
      <c r="J842" s="6">
        <f t="shared" si="13"/>
        <v>35694</v>
      </c>
    </row>
    <row r="843" spans="1:10">
      <c r="A843" s="5">
        <v>29307</v>
      </c>
      <c r="B843" s="5" t="s">
        <v>10</v>
      </c>
      <c r="C843" s="5" t="s">
        <v>34</v>
      </c>
      <c r="D843" s="5" t="s">
        <v>23</v>
      </c>
      <c r="E843" s="5" t="s">
        <v>13</v>
      </c>
      <c r="F843" s="5" t="s">
        <v>28</v>
      </c>
      <c r="G843" s="5" t="s">
        <v>24</v>
      </c>
      <c r="H843" s="5">
        <v>127940</v>
      </c>
      <c r="I843" s="5">
        <v>1077</v>
      </c>
      <c r="J843" s="6">
        <f t="shared" si="13"/>
        <v>126863</v>
      </c>
    </row>
    <row r="844" spans="1:10">
      <c r="A844" s="5">
        <v>7174</v>
      </c>
      <c r="B844" s="5" t="s">
        <v>10</v>
      </c>
      <c r="C844" s="5" t="s">
        <v>39</v>
      </c>
      <c r="D844" s="5" t="s">
        <v>32</v>
      </c>
      <c r="E844" s="5" t="s">
        <v>13</v>
      </c>
      <c r="F844" s="5" t="s">
        <v>14</v>
      </c>
      <c r="G844" s="5" t="s">
        <v>15</v>
      </c>
      <c r="H844" s="5">
        <v>377234</v>
      </c>
      <c r="I844" s="5">
        <v>28082</v>
      </c>
      <c r="J844" s="6">
        <f t="shared" si="13"/>
        <v>349152</v>
      </c>
    </row>
    <row r="845" spans="1:10">
      <c r="A845" s="5">
        <v>247546</v>
      </c>
      <c r="B845" s="5" t="s">
        <v>10</v>
      </c>
      <c r="C845" s="5" t="s">
        <v>25</v>
      </c>
      <c r="D845" s="5" t="s">
        <v>33</v>
      </c>
      <c r="E845" s="5" t="s">
        <v>19</v>
      </c>
      <c r="F845" s="5" t="s">
        <v>14</v>
      </c>
      <c r="G845" s="5" t="s">
        <v>24</v>
      </c>
      <c r="H845" s="5">
        <v>54022</v>
      </c>
      <c r="I845" s="5">
        <v>759</v>
      </c>
      <c r="J845" s="6">
        <f t="shared" si="13"/>
        <v>53263</v>
      </c>
    </row>
    <row r="846" spans="1:10">
      <c r="A846" s="5">
        <v>147916</v>
      </c>
      <c r="B846" s="5" t="s">
        <v>16</v>
      </c>
      <c r="C846" s="5" t="s">
        <v>17</v>
      </c>
      <c r="D846" s="5" t="s">
        <v>18</v>
      </c>
      <c r="E846" s="5" t="s">
        <v>13</v>
      </c>
      <c r="F846" s="5" t="s">
        <v>14</v>
      </c>
      <c r="G846" s="5" t="s">
        <v>24</v>
      </c>
      <c r="H846" s="5">
        <v>11801</v>
      </c>
      <c r="I846" s="5">
        <v>189</v>
      </c>
      <c r="J846" s="6">
        <f t="shared" si="13"/>
        <v>11612</v>
      </c>
    </row>
    <row r="847" spans="1:10">
      <c r="A847" s="5">
        <v>220521</v>
      </c>
      <c r="B847" s="5" t="s">
        <v>10</v>
      </c>
      <c r="C847" s="5" t="s">
        <v>25</v>
      </c>
      <c r="D847" s="5" t="s">
        <v>23</v>
      </c>
      <c r="E847" s="5" t="s">
        <v>19</v>
      </c>
      <c r="F847" s="5" t="s">
        <v>14</v>
      </c>
      <c r="G847" s="5" t="s">
        <v>24</v>
      </c>
      <c r="H847" s="5">
        <v>50305</v>
      </c>
      <c r="I847" s="5">
        <v>324</v>
      </c>
      <c r="J847" s="6">
        <f t="shared" si="13"/>
        <v>49981</v>
      </c>
    </row>
    <row r="848" spans="1:10">
      <c r="A848" s="5">
        <v>253861</v>
      </c>
      <c r="B848" s="5" t="s">
        <v>10</v>
      </c>
      <c r="C848" s="5" t="s">
        <v>17</v>
      </c>
      <c r="D848" s="5" t="s">
        <v>32</v>
      </c>
      <c r="E848" s="5" t="s">
        <v>19</v>
      </c>
      <c r="F848" s="5" t="s">
        <v>14</v>
      </c>
      <c r="G848" s="5" t="s">
        <v>24</v>
      </c>
      <c r="H848" s="5">
        <v>88866</v>
      </c>
      <c r="I848" s="5">
        <v>0</v>
      </c>
      <c r="J848" s="6">
        <f t="shared" si="13"/>
        <v>88866</v>
      </c>
    </row>
    <row r="849" spans="1:10">
      <c r="A849" s="5">
        <v>48508</v>
      </c>
      <c r="B849" s="5" t="s">
        <v>10</v>
      </c>
      <c r="C849" s="5" t="s">
        <v>34</v>
      </c>
      <c r="D849" s="5" t="s">
        <v>32</v>
      </c>
      <c r="E849" s="5" t="s">
        <v>19</v>
      </c>
      <c r="F849" s="5" t="s">
        <v>14</v>
      </c>
      <c r="G849" s="5" t="s">
        <v>15</v>
      </c>
      <c r="H849" s="5">
        <v>11944</v>
      </c>
      <c r="I849" s="5">
        <v>0</v>
      </c>
      <c r="J849" s="6">
        <f t="shared" si="13"/>
        <v>11944</v>
      </c>
    </row>
    <row r="850" spans="1:10">
      <c r="A850" s="5">
        <v>135993</v>
      </c>
      <c r="B850" s="5" t="s">
        <v>10</v>
      </c>
      <c r="C850" s="5" t="s">
        <v>22</v>
      </c>
      <c r="D850" s="5" t="s">
        <v>26</v>
      </c>
      <c r="E850" s="5" t="s">
        <v>13</v>
      </c>
      <c r="F850" s="5" t="s">
        <v>28</v>
      </c>
      <c r="G850" s="5" t="s">
        <v>24</v>
      </c>
      <c r="H850" s="5">
        <v>39774</v>
      </c>
      <c r="I850" s="5">
        <v>319</v>
      </c>
      <c r="J850" s="6">
        <f t="shared" si="13"/>
        <v>39455</v>
      </c>
    </row>
    <row r="851" spans="1:10">
      <c r="A851" s="5">
        <v>111316</v>
      </c>
      <c r="B851" s="5" t="s">
        <v>16</v>
      </c>
      <c r="C851" s="5" t="s">
        <v>17</v>
      </c>
      <c r="D851" s="5" t="s">
        <v>18</v>
      </c>
      <c r="E851" s="5" t="s">
        <v>19</v>
      </c>
      <c r="F851" s="5" t="s">
        <v>14</v>
      </c>
      <c r="G851" s="5" t="s">
        <v>24</v>
      </c>
      <c r="H851" s="5">
        <v>2132</v>
      </c>
      <c r="I851" s="5">
        <v>0</v>
      </c>
      <c r="J851" s="6">
        <f t="shared" si="13"/>
        <v>2132</v>
      </c>
    </row>
    <row r="852" spans="1:10">
      <c r="A852" s="5">
        <v>78098</v>
      </c>
      <c r="B852" s="5" t="s">
        <v>16</v>
      </c>
      <c r="C852" s="5" t="s">
        <v>27</v>
      </c>
      <c r="D852" s="5" t="s">
        <v>33</v>
      </c>
      <c r="E852" s="5" t="s">
        <v>19</v>
      </c>
      <c r="F852" s="5" t="s">
        <v>28</v>
      </c>
      <c r="G852" s="5" t="s">
        <v>24</v>
      </c>
      <c r="H852" s="5">
        <v>29960</v>
      </c>
      <c r="I852" s="5">
        <v>0</v>
      </c>
      <c r="J852" s="6">
        <f t="shared" si="13"/>
        <v>29960</v>
      </c>
    </row>
    <row r="853" spans="1:10">
      <c r="A853" s="5">
        <v>208478</v>
      </c>
      <c r="B853" s="5" t="s">
        <v>10</v>
      </c>
      <c r="C853" s="5" t="s">
        <v>39</v>
      </c>
      <c r="D853" s="5" t="s">
        <v>32</v>
      </c>
      <c r="E853" s="5" t="s">
        <v>19</v>
      </c>
      <c r="F853" s="5" t="s">
        <v>14</v>
      </c>
      <c r="G853" s="5" t="s">
        <v>24</v>
      </c>
      <c r="H853" s="5">
        <v>5395</v>
      </c>
      <c r="I853" s="5">
        <v>0</v>
      </c>
      <c r="J853" s="6">
        <f t="shared" si="13"/>
        <v>5395</v>
      </c>
    </row>
    <row r="854" spans="1:10">
      <c r="A854" s="5">
        <v>105776</v>
      </c>
      <c r="B854" s="5" t="s">
        <v>10</v>
      </c>
      <c r="C854" s="5" t="s">
        <v>22</v>
      </c>
      <c r="D854" s="5" t="s">
        <v>30</v>
      </c>
      <c r="E854" s="5" t="s">
        <v>13</v>
      </c>
      <c r="F854" s="5" t="s">
        <v>28</v>
      </c>
      <c r="G854" s="5" t="s">
        <v>15</v>
      </c>
      <c r="H854" s="5">
        <v>113383</v>
      </c>
      <c r="I854" s="5">
        <v>1040</v>
      </c>
      <c r="J854" s="6">
        <f t="shared" si="13"/>
        <v>112343</v>
      </c>
    </row>
    <row r="855" spans="1:10">
      <c r="A855" s="5">
        <v>168970</v>
      </c>
      <c r="B855" s="5" t="s">
        <v>16</v>
      </c>
      <c r="C855" s="5" t="s">
        <v>22</v>
      </c>
      <c r="D855" s="5" t="s">
        <v>30</v>
      </c>
      <c r="E855" s="5" t="s">
        <v>19</v>
      </c>
      <c r="F855" s="5" t="s">
        <v>14</v>
      </c>
      <c r="G855" s="5" t="s">
        <v>15</v>
      </c>
      <c r="H855" s="5">
        <v>59246</v>
      </c>
      <c r="I855" s="5">
        <v>3589</v>
      </c>
      <c r="J855" s="6">
        <f t="shared" si="13"/>
        <v>55657</v>
      </c>
    </row>
    <row r="856" spans="1:10">
      <c r="A856" s="5">
        <v>46000</v>
      </c>
      <c r="B856" s="5" t="s">
        <v>10</v>
      </c>
      <c r="C856" s="5" t="s">
        <v>35</v>
      </c>
      <c r="D856" s="5" t="s">
        <v>30</v>
      </c>
      <c r="E856" s="5" t="s">
        <v>19</v>
      </c>
      <c r="F856" s="5" t="s">
        <v>14</v>
      </c>
      <c r="G856" s="5" t="s">
        <v>24</v>
      </c>
      <c r="H856" s="5">
        <v>41182</v>
      </c>
      <c r="I856" s="5">
        <v>759</v>
      </c>
      <c r="J856" s="6">
        <f t="shared" si="13"/>
        <v>40423</v>
      </c>
    </row>
    <row r="857" spans="1:10">
      <c r="A857" s="5">
        <v>28428</v>
      </c>
      <c r="B857" s="5" t="s">
        <v>16</v>
      </c>
      <c r="C857" s="5" t="s">
        <v>11</v>
      </c>
      <c r="D857" s="5" t="s">
        <v>32</v>
      </c>
      <c r="E857" s="5" t="s">
        <v>13</v>
      </c>
      <c r="F857" s="5" t="s">
        <v>14</v>
      </c>
      <c r="G857" s="5" t="s">
        <v>15</v>
      </c>
      <c r="H857" s="5">
        <v>3447</v>
      </c>
      <c r="I857" s="5">
        <v>121</v>
      </c>
      <c r="J857" s="6">
        <f t="shared" si="13"/>
        <v>3326</v>
      </c>
    </row>
    <row r="858" spans="1:10">
      <c r="A858" s="5">
        <v>97435</v>
      </c>
      <c r="B858" s="5" t="s">
        <v>10</v>
      </c>
      <c r="C858" s="5" t="s">
        <v>37</v>
      </c>
      <c r="D858" s="5" t="s">
        <v>33</v>
      </c>
      <c r="E858" s="5" t="s">
        <v>13</v>
      </c>
      <c r="F858" s="5" t="s">
        <v>14</v>
      </c>
      <c r="G858" s="5" t="s">
        <v>15</v>
      </c>
      <c r="H858" s="5">
        <v>91030</v>
      </c>
      <c r="I858" s="5">
        <v>1700</v>
      </c>
      <c r="J858" s="6">
        <f t="shared" si="13"/>
        <v>89330</v>
      </c>
    </row>
    <row r="859" spans="1:10">
      <c r="A859" s="5">
        <v>217957</v>
      </c>
      <c r="B859" s="5" t="s">
        <v>16</v>
      </c>
      <c r="C859" s="5" t="s">
        <v>39</v>
      </c>
      <c r="D859" s="5" t="s">
        <v>32</v>
      </c>
      <c r="E859" s="5" t="s">
        <v>19</v>
      </c>
      <c r="F859" s="5" t="s">
        <v>14</v>
      </c>
      <c r="G859" s="5" t="s">
        <v>15</v>
      </c>
      <c r="H859" s="5">
        <v>41775</v>
      </c>
      <c r="I859" s="5">
        <v>131</v>
      </c>
      <c r="J859" s="6">
        <f t="shared" si="13"/>
        <v>41644</v>
      </c>
    </row>
    <row r="860" spans="1:10">
      <c r="A860" s="5">
        <v>69075</v>
      </c>
      <c r="B860" s="5" t="s">
        <v>10</v>
      </c>
      <c r="C860" s="5" t="s">
        <v>35</v>
      </c>
      <c r="D860" s="5" t="s">
        <v>23</v>
      </c>
      <c r="E860" s="5" t="s">
        <v>19</v>
      </c>
      <c r="F860" s="5" t="s">
        <v>14</v>
      </c>
      <c r="G860" s="5" t="s">
        <v>24</v>
      </c>
      <c r="H860" s="5">
        <v>68974</v>
      </c>
      <c r="I860" s="5">
        <v>4178</v>
      </c>
      <c r="J860" s="6">
        <f t="shared" si="13"/>
        <v>64796</v>
      </c>
    </row>
    <row r="861" spans="1:10">
      <c r="A861" s="5">
        <v>123717</v>
      </c>
      <c r="B861" s="5" t="s">
        <v>10</v>
      </c>
      <c r="C861" s="5" t="s">
        <v>27</v>
      </c>
      <c r="D861" s="5" t="s">
        <v>33</v>
      </c>
      <c r="E861" s="5" t="s">
        <v>13</v>
      </c>
      <c r="F861" s="5" t="s">
        <v>14</v>
      </c>
      <c r="G861" s="5" t="s">
        <v>15</v>
      </c>
      <c r="H861" s="5">
        <v>121815</v>
      </c>
      <c r="I861" s="5">
        <v>5601</v>
      </c>
      <c r="J861" s="6">
        <f t="shared" si="13"/>
        <v>116214</v>
      </c>
    </row>
    <row r="862" spans="1:10">
      <c r="A862" s="5">
        <v>176297</v>
      </c>
      <c r="B862" s="5" t="s">
        <v>16</v>
      </c>
      <c r="C862" s="5" t="s">
        <v>27</v>
      </c>
      <c r="D862" s="5" t="s">
        <v>30</v>
      </c>
      <c r="E862" s="5" t="s">
        <v>13</v>
      </c>
      <c r="F862" s="5" t="s">
        <v>14</v>
      </c>
      <c r="G862" s="5" t="s">
        <v>15</v>
      </c>
      <c r="H862" s="5">
        <v>73515</v>
      </c>
      <c r="I862" s="5">
        <v>1909</v>
      </c>
      <c r="J862" s="6">
        <f t="shared" si="13"/>
        <v>71606</v>
      </c>
    </row>
    <row r="863" spans="1:10">
      <c r="A863" s="5">
        <v>49233</v>
      </c>
      <c r="B863" s="5" t="s">
        <v>10</v>
      </c>
      <c r="C863" s="5" t="s">
        <v>35</v>
      </c>
      <c r="D863" s="5" t="s">
        <v>32</v>
      </c>
      <c r="E863" s="5" t="s">
        <v>13</v>
      </c>
      <c r="F863" s="5" t="s">
        <v>14</v>
      </c>
      <c r="G863" s="5" t="s">
        <v>15</v>
      </c>
      <c r="H863" s="5">
        <v>0</v>
      </c>
      <c r="I863" s="5">
        <v>0</v>
      </c>
      <c r="J863" s="6">
        <f t="shared" si="13"/>
        <v>0</v>
      </c>
    </row>
    <row r="864" spans="1:10">
      <c r="A864" s="5">
        <v>49742</v>
      </c>
      <c r="B864" s="5" t="s">
        <v>10</v>
      </c>
      <c r="C864" s="5" t="s">
        <v>35</v>
      </c>
      <c r="D864" s="5" t="s">
        <v>12</v>
      </c>
      <c r="E864" s="5" t="s">
        <v>13</v>
      </c>
      <c r="F864" s="5" t="s">
        <v>14</v>
      </c>
      <c r="G864" s="5" t="s">
        <v>15</v>
      </c>
      <c r="H864" s="5">
        <v>122376</v>
      </c>
      <c r="I864" s="5">
        <v>41914</v>
      </c>
      <c r="J864" s="6">
        <f t="shared" si="13"/>
        <v>80462</v>
      </c>
    </row>
    <row r="865" spans="1:10">
      <c r="A865" s="5">
        <v>121786</v>
      </c>
      <c r="B865" s="5" t="s">
        <v>16</v>
      </c>
      <c r="C865" s="5" t="s">
        <v>22</v>
      </c>
      <c r="D865" s="5" t="s">
        <v>30</v>
      </c>
      <c r="E865" s="5" t="s">
        <v>13</v>
      </c>
      <c r="F865" s="5" t="s">
        <v>28</v>
      </c>
      <c r="G865" s="5" t="s">
        <v>15</v>
      </c>
      <c r="H865" s="5">
        <v>75117</v>
      </c>
      <c r="I865" s="5">
        <v>184</v>
      </c>
      <c r="J865" s="6">
        <f t="shared" si="13"/>
        <v>74933</v>
      </c>
    </row>
    <row r="866" spans="1:10">
      <c r="A866" s="5">
        <v>38895</v>
      </c>
      <c r="B866" s="5" t="s">
        <v>10</v>
      </c>
      <c r="C866" s="5" t="s">
        <v>11</v>
      </c>
      <c r="D866" s="5" t="s">
        <v>23</v>
      </c>
      <c r="E866" s="5" t="s">
        <v>13</v>
      </c>
      <c r="F866" s="5" t="s">
        <v>14</v>
      </c>
      <c r="G866" s="5" t="s">
        <v>24</v>
      </c>
      <c r="H866" s="5">
        <v>149842</v>
      </c>
      <c r="I866" s="5">
        <v>3335</v>
      </c>
      <c r="J866" s="6">
        <f t="shared" si="13"/>
        <v>146507</v>
      </c>
    </row>
    <row r="867" spans="1:10">
      <c r="A867" s="5">
        <v>8660</v>
      </c>
      <c r="B867" s="5" t="s">
        <v>16</v>
      </c>
      <c r="C867" s="5" t="s">
        <v>37</v>
      </c>
      <c r="D867" s="5" t="s">
        <v>21</v>
      </c>
      <c r="E867" s="5" t="s">
        <v>19</v>
      </c>
      <c r="F867" s="5" t="s">
        <v>28</v>
      </c>
      <c r="G867" s="5" t="s">
        <v>15</v>
      </c>
      <c r="H867" s="5">
        <v>49250</v>
      </c>
      <c r="I867" s="5">
        <v>83</v>
      </c>
      <c r="J867" s="6">
        <f t="shared" si="13"/>
        <v>49167</v>
      </c>
    </row>
    <row r="868" spans="1:10">
      <c r="A868" s="5">
        <v>39980</v>
      </c>
      <c r="B868" s="5" t="s">
        <v>10</v>
      </c>
      <c r="C868" s="5" t="s">
        <v>35</v>
      </c>
      <c r="D868" s="5" t="s">
        <v>32</v>
      </c>
      <c r="E868" s="5" t="s">
        <v>13</v>
      </c>
      <c r="F868" s="5" t="s">
        <v>14</v>
      </c>
      <c r="G868" s="5" t="s">
        <v>24</v>
      </c>
      <c r="H868" s="5">
        <v>93439</v>
      </c>
      <c r="I868" s="5">
        <v>0</v>
      </c>
      <c r="J868" s="6">
        <f t="shared" si="13"/>
        <v>93439</v>
      </c>
    </row>
    <row r="869" spans="1:10">
      <c r="A869" s="5">
        <v>16978</v>
      </c>
      <c r="B869" s="5" t="s">
        <v>16</v>
      </c>
      <c r="C869" s="5" t="s">
        <v>11</v>
      </c>
      <c r="D869" s="5" t="s">
        <v>12</v>
      </c>
      <c r="E869" s="5" t="s">
        <v>13</v>
      </c>
      <c r="F869" s="5" t="s">
        <v>14</v>
      </c>
      <c r="G869" s="5" t="s">
        <v>15</v>
      </c>
      <c r="H869" s="5">
        <v>39499</v>
      </c>
      <c r="I869" s="5">
        <v>532</v>
      </c>
      <c r="J869" s="6">
        <f t="shared" si="13"/>
        <v>38967</v>
      </c>
    </row>
    <row r="870" spans="1:10">
      <c r="A870" s="5">
        <v>180577</v>
      </c>
      <c r="B870" s="5" t="s">
        <v>16</v>
      </c>
      <c r="C870" s="5" t="s">
        <v>17</v>
      </c>
      <c r="D870" s="5" t="s">
        <v>36</v>
      </c>
      <c r="E870" s="5" t="s">
        <v>19</v>
      </c>
      <c r="F870" s="5" t="s">
        <v>14</v>
      </c>
      <c r="G870" s="5" t="s">
        <v>24</v>
      </c>
      <c r="H870" s="5">
        <v>4148</v>
      </c>
      <c r="I870" s="5">
        <v>18</v>
      </c>
      <c r="J870" s="6">
        <f t="shared" si="13"/>
        <v>4130</v>
      </c>
    </row>
    <row r="871" spans="1:10">
      <c r="A871" s="5">
        <v>154567</v>
      </c>
      <c r="B871" s="5" t="s">
        <v>16</v>
      </c>
      <c r="C871" s="5" t="s">
        <v>25</v>
      </c>
      <c r="D871" s="5" t="s">
        <v>21</v>
      </c>
      <c r="E871" s="5" t="s">
        <v>13</v>
      </c>
      <c r="F871" s="5" t="s">
        <v>14</v>
      </c>
      <c r="G871" s="5" t="s">
        <v>15</v>
      </c>
      <c r="H871" s="5">
        <v>52490</v>
      </c>
      <c r="I871" s="5">
        <v>294</v>
      </c>
      <c r="J871" s="6">
        <f t="shared" si="13"/>
        <v>52196</v>
      </c>
    </row>
    <row r="872" spans="1:10">
      <c r="A872" s="5">
        <v>226474</v>
      </c>
      <c r="B872" s="5" t="s">
        <v>10</v>
      </c>
      <c r="C872" s="5" t="s">
        <v>25</v>
      </c>
      <c r="D872" s="5" t="s">
        <v>23</v>
      </c>
      <c r="E872" s="5" t="s">
        <v>19</v>
      </c>
      <c r="F872" s="5" t="s">
        <v>14</v>
      </c>
      <c r="G872" s="5" t="s">
        <v>15</v>
      </c>
      <c r="H872" s="5">
        <v>138377</v>
      </c>
      <c r="I872" s="5">
        <v>6605</v>
      </c>
      <c r="J872" s="6">
        <f t="shared" si="13"/>
        <v>131772</v>
      </c>
    </row>
    <row r="873" spans="1:10">
      <c r="A873" s="5">
        <v>154411</v>
      </c>
      <c r="B873" s="5" t="s">
        <v>16</v>
      </c>
      <c r="C873" s="5" t="s">
        <v>35</v>
      </c>
      <c r="D873" s="5" t="s">
        <v>30</v>
      </c>
      <c r="E873" s="5" t="s">
        <v>13</v>
      </c>
      <c r="F873" s="5" t="s">
        <v>28</v>
      </c>
      <c r="G873" s="5" t="s">
        <v>15</v>
      </c>
      <c r="H873" s="5">
        <v>11874</v>
      </c>
      <c r="I873" s="5">
        <v>0</v>
      </c>
      <c r="J873" s="6">
        <f t="shared" si="13"/>
        <v>11874</v>
      </c>
    </row>
    <row r="874" spans="1:10">
      <c r="A874" s="5">
        <v>7270</v>
      </c>
      <c r="B874" s="5" t="s">
        <v>16</v>
      </c>
      <c r="C874" s="5" t="s">
        <v>20</v>
      </c>
      <c r="D874" s="5" t="s">
        <v>32</v>
      </c>
      <c r="E874" s="5" t="s">
        <v>13</v>
      </c>
      <c r="F874" s="5" t="s">
        <v>14</v>
      </c>
      <c r="G874" s="5" t="s">
        <v>15</v>
      </c>
      <c r="H874" s="5">
        <v>20920</v>
      </c>
      <c r="I874" s="5">
        <v>0</v>
      </c>
      <c r="J874" s="6">
        <f t="shared" si="13"/>
        <v>20920</v>
      </c>
    </row>
    <row r="875" spans="1:10">
      <c r="A875" s="5">
        <v>241235</v>
      </c>
      <c r="B875" s="5" t="s">
        <v>10</v>
      </c>
      <c r="C875" s="5" t="s">
        <v>35</v>
      </c>
      <c r="D875" s="5" t="s">
        <v>18</v>
      </c>
      <c r="E875" s="5" t="s">
        <v>13</v>
      </c>
      <c r="F875" s="5" t="s">
        <v>28</v>
      </c>
      <c r="G875" s="5" t="s">
        <v>15</v>
      </c>
      <c r="H875" s="5">
        <v>81692</v>
      </c>
      <c r="I875" s="5">
        <v>1495</v>
      </c>
      <c r="J875" s="6">
        <f t="shared" si="13"/>
        <v>80197</v>
      </c>
    </row>
    <row r="876" spans="1:10">
      <c r="A876" s="5">
        <v>173120</v>
      </c>
      <c r="B876" s="5" t="s">
        <v>10</v>
      </c>
      <c r="C876" s="5" t="s">
        <v>20</v>
      </c>
      <c r="D876" s="5" t="s">
        <v>32</v>
      </c>
      <c r="E876" s="5" t="s">
        <v>13</v>
      </c>
      <c r="F876" s="5" t="s">
        <v>14</v>
      </c>
      <c r="G876" s="5" t="s">
        <v>15</v>
      </c>
      <c r="H876" s="5">
        <v>48939</v>
      </c>
      <c r="I876" s="5">
        <v>597</v>
      </c>
      <c r="J876" s="6">
        <f t="shared" si="13"/>
        <v>48342</v>
      </c>
    </row>
    <row r="877" spans="1:10">
      <c r="A877" s="5">
        <v>64798</v>
      </c>
      <c r="B877" s="5" t="s">
        <v>16</v>
      </c>
      <c r="C877" s="5" t="s">
        <v>27</v>
      </c>
      <c r="D877" s="5" t="s">
        <v>32</v>
      </c>
      <c r="E877" s="5" t="s">
        <v>13</v>
      </c>
      <c r="F877" s="5" t="s">
        <v>14</v>
      </c>
      <c r="G877" s="5" t="s">
        <v>24</v>
      </c>
      <c r="H877" s="5">
        <v>12989</v>
      </c>
      <c r="I877" s="5">
        <v>0</v>
      </c>
      <c r="J877" s="6">
        <f t="shared" si="13"/>
        <v>12989</v>
      </c>
    </row>
    <row r="878" spans="1:10">
      <c r="A878" s="5">
        <v>137329</v>
      </c>
      <c r="B878" s="5" t="s">
        <v>10</v>
      </c>
      <c r="C878" s="5" t="s">
        <v>22</v>
      </c>
      <c r="D878" s="5" t="s">
        <v>30</v>
      </c>
      <c r="E878" s="5" t="s">
        <v>19</v>
      </c>
      <c r="F878" s="5" t="s">
        <v>14</v>
      </c>
      <c r="G878" s="5" t="s">
        <v>15</v>
      </c>
      <c r="H878" s="5">
        <v>227664</v>
      </c>
      <c r="I878" s="5">
        <v>10694</v>
      </c>
      <c r="J878" s="6">
        <f t="shared" si="13"/>
        <v>216970</v>
      </c>
    </row>
    <row r="879" spans="1:10">
      <c r="A879" s="5">
        <v>31546</v>
      </c>
      <c r="B879" s="5" t="s">
        <v>10</v>
      </c>
      <c r="C879" s="5" t="s">
        <v>38</v>
      </c>
      <c r="D879" s="5" t="s">
        <v>33</v>
      </c>
      <c r="E879" s="5" t="s">
        <v>13</v>
      </c>
      <c r="F879" s="5" t="s">
        <v>14</v>
      </c>
      <c r="G879" s="5" t="s">
        <v>15</v>
      </c>
      <c r="H879" s="5">
        <v>71476</v>
      </c>
      <c r="I879" s="5">
        <v>654</v>
      </c>
      <c r="J879" s="6">
        <f t="shared" si="13"/>
        <v>70822</v>
      </c>
    </row>
    <row r="880" spans="1:10">
      <c r="A880" s="5">
        <v>142407</v>
      </c>
      <c r="B880" s="5" t="s">
        <v>10</v>
      </c>
      <c r="C880" s="5" t="s">
        <v>17</v>
      </c>
      <c r="D880" s="5" t="s">
        <v>18</v>
      </c>
      <c r="E880" s="5" t="s">
        <v>19</v>
      </c>
      <c r="F880" s="5" t="s">
        <v>14</v>
      </c>
      <c r="G880" s="5" t="s">
        <v>24</v>
      </c>
      <c r="H880" s="5">
        <v>20569</v>
      </c>
      <c r="I880" s="5">
        <v>68</v>
      </c>
      <c r="J880" s="6">
        <f t="shared" si="13"/>
        <v>20501</v>
      </c>
    </row>
    <row r="881" spans="1:10">
      <c r="A881" s="5">
        <v>90731</v>
      </c>
      <c r="B881" s="5" t="s">
        <v>10</v>
      </c>
      <c r="C881" s="5" t="s">
        <v>38</v>
      </c>
      <c r="D881" s="5" t="s">
        <v>33</v>
      </c>
      <c r="E881" s="5" t="s">
        <v>13</v>
      </c>
      <c r="F881" s="5" t="s">
        <v>14</v>
      </c>
      <c r="G881" s="5" t="s">
        <v>15</v>
      </c>
      <c r="H881" s="5">
        <v>20272</v>
      </c>
      <c r="I881" s="5">
        <v>6150</v>
      </c>
      <c r="J881" s="6">
        <f t="shared" si="13"/>
        <v>14122</v>
      </c>
    </row>
    <row r="882" spans="1:10">
      <c r="A882" s="5">
        <v>248493</v>
      </c>
      <c r="B882" s="5" t="s">
        <v>16</v>
      </c>
      <c r="C882" s="5" t="s">
        <v>22</v>
      </c>
      <c r="D882" s="5" t="s">
        <v>33</v>
      </c>
      <c r="E882" s="5" t="s">
        <v>13</v>
      </c>
      <c r="F882" s="5" t="s">
        <v>14</v>
      </c>
      <c r="G882" s="5" t="s">
        <v>24</v>
      </c>
      <c r="H882" s="5">
        <v>59941</v>
      </c>
      <c r="I882" s="5">
        <v>1677</v>
      </c>
      <c r="J882" s="6">
        <f t="shared" si="13"/>
        <v>58264</v>
      </c>
    </row>
    <row r="883" spans="1:10">
      <c r="A883" s="5">
        <v>36906</v>
      </c>
      <c r="B883" s="5" t="s">
        <v>16</v>
      </c>
      <c r="C883" s="5" t="s">
        <v>35</v>
      </c>
      <c r="D883" s="5" t="s">
        <v>33</v>
      </c>
      <c r="E883" s="5" t="s">
        <v>13</v>
      </c>
      <c r="F883" s="5" t="s">
        <v>28</v>
      </c>
      <c r="G883" s="5" t="s">
        <v>15</v>
      </c>
      <c r="H883" s="5">
        <v>38</v>
      </c>
      <c r="I883" s="5">
        <v>0</v>
      </c>
      <c r="J883" s="6">
        <f t="shared" si="13"/>
        <v>38</v>
      </c>
    </row>
    <row r="884" spans="1:10">
      <c r="A884" s="5">
        <v>25268</v>
      </c>
      <c r="B884" s="5" t="s">
        <v>16</v>
      </c>
      <c r="C884" s="5" t="s">
        <v>11</v>
      </c>
      <c r="D884" s="5" t="s">
        <v>32</v>
      </c>
      <c r="E884" s="5" t="s">
        <v>13</v>
      </c>
      <c r="F884" s="5" t="s">
        <v>14</v>
      </c>
      <c r="G884" s="5" t="s">
        <v>15</v>
      </c>
      <c r="H884" s="5">
        <v>6093</v>
      </c>
      <c r="I884" s="5">
        <v>0</v>
      </c>
      <c r="J884" s="6">
        <f t="shared" si="13"/>
        <v>6093</v>
      </c>
    </row>
    <row r="885" spans="1:10">
      <c r="A885" s="5">
        <v>206128</v>
      </c>
      <c r="B885" s="5" t="s">
        <v>16</v>
      </c>
      <c r="C885" s="5" t="s">
        <v>11</v>
      </c>
      <c r="D885" s="5" t="s">
        <v>32</v>
      </c>
      <c r="E885" s="5" t="s">
        <v>13</v>
      </c>
      <c r="F885" s="5" t="s">
        <v>14</v>
      </c>
      <c r="G885" s="5" t="s">
        <v>24</v>
      </c>
      <c r="H885" s="5">
        <v>-32058</v>
      </c>
      <c r="I885" s="5">
        <v>487</v>
      </c>
      <c r="J885" s="6">
        <f t="shared" si="13"/>
        <v>-32545</v>
      </c>
    </row>
    <row r="886" spans="1:10">
      <c r="A886" s="5">
        <v>9748</v>
      </c>
      <c r="B886" s="5" t="s">
        <v>16</v>
      </c>
      <c r="C886" s="5" t="s">
        <v>20</v>
      </c>
      <c r="D886" s="5" t="s">
        <v>32</v>
      </c>
      <c r="E886" s="5" t="s">
        <v>19</v>
      </c>
      <c r="F886" s="5" t="s">
        <v>14</v>
      </c>
      <c r="G886" s="5" t="s">
        <v>24</v>
      </c>
      <c r="H886" s="5">
        <v>4081</v>
      </c>
      <c r="I886" s="5">
        <v>0</v>
      </c>
      <c r="J886" s="6">
        <f t="shared" si="13"/>
        <v>4081</v>
      </c>
    </row>
    <row r="887" spans="1:10">
      <c r="A887" s="5">
        <v>235673</v>
      </c>
      <c r="B887" s="5" t="s">
        <v>10</v>
      </c>
      <c r="C887" s="5" t="s">
        <v>17</v>
      </c>
      <c r="D887" s="5" t="s">
        <v>30</v>
      </c>
      <c r="E887" s="5" t="s">
        <v>19</v>
      </c>
      <c r="F887" s="5" t="s">
        <v>28</v>
      </c>
      <c r="G887" s="5" t="s">
        <v>15</v>
      </c>
      <c r="H887" s="5">
        <v>58791</v>
      </c>
      <c r="I887" s="5">
        <v>1143</v>
      </c>
      <c r="J887" s="6">
        <f t="shared" si="13"/>
        <v>57648</v>
      </c>
    </row>
    <row r="888" spans="1:10">
      <c r="A888" s="5">
        <v>63047</v>
      </c>
      <c r="B888" s="5" t="s">
        <v>10</v>
      </c>
      <c r="C888" s="5" t="s">
        <v>27</v>
      </c>
      <c r="D888" s="5" t="s">
        <v>36</v>
      </c>
      <c r="E888" s="5" t="s">
        <v>13</v>
      </c>
      <c r="F888" s="5" t="s">
        <v>28</v>
      </c>
      <c r="G888" s="5" t="s">
        <v>24</v>
      </c>
      <c r="H888" s="5">
        <v>88773</v>
      </c>
      <c r="I888" s="5">
        <v>829</v>
      </c>
      <c r="J888" s="6">
        <f t="shared" si="13"/>
        <v>87944</v>
      </c>
    </row>
    <row r="889" spans="1:10">
      <c r="A889" s="5">
        <v>91336</v>
      </c>
      <c r="B889" s="5" t="s">
        <v>16</v>
      </c>
      <c r="C889" s="5" t="s">
        <v>39</v>
      </c>
      <c r="D889" s="5" t="s">
        <v>32</v>
      </c>
      <c r="E889" s="5" t="s">
        <v>13</v>
      </c>
      <c r="F889" s="5" t="s">
        <v>14</v>
      </c>
      <c r="G889" s="5" t="s">
        <v>15</v>
      </c>
      <c r="H889" s="5">
        <v>82385</v>
      </c>
      <c r="I889" s="5">
        <v>287</v>
      </c>
      <c r="J889" s="6">
        <f t="shared" si="13"/>
        <v>82098</v>
      </c>
    </row>
    <row r="890" spans="1:10">
      <c r="A890" s="5">
        <v>161844</v>
      </c>
      <c r="B890" s="5" t="s">
        <v>10</v>
      </c>
      <c r="C890" s="5" t="s">
        <v>17</v>
      </c>
      <c r="D890" s="5" t="s">
        <v>21</v>
      </c>
      <c r="E890" s="5" t="s">
        <v>19</v>
      </c>
      <c r="F890" s="5" t="s">
        <v>14</v>
      </c>
      <c r="G890" s="5" t="s">
        <v>15</v>
      </c>
      <c r="H890" s="5">
        <v>38265</v>
      </c>
      <c r="I890" s="5">
        <v>2710</v>
      </c>
      <c r="J890" s="6">
        <f t="shared" si="13"/>
        <v>35555</v>
      </c>
    </row>
    <row r="891" spans="1:10">
      <c r="A891" s="5">
        <v>84075</v>
      </c>
      <c r="B891" s="5" t="s">
        <v>10</v>
      </c>
      <c r="C891" s="5" t="s">
        <v>34</v>
      </c>
      <c r="D891" s="5" t="s">
        <v>29</v>
      </c>
      <c r="E891" s="5" t="s">
        <v>19</v>
      </c>
      <c r="F891" s="5" t="s">
        <v>14</v>
      </c>
      <c r="G891" s="5" t="s">
        <v>24</v>
      </c>
      <c r="H891" s="5">
        <v>63136</v>
      </c>
      <c r="I891" s="5">
        <v>11149</v>
      </c>
      <c r="J891" s="6">
        <f t="shared" si="13"/>
        <v>51987</v>
      </c>
    </row>
    <row r="892" spans="1:10">
      <c r="A892" s="5">
        <v>247868</v>
      </c>
      <c r="B892" s="5" t="s">
        <v>16</v>
      </c>
      <c r="C892" s="5" t="s">
        <v>17</v>
      </c>
      <c r="D892" s="5" t="s">
        <v>36</v>
      </c>
      <c r="E892" s="5" t="s">
        <v>19</v>
      </c>
      <c r="F892" s="5" t="s">
        <v>14</v>
      </c>
      <c r="G892" s="5" t="s">
        <v>24</v>
      </c>
      <c r="H892" s="5">
        <v>24605</v>
      </c>
      <c r="I892" s="5">
        <v>752</v>
      </c>
      <c r="J892" s="6">
        <f t="shared" si="13"/>
        <v>23853</v>
      </c>
    </row>
    <row r="893" spans="1:10">
      <c r="A893" s="5">
        <v>228719</v>
      </c>
      <c r="B893" s="5" t="s">
        <v>10</v>
      </c>
      <c r="C893" s="5" t="s">
        <v>25</v>
      </c>
      <c r="D893" s="5" t="s">
        <v>29</v>
      </c>
      <c r="E893" s="5" t="s">
        <v>13</v>
      </c>
      <c r="F893" s="5" t="s">
        <v>28</v>
      </c>
      <c r="G893" s="5" t="s">
        <v>24</v>
      </c>
      <c r="H893" s="5">
        <v>142628</v>
      </c>
      <c r="I893" s="5">
        <v>14982</v>
      </c>
      <c r="J893" s="6">
        <f t="shared" si="13"/>
        <v>127646</v>
      </c>
    </row>
    <row r="894" spans="1:10">
      <c r="A894" s="5">
        <v>222143</v>
      </c>
      <c r="B894" s="5" t="s">
        <v>10</v>
      </c>
      <c r="C894" s="5" t="s">
        <v>22</v>
      </c>
      <c r="D894" s="5" t="s">
        <v>32</v>
      </c>
      <c r="E894" s="5" t="s">
        <v>13</v>
      </c>
      <c r="F894" s="5" t="s">
        <v>14</v>
      </c>
      <c r="G894" s="5" t="s">
        <v>24</v>
      </c>
      <c r="H894" s="5">
        <v>3270</v>
      </c>
      <c r="I894" s="5">
        <v>0</v>
      </c>
      <c r="J894" s="6">
        <f t="shared" si="13"/>
        <v>3270</v>
      </c>
    </row>
    <row r="895" spans="1:10">
      <c r="A895" s="5">
        <v>88435</v>
      </c>
      <c r="B895" s="5" t="s">
        <v>16</v>
      </c>
      <c r="C895" s="5" t="s">
        <v>37</v>
      </c>
      <c r="D895" s="5" t="s">
        <v>33</v>
      </c>
      <c r="E895" s="5" t="s">
        <v>19</v>
      </c>
      <c r="F895" s="5" t="s">
        <v>14</v>
      </c>
      <c r="G895" s="5" t="s">
        <v>24</v>
      </c>
      <c r="H895" s="5">
        <v>50446</v>
      </c>
      <c r="I895" s="5">
        <v>269</v>
      </c>
      <c r="J895" s="6">
        <f t="shared" si="13"/>
        <v>50177</v>
      </c>
    </row>
    <row r="896" spans="1:10">
      <c r="A896" s="5">
        <v>183461</v>
      </c>
      <c r="B896" s="5" t="s">
        <v>10</v>
      </c>
      <c r="C896" s="5" t="s">
        <v>20</v>
      </c>
      <c r="D896" s="5" t="s">
        <v>32</v>
      </c>
      <c r="E896" s="5" t="s">
        <v>19</v>
      </c>
      <c r="F896" s="5" t="s">
        <v>14</v>
      </c>
      <c r="G896" s="5" t="s">
        <v>15</v>
      </c>
      <c r="H896" s="5">
        <v>39044</v>
      </c>
      <c r="I896" s="5">
        <v>129</v>
      </c>
      <c r="J896" s="6">
        <f t="shared" si="13"/>
        <v>38915</v>
      </c>
    </row>
    <row r="897" spans="1:10">
      <c r="A897" s="5">
        <v>145545</v>
      </c>
      <c r="B897" s="5" t="s">
        <v>10</v>
      </c>
      <c r="C897" s="5" t="s">
        <v>22</v>
      </c>
      <c r="D897" s="5" t="s">
        <v>32</v>
      </c>
      <c r="E897" s="5" t="s">
        <v>19</v>
      </c>
      <c r="F897" s="5" t="s">
        <v>28</v>
      </c>
      <c r="G897" s="5" t="s">
        <v>24</v>
      </c>
      <c r="H897" s="5">
        <v>458</v>
      </c>
      <c r="I897" s="5">
        <v>0</v>
      </c>
      <c r="J897" s="6">
        <f t="shared" si="13"/>
        <v>458</v>
      </c>
    </row>
    <row r="898" spans="1:10">
      <c r="A898" s="5">
        <v>91304</v>
      </c>
      <c r="B898" s="5" t="s">
        <v>10</v>
      </c>
      <c r="C898" s="5" t="s">
        <v>37</v>
      </c>
      <c r="D898" s="5" t="s">
        <v>36</v>
      </c>
      <c r="E898" s="5" t="s">
        <v>13</v>
      </c>
      <c r="F898" s="5" t="s">
        <v>14</v>
      </c>
      <c r="G898" s="5" t="s">
        <v>15</v>
      </c>
      <c r="H898" s="5">
        <v>112781</v>
      </c>
      <c r="I898" s="5">
        <v>12548</v>
      </c>
      <c r="J898" s="6">
        <f t="shared" ref="J898:J961" si="14">H898-I898</f>
        <v>100233</v>
      </c>
    </row>
    <row r="899" spans="1:10">
      <c r="A899" s="5">
        <v>97312</v>
      </c>
      <c r="B899" s="5" t="s">
        <v>16</v>
      </c>
      <c r="C899" s="5" t="s">
        <v>39</v>
      </c>
      <c r="D899" s="5" t="s">
        <v>32</v>
      </c>
      <c r="E899" s="5" t="s">
        <v>13</v>
      </c>
      <c r="F899" s="5" t="s">
        <v>14</v>
      </c>
      <c r="G899" s="5" t="s">
        <v>15</v>
      </c>
      <c r="H899" s="5">
        <v>17843</v>
      </c>
      <c r="I899" s="5">
        <v>0</v>
      </c>
      <c r="J899" s="6">
        <f t="shared" si="14"/>
        <v>17843</v>
      </c>
    </row>
    <row r="900" spans="1:10">
      <c r="A900" s="5">
        <v>166553</v>
      </c>
      <c r="B900" s="5" t="s">
        <v>10</v>
      </c>
      <c r="C900" s="5" t="s">
        <v>22</v>
      </c>
      <c r="D900" s="5" t="s">
        <v>30</v>
      </c>
      <c r="E900" s="5" t="s">
        <v>13</v>
      </c>
      <c r="F900" s="5" t="s">
        <v>14</v>
      </c>
      <c r="G900" s="5" t="s">
        <v>15</v>
      </c>
      <c r="H900" s="5">
        <v>117716</v>
      </c>
      <c r="I900" s="5">
        <v>9327</v>
      </c>
      <c r="J900" s="6">
        <f t="shared" si="14"/>
        <v>108389</v>
      </c>
    </row>
    <row r="901" spans="1:10">
      <c r="A901" s="5">
        <v>90600</v>
      </c>
      <c r="B901" s="5" t="s">
        <v>16</v>
      </c>
      <c r="C901" s="5" t="s">
        <v>37</v>
      </c>
      <c r="D901" s="5" t="s">
        <v>26</v>
      </c>
      <c r="E901" s="5" t="s">
        <v>13</v>
      </c>
      <c r="F901" s="5" t="s">
        <v>28</v>
      </c>
      <c r="G901" s="5" t="s">
        <v>15</v>
      </c>
      <c r="H901" s="5">
        <v>49587</v>
      </c>
      <c r="I901" s="5">
        <v>542</v>
      </c>
      <c r="J901" s="6">
        <f t="shared" si="14"/>
        <v>49045</v>
      </c>
    </row>
    <row r="902" spans="1:10">
      <c r="A902" s="5">
        <v>51995</v>
      </c>
      <c r="B902" s="5" t="s">
        <v>16</v>
      </c>
      <c r="C902" s="5" t="s">
        <v>35</v>
      </c>
      <c r="D902" s="5" t="s">
        <v>23</v>
      </c>
      <c r="E902" s="5" t="s">
        <v>13</v>
      </c>
      <c r="F902" s="5" t="s">
        <v>28</v>
      </c>
      <c r="G902" s="5" t="s">
        <v>15</v>
      </c>
      <c r="H902" s="5">
        <v>28927</v>
      </c>
      <c r="I902" s="5">
        <v>599</v>
      </c>
      <c r="J902" s="6">
        <f t="shared" si="14"/>
        <v>28328</v>
      </c>
    </row>
    <row r="903" spans="1:10">
      <c r="A903" s="5">
        <v>37722</v>
      </c>
      <c r="B903" s="5" t="s">
        <v>10</v>
      </c>
      <c r="C903" s="5" t="s">
        <v>39</v>
      </c>
      <c r="D903" s="5" t="s">
        <v>32</v>
      </c>
      <c r="E903" s="5" t="s">
        <v>13</v>
      </c>
      <c r="F903" s="5" t="s">
        <v>28</v>
      </c>
      <c r="G903" s="5" t="s">
        <v>15</v>
      </c>
      <c r="H903" s="5">
        <v>67728</v>
      </c>
      <c r="I903" s="5">
        <v>18160</v>
      </c>
      <c r="J903" s="6">
        <f t="shared" si="14"/>
        <v>49568</v>
      </c>
    </row>
    <row r="904" spans="1:10">
      <c r="A904" s="5">
        <v>237221</v>
      </c>
      <c r="B904" s="5" t="s">
        <v>16</v>
      </c>
      <c r="C904" s="5" t="s">
        <v>17</v>
      </c>
      <c r="D904" s="5" t="s">
        <v>21</v>
      </c>
      <c r="E904" s="5" t="s">
        <v>19</v>
      </c>
      <c r="F904" s="5" t="s">
        <v>14</v>
      </c>
      <c r="G904" s="5" t="s">
        <v>24</v>
      </c>
      <c r="H904" s="5">
        <v>31064</v>
      </c>
      <c r="I904" s="5">
        <v>282</v>
      </c>
      <c r="J904" s="6">
        <f t="shared" si="14"/>
        <v>30782</v>
      </c>
    </row>
    <row r="905" spans="1:10">
      <c r="A905" s="5">
        <v>95049</v>
      </c>
      <c r="B905" s="5" t="s">
        <v>10</v>
      </c>
      <c r="C905" s="5" t="s">
        <v>38</v>
      </c>
      <c r="D905" s="5" t="s">
        <v>12</v>
      </c>
      <c r="E905" s="5" t="s">
        <v>13</v>
      </c>
      <c r="F905" s="5" t="s">
        <v>14</v>
      </c>
      <c r="G905" s="5" t="s">
        <v>15</v>
      </c>
      <c r="H905" s="5">
        <v>328743</v>
      </c>
      <c r="I905" s="5">
        <v>0</v>
      </c>
      <c r="J905" s="6">
        <f t="shared" si="14"/>
        <v>328743</v>
      </c>
    </row>
    <row r="906" spans="1:10">
      <c r="A906" s="5">
        <v>84823</v>
      </c>
      <c r="B906" s="5" t="s">
        <v>16</v>
      </c>
      <c r="C906" s="5" t="s">
        <v>11</v>
      </c>
      <c r="D906" s="5" t="s">
        <v>18</v>
      </c>
      <c r="E906" s="5" t="s">
        <v>19</v>
      </c>
      <c r="F906" s="5" t="s">
        <v>14</v>
      </c>
      <c r="G906" s="5" t="s">
        <v>15</v>
      </c>
      <c r="H906" s="5">
        <v>49063</v>
      </c>
      <c r="I906" s="5">
        <v>1000</v>
      </c>
      <c r="J906" s="6">
        <f t="shared" si="14"/>
        <v>48063</v>
      </c>
    </row>
    <row r="907" spans="1:10">
      <c r="A907" s="5">
        <v>92893</v>
      </c>
      <c r="B907" s="5" t="s">
        <v>16</v>
      </c>
      <c r="C907" s="5" t="s">
        <v>37</v>
      </c>
      <c r="D907" s="5" t="s">
        <v>30</v>
      </c>
      <c r="E907" s="5" t="s">
        <v>13</v>
      </c>
      <c r="F907" s="5" t="s">
        <v>14</v>
      </c>
      <c r="G907" s="5" t="s">
        <v>15</v>
      </c>
      <c r="H907" s="5">
        <v>26983</v>
      </c>
      <c r="I907" s="5">
        <v>1109</v>
      </c>
      <c r="J907" s="6">
        <f t="shared" si="14"/>
        <v>25874</v>
      </c>
    </row>
    <row r="908" spans="1:10">
      <c r="A908" s="5">
        <v>91058</v>
      </c>
      <c r="B908" s="5" t="s">
        <v>16</v>
      </c>
      <c r="C908" s="5" t="s">
        <v>38</v>
      </c>
      <c r="D908" s="5" t="s">
        <v>18</v>
      </c>
      <c r="E908" s="5" t="s">
        <v>13</v>
      </c>
      <c r="F908" s="5" t="s">
        <v>14</v>
      </c>
      <c r="G908" s="5" t="s">
        <v>15</v>
      </c>
      <c r="H908" s="5">
        <v>18227</v>
      </c>
      <c r="I908" s="5">
        <v>481</v>
      </c>
      <c r="J908" s="6">
        <f t="shared" si="14"/>
        <v>17746</v>
      </c>
    </row>
    <row r="909" spans="1:10">
      <c r="A909" s="5">
        <v>45215</v>
      </c>
      <c r="B909" s="5" t="s">
        <v>16</v>
      </c>
      <c r="C909" s="5" t="s">
        <v>35</v>
      </c>
      <c r="D909" s="5" t="s">
        <v>36</v>
      </c>
      <c r="E909" s="5" t="s">
        <v>13</v>
      </c>
      <c r="F909" s="5" t="s">
        <v>14</v>
      </c>
      <c r="G909" s="5" t="s">
        <v>24</v>
      </c>
      <c r="H909" s="5">
        <v>15687</v>
      </c>
      <c r="I909" s="5">
        <v>394</v>
      </c>
      <c r="J909" s="6">
        <f t="shared" si="14"/>
        <v>15293</v>
      </c>
    </row>
    <row r="910" spans="1:10">
      <c r="A910" s="5">
        <v>133960</v>
      </c>
      <c r="B910" s="5" t="s">
        <v>10</v>
      </c>
      <c r="C910" s="5" t="s">
        <v>31</v>
      </c>
      <c r="D910" s="5" t="s">
        <v>26</v>
      </c>
      <c r="E910" s="5" t="s">
        <v>19</v>
      </c>
      <c r="F910" s="5" t="s">
        <v>14</v>
      </c>
      <c r="G910" s="5" t="s">
        <v>24</v>
      </c>
      <c r="H910" s="5">
        <v>5369</v>
      </c>
      <c r="I910" s="5">
        <v>270</v>
      </c>
      <c r="J910" s="6">
        <f t="shared" si="14"/>
        <v>5099</v>
      </c>
    </row>
    <row r="911" spans="1:10">
      <c r="A911" s="5">
        <v>17674</v>
      </c>
      <c r="B911" s="5" t="s">
        <v>16</v>
      </c>
      <c r="C911" s="5" t="s">
        <v>34</v>
      </c>
      <c r="D911" s="5" t="s">
        <v>32</v>
      </c>
      <c r="E911" s="5" t="s">
        <v>19</v>
      </c>
      <c r="F911" s="5" t="s">
        <v>28</v>
      </c>
      <c r="G911" s="5" t="s">
        <v>15</v>
      </c>
      <c r="H911" s="5">
        <v>25214</v>
      </c>
      <c r="I911" s="5">
        <v>0</v>
      </c>
      <c r="J911" s="6">
        <f t="shared" si="14"/>
        <v>25214</v>
      </c>
    </row>
    <row r="912" spans="1:10">
      <c r="A912" s="5">
        <v>121669</v>
      </c>
      <c r="B912" s="5" t="s">
        <v>16</v>
      </c>
      <c r="C912" s="5" t="s">
        <v>22</v>
      </c>
      <c r="D912" s="5" t="s">
        <v>21</v>
      </c>
      <c r="E912" s="5" t="s">
        <v>13</v>
      </c>
      <c r="F912" s="5" t="s">
        <v>28</v>
      </c>
      <c r="G912" s="5" t="s">
        <v>15</v>
      </c>
      <c r="H912" s="5">
        <v>18</v>
      </c>
      <c r="I912" s="5">
        <v>0</v>
      </c>
      <c r="J912" s="6">
        <f t="shared" si="14"/>
        <v>18</v>
      </c>
    </row>
    <row r="913" spans="1:10">
      <c r="A913" s="5">
        <v>214730</v>
      </c>
      <c r="B913" s="5" t="s">
        <v>16</v>
      </c>
      <c r="C913" s="5" t="s">
        <v>34</v>
      </c>
      <c r="D913" s="5" t="s">
        <v>30</v>
      </c>
      <c r="E913" s="5" t="s">
        <v>13</v>
      </c>
      <c r="F913" s="5" t="s">
        <v>14</v>
      </c>
      <c r="G913" s="5" t="s">
        <v>15</v>
      </c>
      <c r="H913" s="5">
        <v>69307</v>
      </c>
      <c r="I913" s="5">
        <v>0</v>
      </c>
      <c r="J913" s="6">
        <f t="shared" si="14"/>
        <v>69307</v>
      </c>
    </row>
    <row r="914" spans="1:10">
      <c r="A914" s="5">
        <v>138562</v>
      </c>
      <c r="B914" s="5" t="s">
        <v>16</v>
      </c>
      <c r="C914" s="5" t="s">
        <v>22</v>
      </c>
      <c r="D914" s="5" t="s">
        <v>30</v>
      </c>
      <c r="E914" s="5" t="s">
        <v>13</v>
      </c>
      <c r="F914" s="5" t="s">
        <v>14</v>
      </c>
      <c r="G914" s="5" t="s">
        <v>15</v>
      </c>
      <c r="H914" s="5">
        <v>86371</v>
      </c>
      <c r="I914" s="5">
        <v>4503</v>
      </c>
      <c r="J914" s="6">
        <f t="shared" si="14"/>
        <v>81868</v>
      </c>
    </row>
    <row r="915" spans="1:10">
      <c r="A915" s="5">
        <v>38177</v>
      </c>
      <c r="B915" s="5" t="s">
        <v>16</v>
      </c>
      <c r="C915" s="5" t="s">
        <v>37</v>
      </c>
      <c r="D915" s="5" t="s">
        <v>26</v>
      </c>
      <c r="E915" s="5" t="s">
        <v>13</v>
      </c>
      <c r="F915" s="5" t="s">
        <v>14</v>
      </c>
      <c r="G915" s="5" t="s">
        <v>15</v>
      </c>
      <c r="H915" s="5">
        <v>21247</v>
      </c>
      <c r="I915" s="5">
        <v>568</v>
      </c>
      <c r="J915" s="6">
        <f t="shared" si="14"/>
        <v>20679</v>
      </c>
    </row>
    <row r="916" spans="1:10">
      <c r="A916" s="5">
        <v>155738</v>
      </c>
      <c r="B916" s="5" t="s">
        <v>16</v>
      </c>
      <c r="C916" s="5" t="s">
        <v>38</v>
      </c>
      <c r="D916" s="5" t="s">
        <v>30</v>
      </c>
      <c r="E916" s="5" t="s">
        <v>13</v>
      </c>
      <c r="F916" s="5" t="s">
        <v>14</v>
      </c>
      <c r="G916" s="5" t="s">
        <v>15</v>
      </c>
      <c r="H916" s="5">
        <v>13556</v>
      </c>
      <c r="I916" s="5">
        <v>0</v>
      </c>
      <c r="J916" s="6">
        <f t="shared" si="14"/>
        <v>13556</v>
      </c>
    </row>
    <row r="917" spans="1:10">
      <c r="A917" s="5">
        <v>119844</v>
      </c>
      <c r="B917" s="5" t="s">
        <v>10</v>
      </c>
      <c r="C917" s="5" t="s">
        <v>11</v>
      </c>
      <c r="D917" s="5" t="s">
        <v>30</v>
      </c>
      <c r="E917" s="5" t="s">
        <v>13</v>
      </c>
      <c r="F917" s="5" t="s">
        <v>14</v>
      </c>
      <c r="G917" s="5" t="s">
        <v>24</v>
      </c>
      <c r="H917" s="5">
        <v>65600</v>
      </c>
      <c r="I917" s="5">
        <v>2501</v>
      </c>
      <c r="J917" s="6">
        <f t="shared" si="14"/>
        <v>63099</v>
      </c>
    </row>
    <row r="918" spans="1:10">
      <c r="A918" s="5">
        <v>173864</v>
      </c>
      <c r="B918" s="5" t="s">
        <v>10</v>
      </c>
      <c r="C918" s="5" t="s">
        <v>22</v>
      </c>
      <c r="D918" s="5" t="s">
        <v>26</v>
      </c>
      <c r="E918" s="5" t="s">
        <v>19</v>
      </c>
      <c r="F918" s="5" t="s">
        <v>14</v>
      </c>
      <c r="G918" s="5" t="s">
        <v>24</v>
      </c>
      <c r="H918" s="5">
        <v>60941</v>
      </c>
      <c r="I918" s="5">
        <v>2146</v>
      </c>
      <c r="J918" s="6">
        <f t="shared" si="14"/>
        <v>58795</v>
      </c>
    </row>
    <row r="919" spans="1:10">
      <c r="A919" s="5">
        <v>216383</v>
      </c>
      <c r="B919" s="5" t="s">
        <v>10</v>
      </c>
      <c r="C919" s="5" t="s">
        <v>34</v>
      </c>
      <c r="D919" s="5" t="s">
        <v>29</v>
      </c>
      <c r="E919" s="5" t="s">
        <v>13</v>
      </c>
      <c r="F919" s="5" t="s">
        <v>14</v>
      </c>
      <c r="G919" s="5" t="s">
        <v>15</v>
      </c>
      <c r="H919" s="5">
        <v>94472</v>
      </c>
      <c r="I919" s="5">
        <v>8991</v>
      </c>
      <c r="J919" s="6">
        <f t="shared" si="14"/>
        <v>85481</v>
      </c>
    </row>
    <row r="920" spans="1:10">
      <c r="A920" s="5">
        <v>9205</v>
      </c>
      <c r="B920" s="5" t="s">
        <v>10</v>
      </c>
      <c r="C920" s="5" t="s">
        <v>34</v>
      </c>
      <c r="D920" s="5" t="s">
        <v>36</v>
      </c>
      <c r="E920" s="5" t="s">
        <v>13</v>
      </c>
      <c r="F920" s="5" t="s">
        <v>14</v>
      </c>
      <c r="G920" s="5" t="s">
        <v>15</v>
      </c>
      <c r="H920" s="5">
        <v>77297</v>
      </c>
      <c r="I920" s="5">
        <v>1271</v>
      </c>
      <c r="J920" s="6">
        <f t="shared" si="14"/>
        <v>76026</v>
      </c>
    </row>
    <row r="921" spans="1:10">
      <c r="A921" s="5">
        <v>50965</v>
      </c>
      <c r="B921" s="5" t="s">
        <v>16</v>
      </c>
      <c r="C921" s="5" t="s">
        <v>35</v>
      </c>
      <c r="D921" s="5" t="s">
        <v>33</v>
      </c>
      <c r="E921" s="5" t="s">
        <v>13</v>
      </c>
      <c r="F921" s="5" t="s">
        <v>14</v>
      </c>
      <c r="G921" s="5" t="s">
        <v>15</v>
      </c>
      <c r="H921" s="5">
        <v>32763</v>
      </c>
      <c r="I921" s="5">
        <v>283</v>
      </c>
      <c r="J921" s="6">
        <f t="shared" si="14"/>
        <v>32480</v>
      </c>
    </row>
    <row r="922" spans="1:10">
      <c r="A922" s="5">
        <v>15545</v>
      </c>
      <c r="B922" s="5" t="s">
        <v>16</v>
      </c>
      <c r="C922" s="5" t="s">
        <v>11</v>
      </c>
      <c r="D922" s="5" t="s">
        <v>30</v>
      </c>
      <c r="E922" s="5" t="s">
        <v>13</v>
      </c>
      <c r="F922" s="5" t="s">
        <v>14</v>
      </c>
      <c r="G922" s="5" t="s">
        <v>15</v>
      </c>
      <c r="H922" s="5">
        <v>38194</v>
      </c>
      <c r="I922" s="5">
        <v>8101</v>
      </c>
      <c r="J922" s="6">
        <f t="shared" si="14"/>
        <v>30093</v>
      </c>
    </row>
    <row r="923" spans="1:10">
      <c r="A923" s="5">
        <v>47458</v>
      </c>
      <c r="B923" s="5" t="s">
        <v>10</v>
      </c>
      <c r="C923" s="5" t="s">
        <v>11</v>
      </c>
      <c r="D923" s="5" t="s">
        <v>32</v>
      </c>
      <c r="E923" s="5" t="s">
        <v>19</v>
      </c>
      <c r="F923" s="5" t="s">
        <v>14</v>
      </c>
      <c r="G923" s="5" t="s">
        <v>24</v>
      </c>
      <c r="H923" s="5">
        <v>19101</v>
      </c>
      <c r="I923" s="5">
        <v>0</v>
      </c>
      <c r="J923" s="6">
        <f t="shared" si="14"/>
        <v>19101</v>
      </c>
    </row>
    <row r="924" spans="1:10">
      <c r="A924" s="5">
        <v>43154</v>
      </c>
      <c r="B924" s="5" t="s">
        <v>16</v>
      </c>
      <c r="C924" s="5" t="s">
        <v>11</v>
      </c>
      <c r="D924" s="5" t="s">
        <v>30</v>
      </c>
      <c r="E924" s="5" t="s">
        <v>19</v>
      </c>
      <c r="F924" s="5" t="s">
        <v>14</v>
      </c>
      <c r="G924" s="5" t="s">
        <v>15</v>
      </c>
      <c r="H924" s="5">
        <v>71716</v>
      </c>
      <c r="I924" s="5">
        <v>2334</v>
      </c>
      <c r="J924" s="6">
        <f t="shared" si="14"/>
        <v>69382</v>
      </c>
    </row>
    <row r="925" spans="1:10">
      <c r="A925" s="5">
        <v>141693</v>
      </c>
      <c r="B925" s="5" t="s">
        <v>10</v>
      </c>
      <c r="C925" s="5" t="s">
        <v>31</v>
      </c>
      <c r="D925" s="5" t="s">
        <v>26</v>
      </c>
      <c r="E925" s="5" t="s">
        <v>19</v>
      </c>
      <c r="F925" s="5" t="s">
        <v>14</v>
      </c>
      <c r="G925" s="5" t="s">
        <v>24</v>
      </c>
      <c r="H925" s="5">
        <v>21626</v>
      </c>
      <c r="I925" s="5">
        <v>540</v>
      </c>
      <c r="J925" s="6">
        <f t="shared" si="14"/>
        <v>21086</v>
      </c>
    </row>
    <row r="926" spans="1:10">
      <c r="A926" s="5">
        <v>248962</v>
      </c>
      <c r="B926" s="5" t="s">
        <v>16</v>
      </c>
      <c r="C926" s="5" t="s">
        <v>25</v>
      </c>
      <c r="D926" s="5" t="s">
        <v>18</v>
      </c>
      <c r="E926" s="5" t="s">
        <v>13</v>
      </c>
      <c r="F926" s="5" t="s">
        <v>14</v>
      </c>
      <c r="G926" s="5" t="s">
        <v>15</v>
      </c>
      <c r="H926" s="5">
        <v>23782</v>
      </c>
      <c r="I926" s="5">
        <v>273</v>
      </c>
      <c r="J926" s="6">
        <f t="shared" si="14"/>
        <v>23509</v>
      </c>
    </row>
    <row r="927" spans="1:10">
      <c r="A927" s="5">
        <v>35604</v>
      </c>
      <c r="B927" s="5" t="s">
        <v>16</v>
      </c>
      <c r="C927" s="5" t="s">
        <v>35</v>
      </c>
      <c r="D927" s="5" t="s">
        <v>18</v>
      </c>
      <c r="E927" s="5" t="s">
        <v>19</v>
      </c>
      <c r="F927" s="5" t="s">
        <v>14</v>
      </c>
      <c r="G927" s="5" t="s">
        <v>24</v>
      </c>
      <c r="H927" s="5">
        <v>43570</v>
      </c>
      <c r="I927" s="5">
        <v>939</v>
      </c>
      <c r="J927" s="6">
        <f t="shared" si="14"/>
        <v>42631</v>
      </c>
    </row>
    <row r="928" spans="1:10">
      <c r="A928" s="5">
        <v>234753</v>
      </c>
      <c r="B928" s="5" t="s">
        <v>16</v>
      </c>
      <c r="C928" s="5" t="s">
        <v>27</v>
      </c>
      <c r="D928" s="5" t="s">
        <v>12</v>
      </c>
      <c r="E928" s="5" t="s">
        <v>19</v>
      </c>
      <c r="F928" s="5" t="s">
        <v>14</v>
      </c>
      <c r="G928" s="5" t="s">
        <v>24</v>
      </c>
      <c r="H928" s="5">
        <v>25239</v>
      </c>
      <c r="I928" s="5">
        <v>431</v>
      </c>
      <c r="J928" s="6">
        <f t="shared" si="14"/>
        <v>24808</v>
      </c>
    </row>
    <row r="929" spans="1:10">
      <c r="A929" s="5">
        <v>221400</v>
      </c>
      <c r="B929" s="5" t="s">
        <v>16</v>
      </c>
      <c r="C929" s="5" t="s">
        <v>25</v>
      </c>
      <c r="D929" s="5" t="s">
        <v>33</v>
      </c>
      <c r="E929" s="5" t="s">
        <v>19</v>
      </c>
      <c r="F929" s="5" t="s">
        <v>14</v>
      </c>
      <c r="G929" s="5" t="s">
        <v>24</v>
      </c>
      <c r="H929" s="5">
        <v>53544</v>
      </c>
      <c r="I929" s="5">
        <v>1300</v>
      </c>
      <c r="J929" s="6">
        <f t="shared" si="14"/>
        <v>52244</v>
      </c>
    </row>
    <row r="930" spans="1:10">
      <c r="A930" s="5">
        <v>94204</v>
      </c>
      <c r="B930" s="5" t="s">
        <v>16</v>
      </c>
      <c r="C930" s="5" t="s">
        <v>37</v>
      </c>
      <c r="D930" s="5" t="s">
        <v>30</v>
      </c>
      <c r="E930" s="5" t="s">
        <v>13</v>
      </c>
      <c r="F930" s="5" t="s">
        <v>14</v>
      </c>
      <c r="G930" s="5" t="s">
        <v>15</v>
      </c>
      <c r="H930" s="5">
        <v>125466</v>
      </c>
      <c r="I930" s="5">
        <v>21075</v>
      </c>
      <c r="J930" s="6">
        <f t="shared" si="14"/>
        <v>104391</v>
      </c>
    </row>
    <row r="931" spans="1:10">
      <c r="A931" s="5">
        <v>233508</v>
      </c>
      <c r="B931" s="5" t="s">
        <v>10</v>
      </c>
      <c r="C931" s="5" t="s">
        <v>17</v>
      </c>
      <c r="D931" s="5" t="s">
        <v>30</v>
      </c>
      <c r="E931" s="5" t="s">
        <v>19</v>
      </c>
      <c r="F931" s="5" t="s">
        <v>14</v>
      </c>
      <c r="G931" s="5" t="s">
        <v>24</v>
      </c>
      <c r="H931" s="5">
        <v>54503</v>
      </c>
      <c r="I931" s="5">
        <v>3353</v>
      </c>
      <c r="J931" s="6">
        <f t="shared" si="14"/>
        <v>51150</v>
      </c>
    </row>
    <row r="932" spans="1:10">
      <c r="A932" s="5">
        <v>60482</v>
      </c>
      <c r="B932" s="5" t="s">
        <v>16</v>
      </c>
      <c r="C932" s="5" t="s">
        <v>35</v>
      </c>
      <c r="D932" s="5" t="s">
        <v>12</v>
      </c>
      <c r="E932" s="5" t="s">
        <v>19</v>
      </c>
      <c r="F932" s="5" t="s">
        <v>14</v>
      </c>
      <c r="G932" s="5" t="s">
        <v>15</v>
      </c>
      <c r="H932" s="5">
        <v>57941</v>
      </c>
      <c r="I932" s="5">
        <v>804</v>
      </c>
      <c r="J932" s="6">
        <f t="shared" si="14"/>
        <v>57137</v>
      </c>
    </row>
    <row r="933" spans="1:10">
      <c r="A933" s="5">
        <v>78884</v>
      </c>
      <c r="B933" s="5" t="s">
        <v>10</v>
      </c>
      <c r="C933" s="5" t="s">
        <v>39</v>
      </c>
      <c r="D933" s="5" t="s">
        <v>32</v>
      </c>
      <c r="E933" s="5" t="s">
        <v>13</v>
      </c>
      <c r="F933" s="5" t="s">
        <v>14</v>
      </c>
      <c r="G933" s="5" t="s">
        <v>15</v>
      </c>
      <c r="H933" s="5">
        <v>10740</v>
      </c>
      <c r="I933" s="5">
        <v>0</v>
      </c>
      <c r="J933" s="6">
        <f t="shared" si="14"/>
        <v>10740</v>
      </c>
    </row>
    <row r="934" spans="1:10">
      <c r="A934" s="5">
        <v>30831</v>
      </c>
      <c r="B934" s="5" t="s">
        <v>10</v>
      </c>
      <c r="C934" s="5" t="s">
        <v>11</v>
      </c>
      <c r="D934" s="5" t="s">
        <v>30</v>
      </c>
      <c r="E934" s="5" t="s">
        <v>13</v>
      </c>
      <c r="F934" s="5" t="s">
        <v>14</v>
      </c>
      <c r="G934" s="5" t="s">
        <v>15</v>
      </c>
      <c r="H934" s="5">
        <v>157614</v>
      </c>
      <c r="I934" s="5">
        <v>374</v>
      </c>
      <c r="J934" s="6">
        <f t="shared" si="14"/>
        <v>157240</v>
      </c>
    </row>
    <row r="935" spans="1:10">
      <c r="A935" s="5">
        <v>234758</v>
      </c>
      <c r="B935" s="5" t="s">
        <v>16</v>
      </c>
      <c r="C935" s="5" t="s">
        <v>17</v>
      </c>
      <c r="D935" s="5" t="s">
        <v>30</v>
      </c>
      <c r="E935" s="5" t="s">
        <v>19</v>
      </c>
      <c r="F935" s="5" t="s">
        <v>28</v>
      </c>
      <c r="G935" s="5" t="s">
        <v>15</v>
      </c>
      <c r="H935" s="5">
        <v>11580</v>
      </c>
      <c r="I935" s="5">
        <v>0</v>
      </c>
      <c r="J935" s="6">
        <f t="shared" si="14"/>
        <v>11580</v>
      </c>
    </row>
    <row r="936" spans="1:10">
      <c r="A936" s="5">
        <v>170323</v>
      </c>
      <c r="B936" s="5" t="s">
        <v>10</v>
      </c>
      <c r="C936" s="5" t="s">
        <v>17</v>
      </c>
      <c r="D936" s="5" t="s">
        <v>29</v>
      </c>
      <c r="E936" s="5" t="s">
        <v>19</v>
      </c>
      <c r="F936" s="5" t="s">
        <v>14</v>
      </c>
      <c r="G936" s="5" t="s">
        <v>24</v>
      </c>
      <c r="H936" s="5">
        <v>42571</v>
      </c>
      <c r="I936" s="5">
        <v>418</v>
      </c>
      <c r="J936" s="6">
        <f t="shared" si="14"/>
        <v>42153</v>
      </c>
    </row>
    <row r="937" spans="1:10">
      <c r="A937" s="5">
        <v>169245</v>
      </c>
      <c r="B937" s="5" t="s">
        <v>10</v>
      </c>
      <c r="C937" s="5" t="s">
        <v>34</v>
      </c>
      <c r="D937" s="5" t="s">
        <v>30</v>
      </c>
      <c r="E937" s="5" t="s">
        <v>13</v>
      </c>
      <c r="F937" s="5" t="s">
        <v>14</v>
      </c>
      <c r="G937" s="5" t="s">
        <v>15</v>
      </c>
      <c r="H937" s="5">
        <v>270704</v>
      </c>
      <c r="I937" s="5">
        <v>1041</v>
      </c>
      <c r="J937" s="6">
        <f t="shared" si="14"/>
        <v>269663</v>
      </c>
    </row>
    <row r="938" spans="1:10">
      <c r="A938" s="5">
        <v>251462</v>
      </c>
      <c r="B938" s="5" t="s">
        <v>16</v>
      </c>
      <c r="C938" s="5" t="s">
        <v>17</v>
      </c>
      <c r="D938" s="5" t="s">
        <v>21</v>
      </c>
      <c r="E938" s="5" t="s">
        <v>19</v>
      </c>
      <c r="F938" s="5" t="s">
        <v>14</v>
      </c>
      <c r="G938" s="5" t="s">
        <v>24</v>
      </c>
      <c r="H938" s="5">
        <v>30678</v>
      </c>
      <c r="I938" s="5">
        <v>280</v>
      </c>
      <c r="J938" s="6">
        <f t="shared" si="14"/>
        <v>30398</v>
      </c>
    </row>
    <row r="939" spans="1:10">
      <c r="A939" s="5">
        <v>164027</v>
      </c>
      <c r="B939" s="5" t="s">
        <v>10</v>
      </c>
      <c r="C939" s="5" t="s">
        <v>31</v>
      </c>
      <c r="D939" s="5" t="s">
        <v>36</v>
      </c>
      <c r="E939" s="5" t="s">
        <v>19</v>
      </c>
      <c r="F939" s="5" t="s">
        <v>14</v>
      </c>
      <c r="G939" s="5" t="s">
        <v>15</v>
      </c>
      <c r="H939" s="5">
        <v>5685</v>
      </c>
      <c r="I939" s="5">
        <v>0</v>
      </c>
      <c r="J939" s="6">
        <f t="shared" si="14"/>
        <v>5685</v>
      </c>
    </row>
    <row r="940" spans="1:10">
      <c r="A940" s="5">
        <v>101893</v>
      </c>
      <c r="B940" s="5" t="s">
        <v>16</v>
      </c>
      <c r="C940" s="5" t="s">
        <v>11</v>
      </c>
      <c r="D940" s="5" t="s">
        <v>33</v>
      </c>
      <c r="E940" s="5" t="s">
        <v>13</v>
      </c>
      <c r="F940" s="5" t="s">
        <v>28</v>
      </c>
      <c r="G940" s="5" t="s">
        <v>15</v>
      </c>
      <c r="H940" s="5">
        <v>24192</v>
      </c>
      <c r="I940" s="5">
        <v>2178</v>
      </c>
      <c r="J940" s="6">
        <f t="shared" si="14"/>
        <v>22014</v>
      </c>
    </row>
    <row r="941" spans="1:10">
      <c r="A941" s="5">
        <v>4402</v>
      </c>
      <c r="B941" s="5" t="s">
        <v>10</v>
      </c>
      <c r="C941" s="5" t="s">
        <v>37</v>
      </c>
      <c r="D941" s="5" t="s">
        <v>12</v>
      </c>
      <c r="E941" s="5" t="s">
        <v>13</v>
      </c>
      <c r="F941" s="5" t="s">
        <v>14</v>
      </c>
      <c r="G941" s="5" t="s">
        <v>15</v>
      </c>
      <c r="H941" s="5">
        <v>19208</v>
      </c>
      <c r="I941" s="5">
        <v>415</v>
      </c>
      <c r="J941" s="6">
        <f t="shared" si="14"/>
        <v>18793</v>
      </c>
    </row>
    <row r="942" spans="1:10">
      <c r="A942" s="5">
        <v>193301</v>
      </c>
      <c r="B942" s="5" t="s">
        <v>10</v>
      </c>
      <c r="C942" s="5" t="s">
        <v>34</v>
      </c>
      <c r="D942" s="5" t="s">
        <v>12</v>
      </c>
      <c r="E942" s="5" t="s">
        <v>19</v>
      </c>
      <c r="F942" s="5" t="s">
        <v>14</v>
      </c>
      <c r="G942" s="5" t="s">
        <v>15</v>
      </c>
      <c r="H942" s="5">
        <v>78412</v>
      </c>
      <c r="I942" s="5">
        <v>270</v>
      </c>
      <c r="J942" s="6">
        <f t="shared" si="14"/>
        <v>78142</v>
      </c>
    </row>
    <row r="943" spans="1:10">
      <c r="A943" s="5">
        <v>253979</v>
      </c>
      <c r="B943" s="5" t="s">
        <v>10</v>
      </c>
      <c r="C943" s="5" t="s">
        <v>17</v>
      </c>
      <c r="D943" s="5" t="s">
        <v>26</v>
      </c>
      <c r="E943" s="5" t="s">
        <v>19</v>
      </c>
      <c r="F943" s="5" t="s">
        <v>14</v>
      </c>
      <c r="G943" s="5" t="s">
        <v>24</v>
      </c>
      <c r="H943" s="5">
        <v>87780</v>
      </c>
      <c r="I943" s="5">
        <v>4598</v>
      </c>
      <c r="J943" s="6">
        <f t="shared" si="14"/>
        <v>83182</v>
      </c>
    </row>
    <row r="944" spans="1:10">
      <c r="A944" s="5">
        <v>122342</v>
      </c>
      <c r="B944" s="5" t="s">
        <v>10</v>
      </c>
      <c r="C944" s="5" t="s">
        <v>22</v>
      </c>
      <c r="D944" s="5" t="s">
        <v>23</v>
      </c>
      <c r="E944" s="5" t="s">
        <v>19</v>
      </c>
      <c r="F944" s="5" t="s">
        <v>28</v>
      </c>
      <c r="G944" s="5" t="s">
        <v>15</v>
      </c>
      <c r="H944" s="5">
        <v>82842</v>
      </c>
      <c r="I944" s="5">
        <v>22459</v>
      </c>
      <c r="J944" s="6">
        <f t="shared" si="14"/>
        <v>60383</v>
      </c>
    </row>
    <row r="945" spans="1:10">
      <c r="A945" s="5">
        <v>72789</v>
      </c>
      <c r="B945" s="5" t="s">
        <v>16</v>
      </c>
      <c r="C945" s="5" t="s">
        <v>35</v>
      </c>
      <c r="D945" s="5" t="s">
        <v>32</v>
      </c>
      <c r="E945" s="5" t="s">
        <v>19</v>
      </c>
      <c r="F945" s="5" t="s">
        <v>14</v>
      </c>
      <c r="G945" s="5" t="s">
        <v>24</v>
      </c>
      <c r="H945" s="5">
        <v>619</v>
      </c>
      <c r="I945" s="5">
        <v>0</v>
      </c>
      <c r="J945" s="6">
        <f t="shared" si="14"/>
        <v>619</v>
      </c>
    </row>
    <row r="946" spans="1:10">
      <c r="A946" s="5">
        <v>243444</v>
      </c>
      <c r="B946" s="5" t="s">
        <v>16</v>
      </c>
      <c r="C946" s="5" t="s">
        <v>17</v>
      </c>
      <c r="D946" s="5" t="s">
        <v>33</v>
      </c>
      <c r="E946" s="5" t="s">
        <v>19</v>
      </c>
      <c r="F946" s="5" t="s">
        <v>28</v>
      </c>
      <c r="G946" s="5" t="s">
        <v>24</v>
      </c>
      <c r="H946" s="5">
        <v>39749</v>
      </c>
      <c r="I946" s="5">
        <v>0</v>
      </c>
      <c r="J946" s="6">
        <f t="shared" si="14"/>
        <v>39749</v>
      </c>
    </row>
    <row r="947" spans="1:10">
      <c r="A947" s="5">
        <v>39919</v>
      </c>
      <c r="B947" s="5" t="s">
        <v>16</v>
      </c>
      <c r="C947" s="5" t="s">
        <v>35</v>
      </c>
      <c r="D947" s="5" t="s">
        <v>23</v>
      </c>
      <c r="E947" s="5" t="s">
        <v>13</v>
      </c>
      <c r="F947" s="5" t="s">
        <v>14</v>
      </c>
      <c r="G947" s="5" t="s">
        <v>15</v>
      </c>
      <c r="H947" s="5">
        <v>14397</v>
      </c>
      <c r="I947" s="5">
        <v>0</v>
      </c>
      <c r="J947" s="6">
        <f t="shared" si="14"/>
        <v>14397</v>
      </c>
    </row>
    <row r="948" spans="1:10">
      <c r="A948" s="5">
        <v>185076</v>
      </c>
      <c r="B948" s="5" t="s">
        <v>16</v>
      </c>
      <c r="C948" s="5" t="s">
        <v>11</v>
      </c>
      <c r="D948" s="5" t="s">
        <v>26</v>
      </c>
      <c r="E948" s="5" t="s">
        <v>13</v>
      </c>
      <c r="F948" s="5" t="s">
        <v>14</v>
      </c>
      <c r="G948" s="5" t="s">
        <v>24</v>
      </c>
      <c r="H948" s="5">
        <v>9974</v>
      </c>
      <c r="I948" s="5">
        <v>320</v>
      </c>
      <c r="J948" s="6">
        <f t="shared" si="14"/>
        <v>9654</v>
      </c>
    </row>
    <row r="949" spans="1:10">
      <c r="A949" s="5">
        <v>115494</v>
      </c>
      <c r="B949" s="5" t="s">
        <v>10</v>
      </c>
      <c r="C949" s="5" t="s">
        <v>25</v>
      </c>
      <c r="D949" s="5" t="s">
        <v>30</v>
      </c>
      <c r="E949" s="5" t="s">
        <v>19</v>
      </c>
      <c r="F949" s="5" t="s">
        <v>14</v>
      </c>
      <c r="G949" s="5" t="s">
        <v>15</v>
      </c>
      <c r="H949" s="5">
        <v>52533</v>
      </c>
      <c r="I949" s="5">
        <v>2855</v>
      </c>
      <c r="J949" s="6">
        <f t="shared" si="14"/>
        <v>49678</v>
      </c>
    </row>
    <row r="950" spans="1:10">
      <c r="A950" s="5">
        <v>233072</v>
      </c>
      <c r="B950" s="5" t="s">
        <v>10</v>
      </c>
      <c r="C950" s="5" t="s">
        <v>25</v>
      </c>
      <c r="D950" s="5" t="s">
        <v>32</v>
      </c>
      <c r="E950" s="5" t="s">
        <v>19</v>
      </c>
      <c r="F950" s="5" t="s">
        <v>14</v>
      </c>
      <c r="G950" s="5" t="s">
        <v>24</v>
      </c>
      <c r="H950" s="5">
        <v>7</v>
      </c>
      <c r="I950" s="5">
        <v>0</v>
      </c>
      <c r="J950" s="6">
        <f t="shared" si="14"/>
        <v>7</v>
      </c>
    </row>
    <row r="951" spans="1:10">
      <c r="A951" s="5">
        <v>110529</v>
      </c>
      <c r="B951" s="5" t="s">
        <v>16</v>
      </c>
      <c r="C951" s="5" t="s">
        <v>27</v>
      </c>
      <c r="D951" s="5" t="s">
        <v>36</v>
      </c>
      <c r="E951" s="5" t="s">
        <v>19</v>
      </c>
      <c r="F951" s="5" t="s">
        <v>14</v>
      </c>
      <c r="G951" s="5" t="s">
        <v>24</v>
      </c>
      <c r="H951" s="5">
        <v>11043</v>
      </c>
      <c r="I951" s="5">
        <v>0</v>
      </c>
      <c r="J951" s="6">
        <f t="shared" si="14"/>
        <v>11043</v>
      </c>
    </row>
    <row r="952" spans="1:10">
      <c r="A952" s="5">
        <v>13459</v>
      </c>
      <c r="B952" s="5" t="s">
        <v>16</v>
      </c>
      <c r="C952" s="5" t="s">
        <v>37</v>
      </c>
      <c r="D952" s="5" t="s">
        <v>32</v>
      </c>
      <c r="E952" s="5" t="s">
        <v>13</v>
      </c>
      <c r="F952" s="5" t="s">
        <v>14</v>
      </c>
      <c r="G952" s="5" t="s">
        <v>15</v>
      </c>
      <c r="H952" s="5">
        <v>15365</v>
      </c>
      <c r="I952" s="5">
        <v>202</v>
      </c>
      <c r="J952" s="6">
        <f t="shared" si="14"/>
        <v>15163</v>
      </c>
    </row>
    <row r="953" spans="1:10">
      <c r="A953" s="5">
        <v>201966</v>
      </c>
      <c r="B953" s="5" t="s">
        <v>10</v>
      </c>
      <c r="C953" s="5" t="s">
        <v>38</v>
      </c>
      <c r="D953" s="5" t="s">
        <v>21</v>
      </c>
      <c r="E953" s="5" t="s">
        <v>13</v>
      </c>
      <c r="F953" s="5" t="s">
        <v>14</v>
      </c>
      <c r="G953" s="5" t="s">
        <v>15</v>
      </c>
      <c r="H953" s="5">
        <v>36458</v>
      </c>
      <c r="I953" s="5">
        <v>4209</v>
      </c>
      <c r="J953" s="6">
        <f t="shared" si="14"/>
        <v>32249</v>
      </c>
    </row>
    <row r="954" spans="1:10">
      <c r="A954" s="5">
        <v>27980</v>
      </c>
      <c r="B954" s="5" t="s">
        <v>10</v>
      </c>
      <c r="C954" s="5" t="s">
        <v>11</v>
      </c>
      <c r="D954" s="5" t="s">
        <v>12</v>
      </c>
      <c r="E954" s="5" t="s">
        <v>13</v>
      </c>
      <c r="F954" s="5" t="s">
        <v>14</v>
      </c>
      <c r="G954" s="5" t="s">
        <v>15</v>
      </c>
      <c r="H954" s="5">
        <v>66395</v>
      </c>
      <c r="I954" s="5">
        <v>2319</v>
      </c>
      <c r="J954" s="6">
        <f t="shared" si="14"/>
        <v>64076</v>
      </c>
    </row>
    <row r="955" spans="1:10">
      <c r="A955" s="5">
        <v>215770</v>
      </c>
      <c r="B955" s="5" t="s">
        <v>10</v>
      </c>
      <c r="C955" s="5" t="s">
        <v>38</v>
      </c>
      <c r="D955" s="5" t="s">
        <v>23</v>
      </c>
      <c r="E955" s="5" t="s">
        <v>13</v>
      </c>
      <c r="F955" s="5" t="s">
        <v>14</v>
      </c>
      <c r="G955" s="5" t="s">
        <v>15</v>
      </c>
      <c r="H955" s="5">
        <v>50789</v>
      </c>
      <c r="I955" s="5">
        <v>587</v>
      </c>
      <c r="J955" s="6">
        <f t="shared" si="14"/>
        <v>50202</v>
      </c>
    </row>
    <row r="956" spans="1:10">
      <c r="A956" s="5">
        <v>185739</v>
      </c>
      <c r="B956" s="5" t="s">
        <v>10</v>
      </c>
      <c r="C956" s="5" t="s">
        <v>39</v>
      </c>
      <c r="D956" s="5" t="s">
        <v>36</v>
      </c>
      <c r="E956" s="5" t="s">
        <v>13</v>
      </c>
      <c r="F956" s="5" t="s">
        <v>14</v>
      </c>
      <c r="G956" s="5" t="s">
        <v>15</v>
      </c>
      <c r="H956" s="5">
        <v>53674</v>
      </c>
      <c r="I956" s="5">
        <v>4593</v>
      </c>
      <c r="J956" s="6">
        <f t="shared" si="14"/>
        <v>49081</v>
      </c>
    </row>
    <row r="957" spans="1:10">
      <c r="A957" s="5">
        <v>210154</v>
      </c>
      <c r="B957" s="5" t="s">
        <v>16</v>
      </c>
      <c r="C957" s="5" t="s">
        <v>38</v>
      </c>
      <c r="D957" s="5" t="s">
        <v>32</v>
      </c>
      <c r="E957" s="5" t="s">
        <v>13</v>
      </c>
      <c r="F957" s="5" t="s">
        <v>14</v>
      </c>
      <c r="G957" s="5" t="s">
        <v>15</v>
      </c>
      <c r="H957" s="5">
        <v>5070</v>
      </c>
      <c r="I957" s="5">
        <v>0</v>
      </c>
      <c r="J957" s="6">
        <f t="shared" si="14"/>
        <v>5070</v>
      </c>
    </row>
    <row r="958" spans="1:10">
      <c r="A958" s="5">
        <v>76736</v>
      </c>
      <c r="B958" s="5" t="s">
        <v>16</v>
      </c>
      <c r="C958" s="5" t="s">
        <v>27</v>
      </c>
      <c r="D958" s="5" t="s">
        <v>33</v>
      </c>
      <c r="E958" s="5" t="s">
        <v>13</v>
      </c>
      <c r="F958" s="5" t="s">
        <v>28</v>
      </c>
      <c r="G958" s="5" t="s">
        <v>15</v>
      </c>
      <c r="H958" s="5">
        <v>36392</v>
      </c>
      <c r="I958" s="5">
        <v>281</v>
      </c>
      <c r="J958" s="6">
        <f t="shared" si="14"/>
        <v>36111</v>
      </c>
    </row>
    <row r="959" spans="1:10">
      <c r="A959" s="5">
        <v>161231</v>
      </c>
      <c r="B959" s="5" t="s">
        <v>10</v>
      </c>
      <c r="C959" s="5" t="s">
        <v>25</v>
      </c>
      <c r="D959" s="5" t="s">
        <v>26</v>
      </c>
      <c r="E959" s="5" t="s">
        <v>19</v>
      </c>
      <c r="F959" s="5" t="s">
        <v>14</v>
      </c>
      <c r="G959" s="5" t="s">
        <v>15</v>
      </c>
      <c r="H959" s="5">
        <v>65394</v>
      </c>
      <c r="I959" s="5">
        <v>9745</v>
      </c>
      <c r="J959" s="6">
        <f t="shared" si="14"/>
        <v>55649</v>
      </c>
    </row>
    <row r="960" spans="1:10">
      <c r="A960" s="5">
        <v>140624</v>
      </c>
      <c r="B960" s="5" t="s">
        <v>16</v>
      </c>
      <c r="C960" s="5" t="s">
        <v>17</v>
      </c>
      <c r="D960" s="5" t="s">
        <v>36</v>
      </c>
      <c r="E960" s="5" t="s">
        <v>19</v>
      </c>
      <c r="F960" s="5" t="s">
        <v>14</v>
      </c>
      <c r="G960" s="5" t="s">
        <v>15</v>
      </c>
      <c r="H960" s="5">
        <v>29381</v>
      </c>
      <c r="I960" s="5">
        <v>1032</v>
      </c>
      <c r="J960" s="6">
        <f t="shared" si="14"/>
        <v>28349</v>
      </c>
    </row>
    <row r="961" spans="1:10">
      <c r="A961" s="5">
        <v>196033</v>
      </c>
      <c r="B961" s="5" t="s">
        <v>10</v>
      </c>
      <c r="C961" s="5" t="s">
        <v>11</v>
      </c>
      <c r="D961" s="5" t="s">
        <v>23</v>
      </c>
      <c r="E961" s="5" t="s">
        <v>19</v>
      </c>
      <c r="F961" s="5" t="s">
        <v>14</v>
      </c>
      <c r="G961" s="5" t="s">
        <v>24</v>
      </c>
      <c r="H961" s="5">
        <v>14066</v>
      </c>
      <c r="I961" s="5">
        <v>0</v>
      </c>
      <c r="J961" s="6">
        <f t="shared" si="14"/>
        <v>14066</v>
      </c>
    </row>
    <row r="962" spans="1:10">
      <c r="A962" s="5">
        <v>242470</v>
      </c>
      <c r="B962" s="5" t="s">
        <v>16</v>
      </c>
      <c r="C962" s="5" t="s">
        <v>25</v>
      </c>
      <c r="D962" s="5" t="s">
        <v>30</v>
      </c>
      <c r="E962" s="5" t="s">
        <v>13</v>
      </c>
      <c r="F962" s="5" t="s">
        <v>28</v>
      </c>
      <c r="G962" s="5" t="s">
        <v>24</v>
      </c>
      <c r="H962" s="5">
        <v>31108</v>
      </c>
      <c r="I962" s="5">
        <v>2557</v>
      </c>
      <c r="J962" s="6">
        <f t="shared" ref="J962:J1001" si="15">H962-I962</f>
        <v>28551</v>
      </c>
    </row>
    <row r="963" spans="1:10">
      <c r="A963" s="5">
        <v>175565</v>
      </c>
      <c r="B963" s="5" t="s">
        <v>10</v>
      </c>
      <c r="C963" s="5" t="s">
        <v>22</v>
      </c>
      <c r="D963" s="5" t="s">
        <v>12</v>
      </c>
      <c r="E963" s="5" t="s">
        <v>19</v>
      </c>
      <c r="F963" s="5" t="s">
        <v>28</v>
      </c>
      <c r="G963" s="5" t="s">
        <v>15</v>
      </c>
      <c r="H963" s="5">
        <v>133702</v>
      </c>
      <c r="I963" s="5">
        <v>1665</v>
      </c>
      <c r="J963" s="6">
        <f t="shared" si="15"/>
        <v>132037</v>
      </c>
    </row>
    <row r="964" spans="1:10">
      <c r="A964" s="5">
        <v>183468</v>
      </c>
      <c r="B964" s="5" t="s">
        <v>10</v>
      </c>
      <c r="C964" s="5" t="s">
        <v>38</v>
      </c>
      <c r="D964" s="5" t="s">
        <v>12</v>
      </c>
      <c r="E964" s="5" t="s">
        <v>13</v>
      </c>
      <c r="F964" s="5" t="s">
        <v>14</v>
      </c>
      <c r="G964" s="5" t="s">
        <v>15</v>
      </c>
      <c r="H964" s="5">
        <v>202364</v>
      </c>
      <c r="I964" s="5">
        <v>138</v>
      </c>
      <c r="J964" s="6">
        <f t="shared" si="15"/>
        <v>202226</v>
      </c>
    </row>
    <row r="965" spans="1:10">
      <c r="A965" s="5">
        <v>47868</v>
      </c>
      <c r="B965" s="5" t="s">
        <v>16</v>
      </c>
      <c r="C965" s="5" t="s">
        <v>35</v>
      </c>
      <c r="D965" s="5" t="s">
        <v>30</v>
      </c>
      <c r="E965" s="5" t="s">
        <v>19</v>
      </c>
      <c r="F965" s="5" t="s">
        <v>14</v>
      </c>
      <c r="G965" s="5" t="s">
        <v>15</v>
      </c>
      <c r="H965" s="5">
        <v>200292</v>
      </c>
      <c r="I965" s="5">
        <v>9151</v>
      </c>
      <c r="J965" s="6">
        <f t="shared" si="15"/>
        <v>191141</v>
      </c>
    </row>
    <row r="966" spans="1:10">
      <c r="A966" s="5">
        <v>76988</v>
      </c>
      <c r="B966" s="5" t="s">
        <v>10</v>
      </c>
      <c r="C966" s="5" t="s">
        <v>35</v>
      </c>
      <c r="D966" s="5" t="s">
        <v>32</v>
      </c>
      <c r="E966" s="5" t="s">
        <v>13</v>
      </c>
      <c r="F966" s="5" t="s">
        <v>14</v>
      </c>
      <c r="G966" s="5" t="s">
        <v>15</v>
      </c>
      <c r="H966" s="5">
        <v>31504</v>
      </c>
      <c r="I966" s="5">
        <v>0</v>
      </c>
      <c r="J966" s="6">
        <f t="shared" si="15"/>
        <v>31504</v>
      </c>
    </row>
    <row r="967" spans="1:10">
      <c r="A967" s="5">
        <v>200631</v>
      </c>
      <c r="B967" s="5" t="s">
        <v>16</v>
      </c>
      <c r="C967" s="5" t="s">
        <v>37</v>
      </c>
      <c r="D967" s="5" t="s">
        <v>33</v>
      </c>
      <c r="E967" s="5" t="s">
        <v>13</v>
      </c>
      <c r="F967" s="5" t="s">
        <v>14</v>
      </c>
      <c r="G967" s="5" t="s">
        <v>15</v>
      </c>
      <c r="H967" s="5">
        <v>57207</v>
      </c>
      <c r="I967" s="5">
        <v>243</v>
      </c>
      <c r="J967" s="6">
        <f t="shared" si="15"/>
        <v>56964</v>
      </c>
    </row>
    <row r="968" spans="1:10">
      <c r="A968" s="5">
        <v>73388</v>
      </c>
      <c r="B968" s="5" t="s">
        <v>10</v>
      </c>
      <c r="C968" s="5" t="s">
        <v>27</v>
      </c>
      <c r="D968" s="5" t="s">
        <v>23</v>
      </c>
      <c r="E968" s="5" t="s">
        <v>13</v>
      </c>
      <c r="F968" s="5" t="s">
        <v>14</v>
      </c>
      <c r="G968" s="5" t="s">
        <v>15</v>
      </c>
      <c r="H968" s="5">
        <v>146765</v>
      </c>
      <c r="I968" s="5">
        <v>17627</v>
      </c>
      <c r="J968" s="6">
        <f t="shared" si="15"/>
        <v>129138</v>
      </c>
    </row>
    <row r="969" spans="1:10">
      <c r="A969" s="5">
        <v>216692</v>
      </c>
      <c r="B969" s="5" t="s">
        <v>10</v>
      </c>
      <c r="C969" s="5" t="s">
        <v>34</v>
      </c>
      <c r="D969" s="5" t="s">
        <v>36</v>
      </c>
      <c r="E969" s="5" t="s">
        <v>13</v>
      </c>
      <c r="F969" s="5" t="s">
        <v>14</v>
      </c>
      <c r="G969" s="5" t="s">
        <v>15</v>
      </c>
      <c r="H969" s="5">
        <v>36998</v>
      </c>
      <c r="I969" s="5">
        <v>2000</v>
      </c>
      <c r="J969" s="6">
        <f t="shared" si="15"/>
        <v>34998</v>
      </c>
    </row>
    <row r="970" spans="1:10">
      <c r="A970" s="5">
        <v>119195</v>
      </c>
      <c r="B970" s="5" t="s">
        <v>10</v>
      </c>
      <c r="C970" s="5" t="s">
        <v>31</v>
      </c>
      <c r="D970" s="5" t="s">
        <v>12</v>
      </c>
      <c r="E970" s="5" t="s">
        <v>19</v>
      </c>
      <c r="F970" s="5" t="s">
        <v>14</v>
      </c>
      <c r="G970" s="5" t="s">
        <v>24</v>
      </c>
      <c r="H970" s="5">
        <v>1096</v>
      </c>
      <c r="I970" s="5">
        <v>136</v>
      </c>
      <c r="J970" s="6">
        <f t="shared" si="15"/>
        <v>960</v>
      </c>
    </row>
    <row r="971" spans="1:10">
      <c r="A971" s="5">
        <v>92716</v>
      </c>
      <c r="B971" s="5" t="s">
        <v>10</v>
      </c>
      <c r="C971" s="5" t="s">
        <v>20</v>
      </c>
      <c r="D971" s="5" t="s">
        <v>32</v>
      </c>
      <c r="E971" s="5" t="s">
        <v>13</v>
      </c>
      <c r="F971" s="5" t="s">
        <v>14</v>
      </c>
      <c r="G971" s="5" t="s">
        <v>15</v>
      </c>
      <c r="H971" s="5">
        <v>14242</v>
      </c>
      <c r="I971" s="5">
        <v>0</v>
      </c>
      <c r="J971" s="6">
        <f t="shared" si="15"/>
        <v>14242</v>
      </c>
    </row>
    <row r="972" spans="1:10">
      <c r="A972" s="5">
        <v>54541</v>
      </c>
      <c r="B972" s="5" t="s">
        <v>16</v>
      </c>
      <c r="C972" s="5" t="s">
        <v>35</v>
      </c>
      <c r="D972" s="5" t="s">
        <v>32</v>
      </c>
      <c r="E972" s="5" t="s">
        <v>13</v>
      </c>
      <c r="F972" s="5" t="s">
        <v>14</v>
      </c>
      <c r="G972" s="5" t="s">
        <v>15</v>
      </c>
      <c r="H972" s="5">
        <v>32368</v>
      </c>
      <c r="I972" s="5">
        <v>9</v>
      </c>
      <c r="J972" s="6">
        <f t="shared" si="15"/>
        <v>32359</v>
      </c>
    </row>
    <row r="973" spans="1:10">
      <c r="A973" s="5">
        <v>31739</v>
      </c>
      <c r="B973" s="5" t="s">
        <v>10</v>
      </c>
      <c r="C973" s="5" t="s">
        <v>35</v>
      </c>
      <c r="D973" s="5" t="s">
        <v>32</v>
      </c>
      <c r="E973" s="5" t="s">
        <v>19</v>
      </c>
      <c r="F973" s="5" t="s">
        <v>14</v>
      </c>
      <c r="G973" s="5" t="s">
        <v>24</v>
      </c>
      <c r="H973" s="5">
        <v>107291</v>
      </c>
      <c r="I973" s="5">
        <v>145</v>
      </c>
      <c r="J973" s="6">
        <f t="shared" si="15"/>
        <v>107146</v>
      </c>
    </row>
    <row r="974" spans="1:10">
      <c r="A974" s="5">
        <v>225950</v>
      </c>
      <c r="B974" s="5" t="s">
        <v>10</v>
      </c>
      <c r="C974" s="5" t="s">
        <v>22</v>
      </c>
      <c r="D974" s="5" t="s">
        <v>12</v>
      </c>
      <c r="E974" s="5" t="s">
        <v>19</v>
      </c>
      <c r="F974" s="5" t="s">
        <v>14</v>
      </c>
      <c r="G974" s="5" t="s">
        <v>15</v>
      </c>
      <c r="H974" s="5">
        <v>56592</v>
      </c>
      <c r="I974" s="5">
        <v>5715</v>
      </c>
      <c r="J974" s="6">
        <f t="shared" si="15"/>
        <v>50877</v>
      </c>
    </row>
    <row r="975" spans="1:10">
      <c r="A975" s="5">
        <v>83242</v>
      </c>
      <c r="B975" s="5" t="s">
        <v>10</v>
      </c>
      <c r="C975" s="5" t="s">
        <v>34</v>
      </c>
      <c r="D975" s="5" t="s">
        <v>33</v>
      </c>
      <c r="E975" s="5" t="s">
        <v>13</v>
      </c>
      <c r="F975" s="5" t="s">
        <v>14</v>
      </c>
      <c r="G975" s="5" t="s">
        <v>15</v>
      </c>
      <c r="H975" s="5">
        <v>114378</v>
      </c>
      <c r="I975" s="5">
        <v>123</v>
      </c>
      <c r="J975" s="6">
        <f t="shared" si="15"/>
        <v>114255</v>
      </c>
    </row>
    <row r="976" spans="1:10">
      <c r="A976" s="5">
        <v>214200</v>
      </c>
      <c r="B976" s="5" t="s">
        <v>10</v>
      </c>
      <c r="C976" s="5" t="s">
        <v>11</v>
      </c>
      <c r="D976" s="5" t="s">
        <v>32</v>
      </c>
      <c r="E976" s="5" t="s">
        <v>13</v>
      </c>
      <c r="F976" s="5" t="s">
        <v>14</v>
      </c>
      <c r="G976" s="5" t="s">
        <v>15</v>
      </c>
      <c r="H976" s="5">
        <v>106685</v>
      </c>
      <c r="I976" s="5">
        <v>2672</v>
      </c>
      <c r="J976" s="6">
        <f t="shared" si="15"/>
        <v>104013</v>
      </c>
    </row>
    <row r="977" spans="1:10">
      <c r="A977" s="5">
        <v>122898</v>
      </c>
      <c r="B977" s="5" t="s">
        <v>10</v>
      </c>
      <c r="C977" s="5" t="s">
        <v>25</v>
      </c>
      <c r="D977" s="5" t="s">
        <v>18</v>
      </c>
      <c r="E977" s="5" t="s">
        <v>13</v>
      </c>
      <c r="F977" s="5" t="s">
        <v>14</v>
      </c>
      <c r="G977" s="5" t="s">
        <v>24</v>
      </c>
      <c r="H977" s="5">
        <v>116064</v>
      </c>
      <c r="I977" s="5">
        <v>2123</v>
      </c>
      <c r="J977" s="6">
        <f t="shared" si="15"/>
        <v>113941</v>
      </c>
    </row>
    <row r="978" spans="1:10">
      <c r="A978" s="5">
        <v>54483</v>
      </c>
      <c r="B978" s="5" t="s">
        <v>16</v>
      </c>
      <c r="C978" s="5" t="s">
        <v>27</v>
      </c>
      <c r="D978" s="5" t="s">
        <v>12</v>
      </c>
      <c r="E978" s="5" t="s">
        <v>19</v>
      </c>
      <c r="F978" s="5" t="s">
        <v>14</v>
      </c>
      <c r="G978" s="5" t="s">
        <v>15</v>
      </c>
      <c r="H978" s="5">
        <v>161245</v>
      </c>
      <c r="I978" s="5">
        <v>21631</v>
      </c>
      <c r="J978" s="6">
        <f t="shared" si="15"/>
        <v>139614</v>
      </c>
    </row>
    <row r="979" spans="1:10">
      <c r="A979" s="5">
        <v>242401</v>
      </c>
      <c r="B979" s="5" t="s">
        <v>16</v>
      </c>
      <c r="C979" s="5" t="s">
        <v>17</v>
      </c>
      <c r="D979" s="5" t="s">
        <v>21</v>
      </c>
      <c r="E979" s="5" t="s">
        <v>13</v>
      </c>
      <c r="F979" s="5" t="s">
        <v>28</v>
      </c>
      <c r="G979" s="5" t="s">
        <v>15</v>
      </c>
      <c r="H979" s="5">
        <v>24171</v>
      </c>
      <c r="I979" s="5">
        <v>256</v>
      </c>
      <c r="J979" s="6">
        <f t="shared" si="15"/>
        <v>23915</v>
      </c>
    </row>
    <row r="980" spans="1:10">
      <c r="A980" s="5">
        <v>41384</v>
      </c>
      <c r="B980" s="5" t="s">
        <v>16</v>
      </c>
      <c r="C980" s="5" t="s">
        <v>34</v>
      </c>
      <c r="D980" s="5" t="s">
        <v>12</v>
      </c>
      <c r="E980" s="5" t="s">
        <v>13</v>
      </c>
      <c r="F980" s="5" t="s">
        <v>14</v>
      </c>
      <c r="G980" s="5" t="s">
        <v>15</v>
      </c>
      <c r="H980" s="5">
        <v>97322</v>
      </c>
      <c r="I980" s="5">
        <v>1931</v>
      </c>
      <c r="J980" s="6">
        <f t="shared" si="15"/>
        <v>95391</v>
      </c>
    </row>
    <row r="981" spans="1:10">
      <c r="A981" s="5">
        <v>182979</v>
      </c>
      <c r="B981" s="5" t="s">
        <v>10</v>
      </c>
      <c r="C981" s="5" t="s">
        <v>20</v>
      </c>
      <c r="D981" s="5" t="s">
        <v>32</v>
      </c>
      <c r="E981" s="5" t="s">
        <v>13</v>
      </c>
      <c r="F981" s="5" t="s">
        <v>14</v>
      </c>
      <c r="G981" s="5" t="s">
        <v>15</v>
      </c>
      <c r="H981" s="5">
        <v>13719</v>
      </c>
      <c r="I981" s="5">
        <v>704</v>
      </c>
      <c r="J981" s="6">
        <f t="shared" si="15"/>
        <v>13015</v>
      </c>
    </row>
    <row r="982" spans="1:10">
      <c r="A982" s="5">
        <v>127799</v>
      </c>
      <c r="B982" s="5" t="s">
        <v>16</v>
      </c>
      <c r="C982" s="5" t="s">
        <v>22</v>
      </c>
      <c r="D982" s="5" t="s">
        <v>33</v>
      </c>
      <c r="E982" s="5" t="s">
        <v>19</v>
      </c>
      <c r="F982" s="5" t="s">
        <v>14</v>
      </c>
      <c r="G982" s="5" t="s">
        <v>15</v>
      </c>
      <c r="H982" s="5">
        <v>81435</v>
      </c>
      <c r="I982" s="5">
        <v>897</v>
      </c>
      <c r="J982" s="6">
        <f t="shared" si="15"/>
        <v>80538</v>
      </c>
    </row>
    <row r="983" spans="1:10">
      <c r="A983" s="5">
        <v>50703</v>
      </c>
      <c r="B983" s="5" t="s">
        <v>16</v>
      </c>
      <c r="C983" s="5" t="s">
        <v>35</v>
      </c>
      <c r="D983" s="5" t="s">
        <v>32</v>
      </c>
      <c r="E983" s="5" t="s">
        <v>13</v>
      </c>
      <c r="F983" s="5" t="s">
        <v>28</v>
      </c>
      <c r="G983" s="5" t="s">
        <v>15</v>
      </c>
      <c r="H983" s="5">
        <v>5</v>
      </c>
      <c r="I983" s="5">
        <v>0</v>
      </c>
      <c r="J983" s="6">
        <f t="shared" si="15"/>
        <v>5</v>
      </c>
    </row>
    <row r="984" spans="1:10">
      <c r="A984" s="5">
        <v>68215</v>
      </c>
      <c r="B984" s="5" t="s">
        <v>16</v>
      </c>
      <c r="C984" s="5" t="s">
        <v>37</v>
      </c>
      <c r="D984" s="5" t="s">
        <v>33</v>
      </c>
      <c r="E984" s="5" t="s">
        <v>13</v>
      </c>
      <c r="F984" s="5" t="s">
        <v>14</v>
      </c>
      <c r="G984" s="5" t="s">
        <v>24</v>
      </c>
      <c r="H984" s="5">
        <v>21780</v>
      </c>
      <c r="I984" s="5">
        <v>578</v>
      </c>
      <c r="J984" s="6">
        <f t="shared" si="15"/>
        <v>21202</v>
      </c>
    </row>
    <row r="985" spans="1:10">
      <c r="A985" s="5">
        <v>13552</v>
      </c>
      <c r="B985" s="5" t="s">
        <v>16</v>
      </c>
      <c r="C985" s="5" t="s">
        <v>34</v>
      </c>
      <c r="D985" s="5" t="s">
        <v>30</v>
      </c>
      <c r="E985" s="5" t="s">
        <v>13</v>
      </c>
      <c r="F985" s="5" t="s">
        <v>14</v>
      </c>
      <c r="G985" s="5" t="s">
        <v>15</v>
      </c>
      <c r="H985" s="5">
        <v>155773</v>
      </c>
      <c r="I985" s="5">
        <v>0</v>
      </c>
      <c r="J985" s="6">
        <f t="shared" si="15"/>
        <v>155773</v>
      </c>
    </row>
    <row r="986" spans="1:10">
      <c r="A986" s="5">
        <v>8636</v>
      </c>
      <c r="B986" s="5" t="s">
        <v>10</v>
      </c>
      <c r="C986" s="5" t="s">
        <v>37</v>
      </c>
      <c r="D986" s="5" t="s">
        <v>30</v>
      </c>
      <c r="E986" s="5" t="s">
        <v>13</v>
      </c>
      <c r="F986" s="5" t="s">
        <v>28</v>
      </c>
      <c r="G986" s="5" t="s">
        <v>15</v>
      </c>
      <c r="H986" s="5">
        <v>227040</v>
      </c>
      <c r="I986" s="5">
        <v>731</v>
      </c>
      <c r="J986" s="6">
        <f t="shared" si="15"/>
        <v>226309</v>
      </c>
    </row>
    <row r="987" spans="1:10">
      <c r="A987" s="5">
        <v>131274</v>
      </c>
      <c r="B987" s="5" t="s">
        <v>16</v>
      </c>
      <c r="C987" s="5" t="s">
        <v>25</v>
      </c>
      <c r="D987" s="5" t="s">
        <v>30</v>
      </c>
      <c r="E987" s="5" t="s">
        <v>19</v>
      </c>
      <c r="F987" s="5" t="s">
        <v>28</v>
      </c>
      <c r="G987" s="5" t="s">
        <v>24</v>
      </c>
      <c r="H987" s="5">
        <v>22081</v>
      </c>
      <c r="I987" s="5">
        <v>0</v>
      </c>
      <c r="J987" s="6">
        <f t="shared" si="15"/>
        <v>22081</v>
      </c>
    </row>
    <row r="988" spans="1:10">
      <c r="A988" s="5">
        <v>65269</v>
      </c>
      <c r="B988" s="5" t="s">
        <v>10</v>
      </c>
      <c r="C988" s="5" t="s">
        <v>27</v>
      </c>
      <c r="D988" s="5" t="s">
        <v>29</v>
      </c>
      <c r="E988" s="5" t="s">
        <v>13</v>
      </c>
      <c r="F988" s="5" t="s">
        <v>28</v>
      </c>
      <c r="G988" s="5" t="s">
        <v>24</v>
      </c>
      <c r="H988" s="5">
        <v>114363</v>
      </c>
      <c r="I988" s="5">
        <v>5524</v>
      </c>
      <c r="J988" s="6">
        <f t="shared" si="15"/>
        <v>108839</v>
      </c>
    </row>
    <row r="989" spans="1:10">
      <c r="A989" s="5">
        <v>120004</v>
      </c>
      <c r="B989" s="5" t="s">
        <v>16</v>
      </c>
      <c r="C989" s="5" t="s">
        <v>22</v>
      </c>
      <c r="D989" s="5" t="s">
        <v>12</v>
      </c>
      <c r="E989" s="5" t="s">
        <v>13</v>
      </c>
      <c r="F989" s="5" t="s">
        <v>14</v>
      </c>
      <c r="G989" s="5" t="s">
        <v>15</v>
      </c>
      <c r="H989" s="5">
        <v>48062</v>
      </c>
      <c r="I989" s="5">
        <v>1027</v>
      </c>
      <c r="J989" s="6">
        <f t="shared" si="15"/>
        <v>47035</v>
      </c>
    </row>
    <row r="990" spans="1:10">
      <c r="A990" s="5">
        <v>147138</v>
      </c>
      <c r="B990" s="5" t="s">
        <v>16</v>
      </c>
      <c r="C990" s="5" t="s">
        <v>22</v>
      </c>
      <c r="D990" s="5" t="s">
        <v>33</v>
      </c>
      <c r="E990" s="5" t="s">
        <v>19</v>
      </c>
      <c r="F990" s="5" t="s">
        <v>14</v>
      </c>
      <c r="G990" s="5" t="s">
        <v>24</v>
      </c>
      <c r="H990" s="5">
        <v>21838</v>
      </c>
      <c r="I990" s="5">
        <v>0</v>
      </c>
      <c r="J990" s="6">
        <f t="shared" si="15"/>
        <v>21838</v>
      </c>
    </row>
    <row r="991" spans="1:10">
      <c r="A991" s="5">
        <v>139546</v>
      </c>
      <c r="B991" s="5" t="s">
        <v>16</v>
      </c>
      <c r="C991" s="5" t="s">
        <v>25</v>
      </c>
      <c r="D991" s="5" t="s">
        <v>30</v>
      </c>
      <c r="E991" s="5" t="s">
        <v>19</v>
      </c>
      <c r="F991" s="5" t="s">
        <v>28</v>
      </c>
      <c r="G991" s="5" t="s">
        <v>15</v>
      </c>
      <c r="H991" s="5">
        <v>60370</v>
      </c>
      <c r="I991" s="5">
        <v>920</v>
      </c>
      <c r="J991" s="6">
        <f t="shared" si="15"/>
        <v>59450</v>
      </c>
    </row>
    <row r="992" spans="1:10">
      <c r="A992" s="5">
        <v>122451</v>
      </c>
      <c r="B992" s="5" t="s">
        <v>16</v>
      </c>
      <c r="C992" s="5" t="s">
        <v>25</v>
      </c>
      <c r="D992" s="5" t="s">
        <v>21</v>
      </c>
      <c r="E992" s="5" t="s">
        <v>13</v>
      </c>
      <c r="F992" s="5" t="s">
        <v>28</v>
      </c>
      <c r="G992" s="5" t="s">
        <v>24</v>
      </c>
      <c r="H992" s="5">
        <v>38440</v>
      </c>
      <c r="I992" s="5">
        <v>2328</v>
      </c>
      <c r="J992" s="6">
        <f t="shared" si="15"/>
        <v>36112</v>
      </c>
    </row>
    <row r="993" spans="1:10">
      <c r="A993" s="5">
        <v>237604</v>
      </c>
      <c r="B993" s="5" t="s">
        <v>10</v>
      </c>
      <c r="C993" s="5" t="s">
        <v>25</v>
      </c>
      <c r="D993" s="5" t="s">
        <v>18</v>
      </c>
      <c r="E993" s="5" t="s">
        <v>19</v>
      </c>
      <c r="F993" s="5" t="s">
        <v>14</v>
      </c>
      <c r="G993" s="5" t="s">
        <v>24</v>
      </c>
      <c r="H993" s="5">
        <v>25872</v>
      </c>
      <c r="I993" s="5">
        <v>382</v>
      </c>
      <c r="J993" s="6">
        <f t="shared" si="15"/>
        <v>25490</v>
      </c>
    </row>
    <row r="994" spans="1:10">
      <c r="A994" s="5">
        <v>181935</v>
      </c>
      <c r="B994" s="5" t="s">
        <v>10</v>
      </c>
      <c r="C994" s="5" t="s">
        <v>38</v>
      </c>
      <c r="D994" s="5" t="s">
        <v>29</v>
      </c>
      <c r="E994" s="5" t="s">
        <v>13</v>
      </c>
      <c r="F994" s="5" t="s">
        <v>14</v>
      </c>
      <c r="G994" s="5" t="s">
        <v>24</v>
      </c>
      <c r="H994" s="5">
        <v>81954</v>
      </c>
      <c r="I994" s="5">
        <v>1890</v>
      </c>
      <c r="J994" s="6">
        <f t="shared" si="15"/>
        <v>80064</v>
      </c>
    </row>
    <row r="995" spans="1:10">
      <c r="A995" s="5">
        <v>198332</v>
      </c>
      <c r="B995" s="5" t="s">
        <v>10</v>
      </c>
      <c r="C995" s="5" t="s">
        <v>37</v>
      </c>
      <c r="D995" s="5" t="s">
        <v>30</v>
      </c>
      <c r="E995" s="5" t="s">
        <v>13</v>
      </c>
      <c r="F995" s="5" t="s">
        <v>28</v>
      </c>
      <c r="G995" s="5" t="s">
        <v>15</v>
      </c>
      <c r="H995" s="5">
        <v>145954</v>
      </c>
      <c r="I995" s="5">
        <v>2851</v>
      </c>
      <c r="J995" s="6">
        <f t="shared" si="15"/>
        <v>143103</v>
      </c>
    </row>
    <row r="996" spans="1:10">
      <c r="A996" s="5">
        <v>99748</v>
      </c>
      <c r="B996" s="5" t="s">
        <v>16</v>
      </c>
      <c r="C996" s="5" t="s">
        <v>27</v>
      </c>
      <c r="D996" s="5" t="s">
        <v>32</v>
      </c>
      <c r="E996" s="5" t="s">
        <v>13</v>
      </c>
      <c r="F996" s="5" t="s">
        <v>14</v>
      </c>
      <c r="G996" s="5" t="s">
        <v>15</v>
      </c>
      <c r="H996" s="5">
        <v>39366</v>
      </c>
      <c r="I996" s="5">
        <v>0</v>
      </c>
      <c r="J996" s="6">
        <f t="shared" si="15"/>
        <v>39366</v>
      </c>
    </row>
    <row r="997" spans="1:10">
      <c r="A997" s="5">
        <v>99754</v>
      </c>
      <c r="B997" s="5" t="s">
        <v>10</v>
      </c>
      <c r="C997" s="5" t="s">
        <v>34</v>
      </c>
      <c r="D997" s="5" t="s">
        <v>26</v>
      </c>
      <c r="E997" s="5" t="s">
        <v>13</v>
      </c>
      <c r="F997" s="5" t="s">
        <v>14</v>
      </c>
      <c r="G997" s="5" t="s">
        <v>24</v>
      </c>
      <c r="H997" s="5">
        <v>25115</v>
      </c>
      <c r="I997" s="5">
        <v>3060</v>
      </c>
      <c r="J997" s="6">
        <f t="shared" si="15"/>
        <v>22055</v>
      </c>
    </row>
    <row r="998" spans="1:10">
      <c r="A998" s="5">
        <v>109876</v>
      </c>
      <c r="B998" s="5" t="s">
        <v>10</v>
      </c>
      <c r="C998" s="5" t="s">
        <v>11</v>
      </c>
      <c r="D998" s="5" t="s">
        <v>32</v>
      </c>
      <c r="E998" s="5" t="s">
        <v>13</v>
      </c>
      <c r="F998" s="5" t="s">
        <v>14</v>
      </c>
      <c r="G998" s="5" t="s">
        <v>15</v>
      </c>
      <c r="H998" s="5">
        <v>3745</v>
      </c>
      <c r="I998" s="5">
        <v>110</v>
      </c>
      <c r="J998" s="6">
        <f t="shared" si="15"/>
        <v>3635</v>
      </c>
    </row>
    <row r="999" spans="1:10">
      <c r="A999" s="5">
        <v>90820</v>
      </c>
      <c r="B999" s="5" t="s">
        <v>16</v>
      </c>
      <c r="C999" s="5" t="s">
        <v>38</v>
      </c>
      <c r="D999" s="5" t="s">
        <v>33</v>
      </c>
      <c r="E999" s="5" t="s">
        <v>13</v>
      </c>
      <c r="F999" s="5" t="s">
        <v>14</v>
      </c>
      <c r="G999" s="5" t="s">
        <v>15</v>
      </c>
      <c r="H999" s="5">
        <v>4582</v>
      </c>
      <c r="I999" s="5">
        <v>210</v>
      </c>
      <c r="J999" s="6">
        <f t="shared" si="15"/>
        <v>4372</v>
      </c>
    </row>
    <row r="1000" spans="1:10">
      <c r="A1000" s="5">
        <v>108536</v>
      </c>
      <c r="B1000" s="5" t="s">
        <v>10</v>
      </c>
      <c r="C1000" s="5" t="s">
        <v>25</v>
      </c>
      <c r="D1000" s="5" t="s">
        <v>23</v>
      </c>
      <c r="E1000" s="5" t="s">
        <v>19</v>
      </c>
      <c r="F1000" s="5" t="s">
        <v>14</v>
      </c>
      <c r="G1000" s="5" t="s">
        <v>24</v>
      </c>
      <c r="H1000" s="5">
        <v>64752</v>
      </c>
      <c r="I1000" s="5">
        <v>6029</v>
      </c>
      <c r="J1000" s="6">
        <f t="shared" si="15"/>
        <v>58723</v>
      </c>
    </row>
    <row r="1001" spans="1:10">
      <c r="A1001" s="5">
        <v>37585</v>
      </c>
      <c r="B1001" s="5" t="s">
        <v>16</v>
      </c>
      <c r="C1001" s="5" t="s">
        <v>35</v>
      </c>
      <c r="D1001" s="5" t="s">
        <v>18</v>
      </c>
      <c r="E1001" s="5" t="s">
        <v>19</v>
      </c>
      <c r="F1001" s="5" t="s">
        <v>14</v>
      </c>
      <c r="G1001" s="5" t="s">
        <v>24</v>
      </c>
      <c r="H1001" s="5">
        <v>47072</v>
      </c>
      <c r="I1001" s="5">
        <v>892</v>
      </c>
      <c r="J1001" s="6">
        <f t="shared" si="15"/>
        <v>46180</v>
      </c>
    </row>
  </sheetData>
  <mergeCells count="1">
    <mergeCell ref="L1:U1"/>
  </mergeCells>
  <pageMargins left="0.7" right="0.7" top="0.75" bottom="0.75" header="0.3" footer="0.3"/>
  <pageSetup paperSize="9" orientation="portrait" horizontalDpi="0" verticalDpi="0"/>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96964-0C03-224B-935E-51F60A9577EA}">
  <sheetPr codeName="Sheet10"/>
  <dimension ref="A1:Z2022"/>
  <sheetViews>
    <sheetView showGridLines="0" topLeftCell="T5" zoomScaleNormal="100" workbookViewId="0">
      <selection activeCell="AB31" sqref="AB31"/>
    </sheetView>
  </sheetViews>
  <sheetFormatPr defaultColWidth="11.5546875" defaultRowHeight="15.95"/>
  <cols>
    <col min="3" max="3" width="11.6640625" customWidth="1"/>
    <col min="4" max="4" width="11.33203125" customWidth="1"/>
    <col min="5" max="5" width="15.33203125" customWidth="1"/>
    <col min="6" max="6" width="18.33203125" customWidth="1"/>
    <col min="8" max="8" width="13.109375" customWidth="1"/>
    <col min="9" max="9" width="13.6640625" customWidth="1"/>
    <col min="10" max="10" width="16.44140625" customWidth="1"/>
    <col min="16" max="16" width="13.88671875" customWidth="1"/>
    <col min="17" max="17" width="17" customWidth="1"/>
    <col min="19" max="19" width="12.33203125" customWidth="1"/>
    <col min="20" max="20" width="12.88671875" customWidth="1"/>
    <col min="21" max="21" width="15.109375" customWidth="1"/>
    <col min="23" max="23" width="9.88671875" customWidth="1"/>
    <col min="24" max="24" width="26" customWidth="1"/>
    <col min="25" max="26" width="14.5546875" bestFit="1" customWidth="1"/>
  </cols>
  <sheetData>
    <row r="1" spans="1:26">
      <c r="A1" s="3" t="s">
        <v>0</v>
      </c>
      <c r="B1" s="3" t="s">
        <v>1</v>
      </c>
      <c r="C1" s="3" t="s">
        <v>2</v>
      </c>
      <c r="D1" s="3" t="s">
        <v>3</v>
      </c>
      <c r="E1" s="3" t="s">
        <v>4</v>
      </c>
      <c r="F1" s="3" t="s">
        <v>5</v>
      </c>
      <c r="G1" s="3" t="s">
        <v>6</v>
      </c>
      <c r="H1" s="3" t="s">
        <v>7</v>
      </c>
      <c r="I1" s="3" t="s">
        <v>8</v>
      </c>
      <c r="J1" s="4" t="s">
        <v>9</v>
      </c>
      <c r="L1" t="s">
        <v>107</v>
      </c>
    </row>
    <row r="2" spans="1:26">
      <c r="A2" s="5">
        <v>27057</v>
      </c>
      <c r="B2" s="5" t="s">
        <v>10</v>
      </c>
      <c r="C2" s="5" t="s">
        <v>11</v>
      </c>
      <c r="D2" s="5" t="s">
        <v>12</v>
      </c>
      <c r="E2" s="5" t="s">
        <v>13</v>
      </c>
      <c r="F2" s="5" t="s">
        <v>14</v>
      </c>
      <c r="G2" s="5" t="s">
        <v>15</v>
      </c>
      <c r="H2" s="5">
        <v>86368</v>
      </c>
      <c r="I2" s="5">
        <v>1060</v>
      </c>
      <c r="J2" s="6">
        <f t="shared" ref="J2:J65" si="0">H2-I2</f>
        <v>85308</v>
      </c>
      <c r="L2" t="s">
        <v>108</v>
      </c>
    </row>
    <row r="3" spans="1:26">
      <c r="A3" s="5">
        <v>138235</v>
      </c>
      <c r="B3" s="5" t="s">
        <v>16</v>
      </c>
      <c r="C3" s="5" t="s">
        <v>17</v>
      </c>
      <c r="D3" s="5" t="s">
        <v>18</v>
      </c>
      <c r="E3" s="5" t="s">
        <v>19</v>
      </c>
      <c r="F3" s="5" t="s">
        <v>14</v>
      </c>
      <c r="G3" s="5" t="s">
        <v>15</v>
      </c>
      <c r="H3" s="5">
        <v>62342</v>
      </c>
      <c r="I3" s="5">
        <v>337</v>
      </c>
      <c r="J3" s="6">
        <f t="shared" si="0"/>
        <v>62005</v>
      </c>
      <c r="L3" s="15" t="s">
        <v>0</v>
      </c>
      <c r="M3" s="16" t="s">
        <v>1</v>
      </c>
      <c r="N3" s="16" t="s">
        <v>2</v>
      </c>
      <c r="O3" s="16" t="s">
        <v>3</v>
      </c>
      <c r="P3" s="16" t="s">
        <v>4</v>
      </c>
      <c r="Q3" s="16" t="s">
        <v>5</v>
      </c>
      <c r="R3" s="16" t="s">
        <v>6</v>
      </c>
      <c r="S3" s="16" t="s">
        <v>7</v>
      </c>
      <c r="T3" s="16" t="s">
        <v>8</v>
      </c>
      <c r="U3" s="17" t="s">
        <v>9</v>
      </c>
    </row>
    <row r="4" spans="1:26">
      <c r="A4" s="5">
        <v>57573</v>
      </c>
      <c r="B4" s="5" t="s">
        <v>10</v>
      </c>
      <c r="C4" s="5" t="s">
        <v>20</v>
      </c>
      <c r="D4" s="5" t="s">
        <v>21</v>
      </c>
      <c r="E4" s="5" t="s">
        <v>13</v>
      </c>
      <c r="F4" s="5" t="s">
        <v>14</v>
      </c>
      <c r="G4" s="5" t="s">
        <v>15</v>
      </c>
      <c r="H4" s="5">
        <v>19046</v>
      </c>
      <c r="I4" s="5">
        <v>0</v>
      </c>
      <c r="J4" s="6">
        <f t="shared" si="0"/>
        <v>19046</v>
      </c>
      <c r="L4" s="18">
        <v>27057</v>
      </c>
      <c r="M4" s="19" t="s">
        <v>10</v>
      </c>
      <c r="N4" s="19" t="s">
        <v>11</v>
      </c>
      <c r="O4" s="19" t="s">
        <v>12</v>
      </c>
      <c r="P4" s="19" t="s">
        <v>13</v>
      </c>
      <c r="Q4" s="19" t="s">
        <v>14</v>
      </c>
      <c r="R4" s="19" t="s">
        <v>15</v>
      </c>
      <c r="S4" s="19">
        <v>86368</v>
      </c>
      <c r="T4" s="77">
        <v>1060</v>
      </c>
      <c r="U4" s="20">
        <v>85308</v>
      </c>
      <c r="W4" s="88" t="s">
        <v>109</v>
      </c>
    </row>
    <row r="5" spans="1:26">
      <c r="A5" s="5">
        <v>156707</v>
      </c>
      <c r="B5" s="5" t="s">
        <v>10</v>
      </c>
      <c r="C5" s="5" t="s">
        <v>22</v>
      </c>
      <c r="D5" s="5" t="s">
        <v>23</v>
      </c>
      <c r="E5" s="5" t="s">
        <v>19</v>
      </c>
      <c r="F5" s="5" t="s">
        <v>14</v>
      </c>
      <c r="G5" s="5" t="s">
        <v>24</v>
      </c>
      <c r="H5" s="5">
        <v>70672</v>
      </c>
      <c r="I5" s="5">
        <v>4732</v>
      </c>
      <c r="J5" s="6">
        <f t="shared" si="0"/>
        <v>65940</v>
      </c>
      <c r="L5" s="21">
        <v>138235</v>
      </c>
      <c r="M5" s="22" t="s">
        <v>16</v>
      </c>
      <c r="N5" s="22" t="s">
        <v>17</v>
      </c>
      <c r="O5" s="22" t="s">
        <v>18</v>
      </c>
      <c r="P5" s="22" t="s">
        <v>19</v>
      </c>
      <c r="Q5" s="22" t="s">
        <v>14</v>
      </c>
      <c r="R5" s="22" t="s">
        <v>15</v>
      </c>
      <c r="S5" s="22">
        <v>62342</v>
      </c>
      <c r="T5" s="78">
        <v>337</v>
      </c>
      <c r="U5" s="23">
        <v>62005</v>
      </c>
      <c r="W5" s="89" t="s">
        <v>110</v>
      </c>
      <c r="X5" s="71" t="s">
        <v>111</v>
      </c>
    </row>
    <row r="6" spans="1:26">
      <c r="A6" s="5">
        <v>177311</v>
      </c>
      <c r="B6" s="5" t="s">
        <v>10</v>
      </c>
      <c r="C6" s="5" t="s">
        <v>25</v>
      </c>
      <c r="D6" s="5" t="s">
        <v>26</v>
      </c>
      <c r="E6" s="5" t="s">
        <v>13</v>
      </c>
      <c r="F6" s="5" t="s">
        <v>14</v>
      </c>
      <c r="G6" s="5" t="s">
        <v>24</v>
      </c>
      <c r="H6" s="5">
        <v>49168</v>
      </c>
      <c r="I6" s="5">
        <v>7787</v>
      </c>
      <c r="J6" s="6">
        <f t="shared" si="0"/>
        <v>41381</v>
      </c>
      <c r="L6" s="18">
        <v>57573</v>
      </c>
      <c r="M6" s="19" t="s">
        <v>10</v>
      </c>
      <c r="N6" s="19" t="s">
        <v>20</v>
      </c>
      <c r="O6" s="19" t="s">
        <v>21</v>
      </c>
      <c r="P6" s="19" t="s">
        <v>13</v>
      </c>
      <c r="Q6" s="19" t="s">
        <v>14</v>
      </c>
      <c r="R6" s="19" t="s">
        <v>15</v>
      </c>
      <c r="S6" s="19">
        <v>19046</v>
      </c>
      <c r="T6" s="77">
        <v>0</v>
      </c>
      <c r="U6" s="20">
        <v>19046</v>
      </c>
      <c r="W6" s="89" t="s">
        <v>112</v>
      </c>
      <c r="X6" s="71" t="s">
        <v>113</v>
      </c>
    </row>
    <row r="7" spans="1:26">
      <c r="A7" s="5">
        <v>166315</v>
      </c>
      <c r="B7" s="5" t="s">
        <v>10</v>
      </c>
      <c r="C7" s="5" t="s">
        <v>22</v>
      </c>
      <c r="D7" s="5" t="s">
        <v>18</v>
      </c>
      <c r="E7" s="5" t="s">
        <v>13</v>
      </c>
      <c r="F7" s="5" t="s">
        <v>14</v>
      </c>
      <c r="G7" s="5" t="s">
        <v>15</v>
      </c>
      <c r="H7" s="5">
        <v>69092</v>
      </c>
      <c r="I7" s="5">
        <v>5472</v>
      </c>
      <c r="J7" s="6">
        <f t="shared" si="0"/>
        <v>63620</v>
      </c>
      <c r="L7" s="21">
        <v>156707</v>
      </c>
      <c r="M7" s="22" t="s">
        <v>10</v>
      </c>
      <c r="N7" s="22" t="s">
        <v>22</v>
      </c>
      <c r="O7" s="22" t="s">
        <v>23</v>
      </c>
      <c r="P7" s="22" t="s">
        <v>19</v>
      </c>
      <c r="Q7" s="22" t="s">
        <v>14</v>
      </c>
      <c r="R7" s="22" t="s">
        <v>24</v>
      </c>
      <c r="S7" s="22">
        <v>70672</v>
      </c>
      <c r="T7" s="78">
        <v>4732</v>
      </c>
      <c r="U7" s="23">
        <v>65940</v>
      </c>
    </row>
    <row r="8" spans="1:26">
      <c r="A8" s="5">
        <v>60300</v>
      </c>
      <c r="B8" s="5" t="s">
        <v>10</v>
      </c>
      <c r="C8" s="5" t="s">
        <v>27</v>
      </c>
      <c r="D8" s="5" t="s">
        <v>12</v>
      </c>
      <c r="E8" s="5" t="s">
        <v>13</v>
      </c>
      <c r="F8" s="5" t="s">
        <v>28</v>
      </c>
      <c r="G8" s="5" t="s">
        <v>15</v>
      </c>
      <c r="H8" s="5">
        <v>94769</v>
      </c>
      <c r="I8" s="5">
        <v>838</v>
      </c>
      <c r="J8" s="6">
        <f t="shared" si="0"/>
        <v>93931</v>
      </c>
      <c r="L8" s="18">
        <v>177311</v>
      </c>
      <c r="M8" s="19" t="s">
        <v>10</v>
      </c>
      <c r="N8" s="19" t="s">
        <v>25</v>
      </c>
      <c r="O8" s="19" t="s">
        <v>26</v>
      </c>
      <c r="P8" s="19" t="s">
        <v>13</v>
      </c>
      <c r="Q8" s="19" t="s">
        <v>14</v>
      </c>
      <c r="R8" s="19" t="s">
        <v>24</v>
      </c>
      <c r="S8" s="19">
        <v>49168</v>
      </c>
      <c r="T8" s="77">
        <v>7787</v>
      </c>
      <c r="U8" s="20">
        <v>41381</v>
      </c>
      <c r="X8" t="s">
        <v>114</v>
      </c>
    </row>
    <row r="9" spans="1:26" ht="17.100000000000001" thickBot="1">
      <c r="A9" s="5">
        <v>251518</v>
      </c>
      <c r="B9" s="5" t="s">
        <v>10</v>
      </c>
      <c r="C9" s="5" t="s">
        <v>17</v>
      </c>
      <c r="D9" s="5" t="s">
        <v>23</v>
      </c>
      <c r="E9" s="5" t="s">
        <v>13</v>
      </c>
      <c r="F9" s="5" t="s">
        <v>14</v>
      </c>
      <c r="G9" s="5" t="s">
        <v>24</v>
      </c>
      <c r="H9" s="5">
        <v>43127</v>
      </c>
      <c r="I9" s="5">
        <v>136</v>
      </c>
      <c r="J9" s="6">
        <f t="shared" si="0"/>
        <v>42991</v>
      </c>
      <c r="L9" s="21">
        <v>166315</v>
      </c>
      <c r="M9" s="22" t="s">
        <v>10</v>
      </c>
      <c r="N9" s="22" t="s">
        <v>22</v>
      </c>
      <c r="O9" s="22" t="s">
        <v>18</v>
      </c>
      <c r="P9" s="22" t="s">
        <v>13</v>
      </c>
      <c r="Q9" s="22" t="s">
        <v>14</v>
      </c>
      <c r="R9" s="22" t="s">
        <v>15</v>
      </c>
      <c r="S9" s="22">
        <v>69092</v>
      </c>
      <c r="T9" s="78">
        <v>5472</v>
      </c>
      <c r="U9" s="23">
        <v>63620</v>
      </c>
    </row>
    <row r="10" spans="1:26">
      <c r="A10" s="5">
        <v>109650</v>
      </c>
      <c r="B10" s="5" t="s">
        <v>10</v>
      </c>
      <c r="C10" s="5" t="s">
        <v>22</v>
      </c>
      <c r="D10" s="5" t="s">
        <v>23</v>
      </c>
      <c r="E10" s="5" t="s">
        <v>19</v>
      </c>
      <c r="F10" s="5" t="s">
        <v>28</v>
      </c>
      <c r="G10" s="5" t="s">
        <v>15</v>
      </c>
      <c r="H10" s="5">
        <v>120743</v>
      </c>
      <c r="I10" s="5">
        <v>4363</v>
      </c>
      <c r="J10" s="6">
        <f t="shared" si="0"/>
        <v>116380</v>
      </c>
      <c r="L10" s="18">
        <v>251518</v>
      </c>
      <c r="M10" s="19" t="s">
        <v>10</v>
      </c>
      <c r="N10" s="19" t="s">
        <v>17</v>
      </c>
      <c r="O10" s="19" t="s">
        <v>23</v>
      </c>
      <c r="P10" s="19" t="s">
        <v>13</v>
      </c>
      <c r="Q10" s="19" t="s">
        <v>14</v>
      </c>
      <c r="R10" s="19" t="s">
        <v>24</v>
      </c>
      <c r="S10" s="19">
        <v>43127</v>
      </c>
      <c r="T10" s="77">
        <v>136</v>
      </c>
      <c r="U10" s="20">
        <v>42991</v>
      </c>
      <c r="X10" s="26"/>
      <c r="Y10" s="26" t="s">
        <v>8</v>
      </c>
      <c r="Z10" s="26" t="s">
        <v>8</v>
      </c>
    </row>
    <row r="11" spans="1:26">
      <c r="A11" s="5">
        <v>67127</v>
      </c>
      <c r="B11" s="5" t="s">
        <v>10</v>
      </c>
      <c r="C11" s="5" t="s">
        <v>27</v>
      </c>
      <c r="D11" s="5" t="s">
        <v>29</v>
      </c>
      <c r="E11" s="5" t="s">
        <v>13</v>
      </c>
      <c r="F11" s="5" t="s">
        <v>14</v>
      </c>
      <c r="G11" s="5" t="s">
        <v>15</v>
      </c>
      <c r="H11" s="5">
        <v>105006</v>
      </c>
      <c r="I11" s="5">
        <v>891</v>
      </c>
      <c r="J11" s="6">
        <f t="shared" si="0"/>
        <v>104115</v>
      </c>
      <c r="L11" s="21">
        <v>67127</v>
      </c>
      <c r="M11" s="22" t="s">
        <v>10</v>
      </c>
      <c r="N11" s="22" t="s">
        <v>27</v>
      </c>
      <c r="O11" s="22" t="s">
        <v>29</v>
      </c>
      <c r="P11" s="22" t="s">
        <v>13</v>
      </c>
      <c r="Q11" s="22" t="s">
        <v>14</v>
      </c>
      <c r="R11" s="22" t="s">
        <v>15</v>
      </c>
      <c r="S11" s="22">
        <v>105006</v>
      </c>
      <c r="T11" s="78">
        <v>891</v>
      </c>
      <c r="U11" s="23">
        <v>104115</v>
      </c>
      <c r="X11" t="s">
        <v>58</v>
      </c>
      <c r="Y11">
        <v>2688.9204693611473</v>
      </c>
      <c r="Z11">
        <v>1664.2660944206009</v>
      </c>
    </row>
    <row r="12" spans="1:26">
      <c r="A12" s="5">
        <v>231743</v>
      </c>
      <c r="B12" s="5" t="s">
        <v>16</v>
      </c>
      <c r="C12" s="5" t="s">
        <v>17</v>
      </c>
      <c r="D12" s="5" t="s">
        <v>30</v>
      </c>
      <c r="E12" s="5" t="s">
        <v>13</v>
      </c>
      <c r="F12" s="5" t="s">
        <v>14</v>
      </c>
      <c r="G12" s="5" t="s">
        <v>24</v>
      </c>
      <c r="H12" s="5">
        <v>17427</v>
      </c>
      <c r="I12" s="5">
        <v>2405</v>
      </c>
      <c r="J12" s="6">
        <f t="shared" si="0"/>
        <v>15022</v>
      </c>
      <c r="L12" s="18">
        <v>231743</v>
      </c>
      <c r="M12" s="19" t="s">
        <v>16</v>
      </c>
      <c r="N12" s="19" t="s">
        <v>17</v>
      </c>
      <c r="O12" s="19" t="s">
        <v>30</v>
      </c>
      <c r="P12" s="19" t="s">
        <v>13</v>
      </c>
      <c r="Q12" s="19" t="s">
        <v>14</v>
      </c>
      <c r="R12" s="19" t="s">
        <v>24</v>
      </c>
      <c r="S12" s="19">
        <v>17427</v>
      </c>
      <c r="T12" s="77">
        <v>2405</v>
      </c>
      <c r="U12" s="20">
        <v>15022</v>
      </c>
      <c r="X12" t="s">
        <v>115</v>
      </c>
      <c r="Y12">
        <v>28162518.42055957</v>
      </c>
      <c r="Z12">
        <v>11987096.092681663</v>
      </c>
    </row>
    <row r="13" spans="1:26">
      <c r="A13" s="5">
        <v>179791</v>
      </c>
      <c r="B13" s="5" t="s">
        <v>10</v>
      </c>
      <c r="C13" s="5" t="s">
        <v>31</v>
      </c>
      <c r="D13" s="5" t="s">
        <v>32</v>
      </c>
      <c r="E13" s="5" t="s">
        <v>19</v>
      </c>
      <c r="F13" s="5" t="s">
        <v>14</v>
      </c>
      <c r="G13" s="5" t="s">
        <v>15</v>
      </c>
      <c r="H13" s="5">
        <v>329</v>
      </c>
      <c r="I13" s="5">
        <v>0</v>
      </c>
      <c r="J13" s="6">
        <f t="shared" si="0"/>
        <v>329</v>
      </c>
      <c r="L13" s="21">
        <v>179791</v>
      </c>
      <c r="M13" s="22" t="s">
        <v>10</v>
      </c>
      <c r="N13" s="22" t="s">
        <v>31</v>
      </c>
      <c r="O13" s="22" t="s">
        <v>32</v>
      </c>
      <c r="P13" s="22" t="s">
        <v>19</v>
      </c>
      <c r="Q13" s="22" t="s">
        <v>14</v>
      </c>
      <c r="R13" s="22" t="s">
        <v>15</v>
      </c>
      <c r="S13" s="22">
        <v>329</v>
      </c>
      <c r="T13" s="78">
        <v>0</v>
      </c>
      <c r="U13" s="23">
        <v>329</v>
      </c>
      <c r="X13" t="s">
        <v>116</v>
      </c>
      <c r="Y13">
        <v>767</v>
      </c>
      <c r="Z13">
        <v>233</v>
      </c>
    </row>
    <row r="14" spans="1:26">
      <c r="A14" s="5">
        <v>167286</v>
      </c>
      <c r="B14" s="5" t="s">
        <v>10</v>
      </c>
      <c r="C14" s="5" t="s">
        <v>22</v>
      </c>
      <c r="D14" s="5" t="s">
        <v>26</v>
      </c>
      <c r="E14" s="5" t="s">
        <v>13</v>
      </c>
      <c r="F14" s="5" t="s">
        <v>14</v>
      </c>
      <c r="G14" s="5" t="s">
        <v>15</v>
      </c>
      <c r="H14" s="5">
        <v>90156</v>
      </c>
      <c r="I14" s="5">
        <v>159</v>
      </c>
      <c r="J14" s="6">
        <f t="shared" si="0"/>
        <v>89997</v>
      </c>
      <c r="L14" s="18">
        <v>167286</v>
      </c>
      <c r="M14" s="19" t="s">
        <v>10</v>
      </c>
      <c r="N14" s="19" t="s">
        <v>22</v>
      </c>
      <c r="O14" s="19" t="s">
        <v>26</v>
      </c>
      <c r="P14" s="19" t="s">
        <v>13</v>
      </c>
      <c r="Q14" s="19" t="s">
        <v>14</v>
      </c>
      <c r="R14" s="19" t="s">
        <v>15</v>
      </c>
      <c r="S14" s="19">
        <v>90156</v>
      </c>
      <c r="T14" s="77">
        <v>159</v>
      </c>
      <c r="U14" s="20">
        <v>89997</v>
      </c>
      <c r="X14" t="s">
        <v>117</v>
      </c>
      <c r="Y14">
        <v>24402300.003658094</v>
      </c>
    </row>
    <row r="15" spans="1:26">
      <c r="A15" s="5">
        <v>242762</v>
      </c>
      <c r="B15" s="5" t="s">
        <v>10</v>
      </c>
      <c r="C15" s="5" t="s">
        <v>17</v>
      </c>
      <c r="D15" s="5" t="s">
        <v>23</v>
      </c>
      <c r="E15" s="5" t="s">
        <v>19</v>
      </c>
      <c r="F15" s="5" t="s">
        <v>14</v>
      </c>
      <c r="G15" s="5" t="s">
        <v>15</v>
      </c>
      <c r="H15" s="5">
        <v>144244</v>
      </c>
      <c r="I15" s="5">
        <v>17669</v>
      </c>
      <c r="J15" s="6">
        <f t="shared" si="0"/>
        <v>126575</v>
      </c>
      <c r="L15" s="21">
        <v>242762</v>
      </c>
      <c r="M15" s="22" t="s">
        <v>10</v>
      </c>
      <c r="N15" s="22" t="s">
        <v>17</v>
      </c>
      <c r="O15" s="22" t="s">
        <v>23</v>
      </c>
      <c r="P15" s="22" t="s">
        <v>19</v>
      </c>
      <c r="Q15" s="22" t="s">
        <v>14</v>
      </c>
      <c r="R15" s="22" t="s">
        <v>15</v>
      </c>
      <c r="S15" s="22">
        <v>144244</v>
      </c>
      <c r="T15" s="78">
        <v>17669</v>
      </c>
      <c r="U15" s="23">
        <v>126575</v>
      </c>
      <c r="X15" t="s">
        <v>118</v>
      </c>
      <c r="Y15">
        <v>0</v>
      </c>
    </row>
    <row r="16" spans="1:26">
      <c r="A16" s="5">
        <v>59709</v>
      </c>
      <c r="B16" s="5" t="s">
        <v>16</v>
      </c>
      <c r="C16" s="5" t="s">
        <v>27</v>
      </c>
      <c r="D16" s="5" t="s">
        <v>33</v>
      </c>
      <c r="E16" s="5" t="s">
        <v>13</v>
      </c>
      <c r="F16" s="5" t="s">
        <v>14</v>
      </c>
      <c r="G16" s="5" t="s">
        <v>15</v>
      </c>
      <c r="H16" s="5">
        <v>51006</v>
      </c>
      <c r="I16" s="5">
        <v>2868</v>
      </c>
      <c r="J16" s="6">
        <f t="shared" si="0"/>
        <v>48138</v>
      </c>
      <c r="L16" s="18">
        <v>59709</v>
      </c>
      <c r="M16" s="19" t="s">
        <v>16</v>
      </c>
      <c r="N16" s="19" t="s">
        <v>27</v>
      </c>
      <c r="O16" s="19" t="s">
        <v>33</v>
      </c>
      <c r="P16" s="19" t="s">
        <v>13</v>
      </c>
      <c r="Q16" s="19" t="s">
        <v>14</v>
      </c>
      <c r="R16" s="19" t="s">
        <v>15</v>
      </c>
      <c r="S16" s="19">
        <v>51006</v>
      </c>
      <c r="T16" s="77">
        <v>2868</v>
      </c>
      <c r="U16" s="20">
        <v>48138</v>
      </c>
      <c r="X16" t="s">
        <v>119</v>
      </c>
      <c r="Y16">
        <v>998</v>
      </c>
    </row>
    <row r="17" spans="1:26">
      <c r="A17" s="5">
        <v>100739</v>
      </c>
      <c r="B17" s="5" t="s">
        <v>16</v>
      </c>
      <c r="C17" s="5" t="s">
        <v>34</v>
      </c>
      <c r="D17" s="5" t="s">
        <v>26</v>
      </c>
      <c r="E17" s="5" t="s">
        <v>13</v>
      </c>
      <c r="F17" s="5" t="s">
        <v>14</v>
      </c>
      <c r="G17" s="5" t="s">
        <v>24</v>
      </c>
      <c r="H17" s="5">
        <v>28047</v>
      </c>
      <c r="I17" s="5">
        <v>2486</v>
      </c>
      <c r="J17" s="6">
        <f t="shared" si="0"/>
        <v>25561</v>
      </c>
      <c r="L17" s="21">
        <v>100739</v>
      </c>
      <c r="M17" s="22" t="s">
        <v>16</v>
      </c>
      <c r="N17" s="22" t="s">
        <v>34</v>
      </c>
      <c r="O17" s="22" t="s">
        <v>26</v>
      </c>
      <c r="P17" s="22" t="s">
        <v>13</v>
      </c>
      <c r="Q17" s="22" t="s">
        <v>14</v>
      </c>
      <c r="R17" s="22" t="s">
        <v>24</v>
      </c>
      <c r="S17" s="22">
        <v>28047</v>
      </c>
      <c r="T17" s="78">
        <v>2486</v>
      </c>
      <c r="U17" s="23">
        <v>25561</v>
      </c>
      <c r="X17" s="52" t="s">
        <v>120</v>
      </c>
      <c r="Y17" s="52">
        <v>2.7729220430209582</v>
      </c>
    </row>
    <row r="18" spans="1:26">
      <c r="A18" s="5">
        <v>246052</v>
      </c>
      <c r="B18" s="5" t="s">
        <v>16</v>
      </c>
      <c r="C18" s="5" t="s">
        <v>25</v>
      </c>
      <c r="D18" s="5" t="s">
        <v>21</v>
      </c>
      <c r="E18" s="5" t="s">
        <v>19</v>
      </c>
      <c r="F18" s="5" t="s">
        <v>14</v>
      </c>
      <c r="G18" s="5" t="s">
        <v>15</v>
      </c>
      <c r="H18" s="5">
        <v>58304</v>
      </c>
      <c r="I18" s="5">
        <v>5581</v>
      </c>
      <c r="J18" s="6">
        <f t="shared" si="0"/>
        <v>52723</v>
      </c>
      <c r="L18" s="18">
        <v>246052</v>
      </c>
      <c r="M18" s="19" t="s">
        <v>16</v>
      </c>
      <c r="N18" s="19" t="s">
        <v>25</v>
      </c>
      <c r="O18" s="19" t="s">
        <v>21</v>
      </c>
      <c r="P18" s="19" t="s">
        <v>19</v>
      </c>
      <c r="Q18" s="19" t="s">
        <v>14</v>
      </c>
      <c r="R18" s="19" t="s">
        <v>15</v>
      </c>
      <c r="S18" s="19">
        <v>58304</v>
      </c>
      <c r="T18" s="77">
        <v>5581</v>
      </c>
      <c r="U18" s="20">
        <v>52723</v>
      </c>
      <c r="X18" s="37" t="s">
        <v>121</v>
      </c>
      <c r="Y18" s="37">
        <v>2.829514769934368E-3</v>
      </c>
    </row>
    <row r="19" spans="1:26">
      <c r="A19" s="5">
        <v>177001</v>
      </c>
      <c r="B19" s="5" t="s">
        <v>16</v>
      </c>
      <c r="C19" s="5" t="s">
        <v>25</v>
      </c>
      <c r="D19" s="5" t="s">
        <v>30</v>
      </c>
      <c r="E19" s="5" t="s">
        <v>19</v>
      </c>
      <c r="F19" s="5" t="s">
        <v>28</v>
      </c>
      <c r="G19" s="5" t="s">
        <v>15</v>
      </c>
      <c r="H19" s="5">
        <v>25172</v>
      </c>
      <c r="I19" s="5">
        <v>7850</v>
      </c>
      <c r="J19" s="6">
        <f t="shared" si="0"/>
        <v>17322</v>
      </c>
      <c r="L19" s="21">
        <v>45835</v>
      </c>
      <c r="M19" s="22" t="s">
        <v>10</v>
      </c>
      <c r="N19" s="22" t="s">
        <v>35</v>
      </c>
      <c r="O19" s="22" t="s">
        <v>36</v>
      </c>
      <c r="P19" s="22" t="s">
        <v>13</v>
      </c>
      <c r="Q19" s="22" t="s">
        <v>14</v>
      </c>
      <c r="R19" s="22" t="s">
        <v>15</v>
      </c>
      <c r="S19" s="22">
        <v>51530</v>
      </c>
      <c r="T19" s="78">
        <v>10087</v>
      </c>
      <c r="U19" s="23">
        <v>41443</v>
      </c>
      <c r="X19" s="52" t="s">
        <v>122</v>
      </c>
      <c r="Y19" s="52">
        <v>1.6463818766348444</v>
      </c>
    </row>
    <row r="20" spans="1:26">
      <c r="A20" s="5">
        <v>45835</v>
      </c>
      <c r="B20" s="5" t="s">
        <v>10</v>
      </c>
      <c r="C20" s="5" t="s">
        <v>35</v>
      </c>
      <c r="D20" s="5" t="s">
        <v>36</v>
      </c>
      <c r="E20" s="5" t="s">
        <v>13</v>
      </c>
      <c r="F20" s="5" t="s">
        <v>14</v>
      </c>
      <c r="G20" s="5" t="s">
        <v>15</v>
      </c>
      <c r="H20" s="5">
        <v>51530</v>
      </c>
      <c r="I20" s="5">
        <v>10087</v>
      </c>
      <c r="J20" s="6">
        <f t="shared" si="0"/>
        <v>41443</v>
      </c>
      <c r="L20" s="18">
        <v>189155</v>
      </c>
      <c r="M20" s="19" t="s">
        <v>10</v>
      </c>
      <c r="N20" s="19" t="s">
        <v>37</v>
      </c>
      <c r="O20" s="19" t="s">
        <v>32</v>
      </c>
      <c r="P20" s="19" t="s">
        <v>19</v>
      </c>
      <c r="Q20" s="19" t="s">
        <v>14</v>
      </c>
      <c r="R20" s="19" t="s">
        <v>15</v>
      </c>
      <c r="S20" s="19">
        <v>201030</v>
      </c>
      <c r="T20" s="77">
        <v>7536</v>
      </c>
      <c r="U20" s="20">
        <v>193494</v>
      </c>
      <c r="X20" t="s">
        <v>123</v>
      </c>
      <c r="Y20">
        <v>5.659029539868736E-3</v>
      </c>
    </row>
    <row r="21" spans="1:26" ht="17.100000000000001" thickBot="1">
      <c r="A21" s="5">
        <v>189155</v>
      </c>
      <c r="B21" s="5" t="s">
        <v>10</v>
      </c>
      <c r="C21" s="5" t="s">
        <v>37</v>
      </c>
      <c r="D21" s="5" t="s">
        <v>32</v>
      </c>
      <c r="E21" s="5" t="s">
        <v>19</v>
      </c>
      <c r="F21" s="5" t="s">
        <v>14</v>
      </c>
      <c r="G21" s="5" t="s">
        <v>15</v>
      </c>
      <c r="H21" s="5">
        <v>201030</v>
      </c>
      <c r="I21" s="5">
        <v>7536</v>
      </c>
      <c r="J21" s="6">
        <f t="shared" si="0"/>
        <v>193494</v>
      </c>
      <c r="L21" s="21">
        <v>7156</v>
      </c>
      <c r="M21" s="22" t="s">
        <v>10</v>
      </c>
      <c r="N21" s="22" t="s">
        <v>38</v>
      </c>
      <c r="O21" s="22" t="s">
        <v>30</v>
      </c>
      <c r="P21" s="22" t="s">
        <v>13</v>
      </c>
      <c r="Q21" s="22" t="s">
        <v>14</v>
      </c>
      <c r="R21" s="22" t="s">
        <v>15</v>
      </c>
      <c r="S21" s="22">
        <v>106667</v>
      </c>
      <c r="T21" s="78">
        <v>1418</v>
      </c>
      <c r="U21" s="23">
        <v>105249</v>
      </c>
      <c r="X21" s="25" t="s">
        <v>124</v>
      </c>
      <c r="Y21" s="25">
        <v>1.9623438462163374</v>
      </c>
      <c r="Z21" s="25"/>
    </row>
    <row r="22" spans="1:26">
      <c r="A22" s="5">
        <v>7156</v>
      </c>
      <c r="B22" s="5" t="s">
        <v>10</v>
      </c>
      <c r="C22" s="5" t="s">
        <v>38</v>
      </c>
      <c r="D22" s="5" t="s">
        <v>30</v>
      </c>
      <c r="E22" s="5" t="s">
        <v>13</v>
      </c>
      <c r="F22" s="5" t="s">
        <v>14</v>
      </c>
      <c r="G22" s="5" t="s">
        <v>15</v>
      </c>
      <c r="H22" s="5">
        <v>106667</v>
      </c>
      <c r="I22" s="5">
        <v>1418</v>
      </c>
      <c r="J22" s="6">
        <f t="shared" si="0"/>
        <v>105249</v>
      </c>
      <c r="L22" s="18">
        <v>238600</v>
      </c>
      <c r="M22" s="19" t="s">
        <v>10</v>
      </c>
      <c r="N22" s="19" t="s">
        <v>17</v>
      </c>
      <c r="O22" s="19" t="s">
        <v>23</v>
      </c>
      <c r="P22" s="19" t="s">
        <v>19</v>
      </c>
      <c r="Q22" s="19" t="s">
        <v>14</v>
      </c>
      <c r="R22" s="19" t="s">
        <v>15</v>
      </c>
      <c r="S22" s="19">
        <v>106932</v>
      </c>
      <c r="T22" s="77">
        <v>5285</v>
      </c>
      <c r="U22" s="20">
        <v>101647</v>
      </c>
      <c r="W22" s="89" t="s">
        <v>125</v>
      </c>
      <c r="X22" s="90" t="s">
        <v>126</v>
      </c>
    </row>
    <row r="23" spans="1:26">
      <c r="A23" s="5">
        <v>238600</v>
      </c>
      <c r="B23" s="5" t="s">
        <v>10</v>
      </c>
      <c r="C23" s="5" t="s">
        <v>17</v>
      </c>
      <c r="D23" s="5" t="s">
        <v>23</v>
      </c>
      <c r="E23" s="5" t="s">
        <v>19</v>
      </c>
      <c r="F23" s="5" t="s">
        <v>14</v>
      </c>
      <c r="G23" s="5" t="s">
        <v>15</v>
      </c>
      <c r="H23" s="5">
        <v>106932</v>
      </c>
      <c r="I23" s="5">
        <v>5285</v>
      </c>
      <c r="J23" s="6">
        <f t="shared" si="0"/>
        <v>101647</v>
      </c>
      <c r="L23" s="21">
        <v>203234</v>
      </c>
      <c r="M23" s="22" t="s">
        <v>10</v>
      </c>
      <c r="N23" s="22" t="s">
        <v>39</v>
      </c>
      <c r="O23" s="22" t="s">
        <v>32</v>
      </c>
      <c r="P23" s="22" t="s">
        <v>13</v>
      </c>
      <c r="Q23" s="22" t="s">
        <v>14</v>
      </c>
      <c r="R23" s="22" t="s">
        <v>15</v>
      </c>
      <c r="S23" s="22">
        <v>26386</v>
      </c>
      <c r="T23" s="78">
        <v>6624</v>
      </c>
      <c r="U23" s="23">
        <v>19762</v>
      </c>
      <c r="W23" s="89" t="s">
        <v>127</v>
      </c>
      <c r="X23" s="101" t="s">
        <v>128</v>
      </c>
      <c r="Y23" s="101"/>
      <c r="Z23" s="101"/>
    </row>
    <row r="24" spans="1:26">
      <c r="A24" s="5">
        <v>28041</v>
      </c>
      <c r="B24" s="5" t="s">
        <v>16</v>
      </c>
      <c r="C24" s="5" t="s">
        <v>11</v>
      </c>
      <c r="D24" s="5" t="s">
        <v>33</v>
      </c>
      <c r="E24" s="5" t="s">
        <v>13</v>
      </c>
      <c r="F24" s="5" t="s">
        <v>28</v>
      </c>
      <c r="G24" s="5" t="s">
        <v>15</v>
      </c>
      <c r="H24" s="5">
        <v>71962</v>
      </c>
      <c r="I24" s="5">
        <v>344</v>
      </c>
      <c r="J24" s="6">
        <f t="shared" si="0"/>
        <v>71618</v>
      </c>
      <c r="L24" s="18">
        <v>163859</v>
      </c>
      <c r="M24" s="19" t="s">
        <v>10</v>
      </c>
      <c r="N24" s="19" t="s">
        <v>22</v>
      </c>
      <c r="O24" s="19" t="s">
        <v>26</v>
      </c>
      <c r="P24" s="19" t="s">
        <v>13</v>
      </c>
      <c r="Q24" s="19" t="s">
        <v>14</v>
      </c>
      <c r="R24" s="19" t="s">
        <v>24</v>
      </c>
      <c r="S24" s="19">
        <v>53285</v>
      </c>
      <c r="T24" s="77">
        <v>5265</v>
      </c>
      <c r="U24" s="20">
        <v>48020</v>
      </c>
      <c r="W24" s="87"/>
      <c r="X24" s="101"/>
      <c r="Y24" s="101"/>
      <c r="Z24" s="101"/>
    </row>
    <row r="25" spans="1:26">
      <c r="A25" s="5">
        <v>203234</v>
      </c>
      <c r="B25" s="5" t="s">
        <v>10</v>
      </c>
      <c r="C25" s="5" t="s">
        <v>39</v>
      </c>
      <c r="D25" s="5" t="s">
        <v>32</v>
      </c>
      <c r="E25" s="5" t="s">
        <v>13</v>
      </c>
      <c r="F25" s="5" t="s">
        <v>14</v>
      </c>
      <c r="G25" s="5" t="s">
        <v>15</v>
      </c>
      <c r="H25" s="5">
        <v>26386</v>
      </c>
      <c r="I25" s="5">
        <v>6624</v>
      </c>
      <c r="J25" s="6">
        <f t="shared" si="0"/>
        <v>19762</v>
      </c>
      <c r="L25" s="21">
        <v>86621</v>
      </c>
      <c r="M25" s="22" t="s">
        <v>10</v>
      </c>
      <c r="N25" s="22" t="s">
        <v>39</v>
      </c>
      <c r="O25" s="22" t="s">
        <v>23</v>
      </c>
      <c r="P25" s="22" t="s">
        <v>19</v>
      </c>
      <c r="Q25" s="22" t="s">
        <v>14</v>
      </c>
      <c r="R25" s="22" t="s">
        <v>24</v>
      </c>
      <c r="S25" s="22">
        <v>45319</v>
      </c>
      <c r="T25" s="78">
        <v>4715</v>
      </c>
      <c r="U25" s="23">
        <v>40604</v>
      </c>
    </row>
    <row r="26" spans="1:26">
      <c r="A26" s="5">
        <v>122913</v>
      </c>
      <c r="B26" s="5" t="s">
        <v>16</v>
      </c>
      <c r="C26" s="5" t="s">
        <v>25</v>
      </c>
      <c r="D26" s="5" t="s">
        <v>21</v>
      </c>
      <c r="E26" s="5" t="s">
        <v>19</v>
      </c>
      <c r="F26" s="5" t="s">
        <v>28</v>
      </c>
      <c r="G26" s="5" t="s">
        <v>24</v>
      </c>
      <c r="H26" s="5">
        <v>7089</v>
      </c>
      <c r="I26" s="5">
        <v>0</v>
      </c>
      <c r="J26" s="6">
        <f t="shared" si="0"/>
        <v>7089</v>
      </c>
      <c r="L26" s="18">
        <v>176823</v>
      </c>
      <c r="M26" s="19" t="s">
        <v>16</v>
      </c>
      <c r="N26" s="19" t="s">
        <v>25</v>
      </c>
      <c r="O26" s="19" t="s">
        <v>30</v>
      </c>
      <c r="P26" s="19" t="s">
        <v>13</v>
      </c>
      <c r="Q26" s="19" t="s">
        <v>14</v>
      </c>
      <c r="R26" s="19" t="s">
        <v>15</v>
      </c>
      <c r="S26" s="19">
        <v>34603</v>
      </c>
      <c r="T26" s="77">
        <v>3567</v>
      </c>
      <c r="U26" s="20">
        <v>31036</v>
      </c>
    </row>
    <row r="27" spans="1:26">
      <c r="A27" s="5">
        <v>163859</v>
      </c>
      <c r="B27" s="5" t="s">
        <v>10</v>
      </c>
      <c r="C27" s="5" t="s">
        <v>22</v>
      </c>
      <c r="D27" s="5" t="s">
        <v>26</v>
      </c>
      <c r="E27" s="5" t="s">
        <v>13</v>
      </c>
      <c r="F27" s="5" t="s">
        <v>14</v>
      </c>
      <c r="G27" s="5" t="s">
        <v>24</v>
      </c>
      <c r="H27" s="5">
        <v>53285</v>
      </c>
      <c r="I27" s="5">
        <v>5265</v>
      </c>
      <c r="J27" s="6">
        <f t="shared" si="0"/>
        <v>48020</v>
      </c>
      <c r="L27" s="21">
        <v>27050</v>
      </c>
      <c r="M27" s="22" t="s">
        <v>16</v>
      </c>
      <c r="N27" s="22" t="s">
        <v>35</v>
      </c>
      <c r="O27" s="22" t="s">
        <v>33</v>
      </c>
      <c r="P27" s="22" t="s">
        <v>13</v>
      </c>
      <c r="Q27" s="22" t="s">
        <v>14</v>
      </c>
      <c r="R27" s="22" t="s">
        <v>15</v>
      </c>
      <c r="S27" s="22">
        <v>18824</v>
      </c>
      <c r="T27" s="78">
        <v>371</v>
      </c>
      <c r="U27" s="23">
        <v>18453</v>
      </c>
      <c r="W27" s="88" t="s">
        <v>129</v>
      </c>
    </row>
    <row r="28" spans="1:26">
      <c r="A28" s="5">
        <v>86621</v>
      </c>
      <c r="B28" s="5" t="s">
        <v>10</v>
      </c>
      <c r="C28" s="5" t="s">
        <v>39</v>
      </c>
      <c r="D28" s="5" t="s">
        <v>23</v>
      </c>
      <c r="E28" s="5" t="s">
        <v>19</v>
      </c>
      <c r="F28" s="5" t="s">
        <v>14</v>
      </c>
      <c r="G28" s="5" t="s">
        <v>24</v>
      </c>
      <c r="H28" s="5">
        <v>45319</v>
      </c>
      <c r="I28" s="5">
        <v>4715</v>
      </c>
      <c r="J28" s="6">
        <f t="shared" si="0"/>
        <v>40604</v>
      </c>
      <c r="L28" s="18">
        <v>94969</v>
      </c>
      <c r="M28" s="19" t="s">
        <v>10</v>
      </c>
      <c r="N28" s="19" t="s">
        <v>39</v>
      </c>
      <c r="O28" s="19" t="s">
        <v>32</v>
      </c>
      <c r="P28" s="19" t="s">
        <v>19</v>
      </c>
      <c r="Q28" s="19" t="s">
        <v>14</v>
      </c>
      <c r="R28" s="19" t="s">
        <v>24</v>
      </c>
      <c r="S28" s="19">
        <v>25568</v>
      </c>
      <c r="T28" s="77">
        <v>0</v>
      </c>
      <c r="U28" s="20">
        <v>25568</v>
      </c>
      <c r="W28" s="89" t="s">
        <v>110</v>
      </c>
      <c r="X28" s="71" t="s">
        <v>130</v>
      </c>
    </row>
    <row r="29" spans="1:26">
      <c r="A29" s="5">
        <v>176823</v>
      </c>
      <c r="B29" s="5" t="s">
        <v>16</v>
      </c>
      <c r="C29" s="5" t="s">
        <v>25</v>
      </c>
      <c r="D29" s="5" t="s">
        <v>30</v>
      </c>
      <c r="E29" s="5" t="s">
        <v>13</v>
      </c>
      <c r="F29" s="5" t="s">
        <v>14</v>
      </c>
      <c r="G29" s="5" t="s">
        <v>15</v>
      </c>
      <c r="H29" s="5">
        <v>34603</v>
      </c>
      <c r="I29" s="5">
        <v>3567</v>
      </c>
      <c r="J29" s="6">
        <f t="shared" si="0"/>
        <v>31036</v>
      </c>
      <c r="L29" s="21">
        <v>26499</v>
      </c>
      <c r="M29" s="22" t="s">
        <v>16</v>
      </c>
      <c r="N29" s="22" t="s">
        <v>34</v>
      </c>
      <c r="O29" s="22" t="s">
        <v>12</v>
      </c>
      <c r="P29" s="22" t="s">
        <v>19</v>
      </c>
      <c r="Q29" s="22" t="s">
        <v>14</v>
      </c>
      <c r="R29" s="22" t="s">
        <v>15</v>
      </c>
      <c r="S29" s="22">
        <v>80751</v>
      </c>
      <c r="T29" s="78">
        <v>160</v>
      </c>
      <c r="U29" s="23">
        <v>80591</v>
      </c>
      <c r="W29" s="89" t="s">
        <v>112</v>
      </c>
      <c r="X29" s="71" t="s">
        <v>131</v>
      </c>
    </row>
    <row r="30" spans="1:26">
      <c r="A30" s="5">
        <v>27050</v>
      </c>
      <c r="B30" s="5" t="s">
        <v>16</v>
      </c>
      <c r="C30" s="5" t="s">
        <v>35</v>
      </c>
      <c r="D30" s="5" t="s">
        <v>33</v>
      </c>
      <c r="E30" s="5" t="s">
        <v>13</v>
      </c>
      <c r="F30" s="5" t="s">
        <v>14</v>
      </c>
      <c r="G30" s="5" t="s">
        <v>15</v>
      </c>
      <c r="H30" s="5">
        <v>18824</v>
      </c>
      <c r="I30" s="5">
        <v>371</v>
      </c>
      <c r="J30" s="6">
        <f t="shared" si="0"/>
        <v>18453</v>
      </c>
      <c r="L30" s="18">
        <v>118096</v>
      </c>
      <c r="M30" s="19" t="s">
        <v>10</v>
      </c>
      <c r="N30" s="19" t="s">
        <v>31</v>
      </c>
      <c r="O30" s="19" t="s">
        <v>36</v>
      </c>
      <c r="P30" s="19" t="s">
        <v>19</v>
      </c>
      <c r="Q30" s="19" t="s">
        <v>14</v>
      </c>
      <c r="R30" s="19" t="s">
        <v>24</v>
      </c>
      <c r="S30" s="19">
        <v>32117</v>
      </c>
      <c r="T30" s="77">
        <v>1063</v>
      </c>
      <c r="U30" s="20">
        <v>31054</v>
      </c>
      <c r="W30" s="87"/>
    </row>
    <row r="31" spans="1:26">
      <c r="A31" s="5">
        <v>94969</v>
      </c>
      <c r="B31" s="5" t="s">
        <v>10</v>
      </c>
      <c r="C31" s="5" t="s">
        <v>39</v>
      </c>
      <c r="D31" s="5" t="s">
        <v>32</v>
      </c>
      <c r="E31" s="5" t="s">
        <v>19</v>
      </c>
      <c r="F31" s="5" t="s">
        <v>14</v>
      </c>
      <c r="G31" s="5" t="s">
        <v>24</v>
      </c>
      <c r="H31" s="5">
        <v>25568</v>
      </c>
      <c r="I31" s="5">
        <v>0</v>
      </c>
      <c r="J31" s="6">
        <f t="shared" si="0"/>
        <v>25568</v>
      </c>
      <c r="L31" s="21">
        <v>179586</v>
      </c>
      <c r="M31" s="22" t="s">
        <v>16</v>
      </c>
      <c r="N31" s="22" t="s">
        <v>17</v>
      </c>
      <c r="O31" s="22" t="s">
        <v>36</v>
      </c>
      <c r="P31" s="22" t="s">
        <v>19</v>
      </c>
      <c r="Q31" s="22" t="s">
        <v>14</v>
      </c>
      <c r="R31" s="22" t="s">
        <v>24</v>
      </c>
      <c r="S31" s="22">
        <v>42233</v>
      </c>
      <c r="T31" s="78">
        <v>1607</v>
      </c>
      <c r="U31" s="23">
        <v>40626</v>
      </c>
      <c r="X31" t="s">
        <v>114</v>
      </c>
    </row>
    <row r="32" spans="1:26" ht="17.100000000000001" thickBot="1">
      <c r="A32" s="5">
        <v>26499</v>
      </c>
      <c r="B32" s="5" t="s">
        <v>16</v>
      </c>
      <c r="C32" s="5" t="s">
        <v>34</v>
      </c>
      <c r="D32" s="5" t="s">
        <v>12</v>
      </c>
      <c r="E32" s="5" t="s">
        <v>19</v>
      </c>
      <c r="F32" s="5" t="s">
        <v>14</v>
      </c>
      <c r="G32" s="5" t="s">
        <v>15</v>
      </c>
      <c r="H32" s="5">
        <v>80751</v>
      </c>
      <c r="I32" s="5">
        <v>160</v>
      </c>
      <c r="J32" s="6">
        <f t="shared" si="0"/>
        <v>80591</v>
      </c>
      <c r="L32" s="18">
        <v>139323</v>
      </c>
      <c r="M32" s="19" t="s">
        <v>10</v>
      </c>
      <c r="N32" s="19" t="s">
        <v>25</v>
      </c>
      <c r="O32" s="19" t="s">
        <v>32</v>
      </c>
      <c r="P32" s="19" t="s">
        <v>19</v>
      </c>
      <c r="Q32" s="19" t="s">
        <v>14</v>
      </c>
      <c r="R32" s="19" t="s">
        <v>24</v>
      </c>
      <c r="S32" s="19">
        <v>25564</v>
      </c>
      <c r="T32" s="77">
        <v>0</v>
      </c>
      <c r="U32" s="20">
        <v>25564</v>
      </c>
    </row>
    <row r="33" spans="1:26">
      <c r="A33" s="5">
        <v>118096</v>
      </c>
      <c r="B33" s="5" t="s">
        <v>10</v>
      </c>
      <c r="C33" s="5" t="s">
        <v>31</v>
      </c>
      <c r="D33" s="5" t="s">
        <v>36</v>
      </c>
      <c r="E33" s="5" t="s">
        <v>19</v>
      </c>
      <c r="F33" s="5" t="s">
        <v>14</v>
      </c>
      <c r="G33" s="5" t="s">
        <v>24</v>
      </c>
      <c r="H33" s="5">
        <v>32117</v>
      </c>
      <c r="I33" s="5">
        <v>1063</v>
      </c>
      <c r="J33" s="6">
        <f t="shared" si="0"/>
        <v>31054</v>
      </c>
      <c r="L33" s="21">
        <v>125391</v>
      </c>
      <c r="M33" s="22" t="s">
        <v>10</v>
      </c>
      <c r="N33" s="22" t="s">
        <v>31</v>
      </c>
      <c r="O33" s="22" t="s">
        <v>18</v>
      </c>
      <c r="P33" s="22" t="s">
        <v>19</v>
      </c>
      <c r="Q33" s="22" t="s">
        <v>14</v>
      </c>
      <c r="R33" s="22" t="s">
        <v>15</v>
      </c>
      <c r="S33" s="22">
        <v>25716</v>
      </c>
      <c r="T33" s="78">
        <v>2608</v>
      </c>
      <c r="U33" s="23">
        <v>23108</v>
      </c>
      <c r="X33" s="26"/>
      <c r="Y33" s="26" t="s">
        <v>9</v>
      </c>
      <c r="Z33" s="26" t="s">
        <v>9</v>
      </c>
    </row>
    <row r="34" spans="1:26">
      <c r="A34" s="5">
        <v>179586</v>
      </c>
      <c r="B34" s="5" t="s">
        <v>16</v>
      </c>
      <c r="C34" s="5" t="s">
        <v>17</v>
      </c>
      <c r="D34" s="5" t="s">
        <v>36</v>
      </c>
      <c r="E34" s="5" t="s">
        <v>19</v>
      </c>
      <c r="F34" s="5" t="s">
        <v>14</v>
      </c>
      <c r="G34" s="5" t="s">
        <v>24</v>
      </c>
      <c r="H34" s="5">
        <v>42233</v>
      </c>
      <c r="I34" s="5">
        <v>1607</v>
      </c>
      <c r="J34" s="6">
        <f t="shared" si="0"/>
        <v>40626</v>
      </c>
      <c r="L34" s="18">
        <v>196524</v>
      </c>
      <c r="M34" s="19" t="s">
        <v>10</v>
      </c>
      <c r="N34" s="19" t="s">
        <v>11</v>
      </c>
      <c r="O34" s="19" t="s">
        <v>12</v>
      </c>
      <c r="P34" s="19" t="s">
        <v>13</v>
      </c>
      <c r="Q34" s="19" t="s">
        <v>14</v>
      </c>
      <c r="R34" s="19" t="s">
        <v>15</v>
      </c>
      <c r="S34" s="19">
        <v>50038</v>
      </c>
      <c r="T34" s="77">
        <v>282</v>
      </c>
      <c r="U34" s="20">
        <v>49756</v>
      </c>
      <c r="X34" t="s">
        <v>58</v>
      </c>
      <c r="Y34">
        <v>68291.956777996063</v>
      </c>
      <c r="Z34">
        <v>45911.708757637476</v>
      </c>
    </row>
    <row r="35" spans="1:26">
      <c r="A35" s="5">
        <v>139323</v>
      </c>
      <c r="B35" s="5" t="s">
        <v>10</v>
      </c>
      <c r="C35" s="5" t="s">
        <v>25</v>
      </c>
      <c r="D35" s="5" t="s">
        <v>32</v>
      </c>
      <c r="E35" s="5" t="s">
        <v>19</v>
      </c>
      <c r="F35" s="5" t="s">
        <v>14</v>
      </c>
      <c r="G35" s="5" t="s">
        <v>24</v>
      </c>
      <c r="H35" s="5">
        <v>25564</v>
      </c>
      <c r="I35" s="5">
        <v>0</v>
      </c>
      <c r="J35" s="6">
        <f t="shared" si="0"/>
        <v>25564</v>
      </c>
      <c r="L35" s="21">
        <v>189610</v>
      </c>
      <c r="M35" s="22" t="s">
        <v>10</v>
      </c>
      <c r="N35" s="22" t="s">
        <v>37</v>
      </c>
      <c r="O35" s="22" t="s">
        <v>30</v>
      </c>
      <c r="P35" s="22" t="s">
        <v>13</v>
      </c>
      <c r="Q35" s="22" t="s">
        <v>14</v>
      </c>
      <c r="R35" s="22" t="s">
        <v>15</v>
      </c>
      <c r="S35" s="22">
        <v>665612</v>
      </c>
      <c r="T35" s="78">
        <v>1952</v>
      </c>
      <c r="U35" s="23">
        <v>663660</v>
      </c>
      <c r="X35" t="s">
        <v>115</v>
      </c>
      <c r="Y35">
        <v>4346713016.8642702</v>
      </c>
      <c r="Z35">
        <v>1600400419.733372</v>
      </c>
    </row>
    <row r="36" spans="1:26">
      <c r="A36" s="5">
        <v>125391</v>
      </c>
      <c r="B36" s="5" t="s">
        <v>10</v>
      </c>
      <c r="C36" s="5" t="s">
        <v>31</v>
      </c>
      <c r="D36" s="5" t="s">
        <v>18</v>
      </c>
      <c r="E36" s="5" t="s">
        <v>19</v>
      </c>
      <c r="F36" s="5" t="s">
        <v>14</v>
      </c>
      <c r="G36" s="5" t="s">
        <v>15</v>
      </c>
      <c r="H36" s="5">
        <v>25716</v>
      </c>
      <c r="I36" s="5">
        <v>2608</v>
      </c>
      <c r="J36" s="6">
        <f t="shared" si="0"/>
        <v>23108</v>
      </c>
      <c r="L36" s="18">
        <v>256331</v>
      </c>
      <c r="M36" s="19" t="s">
        <v>16</v>
      </c>
      <c r="N36" s="19" t="s">
        <v>17</v>
      </c>
      <c r="O36" s="19" t="s">
        <v>18</v>
      </c>
      <c r="P36" s="19" t="s">
        <v>19</v>
      </c>
      <c r="Q36" s="19" t="s">
        <v>14</v>
      </c>
      <c r="R36" s="19" t="s">
        <v>24</v>
      </c>
      <c r="S36" s="19">
        <v>17386</v>
      </c>
      <c r="T36" s="77">
        <v>716</v>
      </c>
      <c r="U36" s="20">
        <v>16670</v>
      </c>
      <c r="X36" t="s">
        <v>116</v>
      </c>
      <c r="Y36">
        <v>509</v>
      </c>
      <c r="Z36">
        <v>491</v>
      </c>
    </row>
    <row r="37" spans="1:26">
      <c r="A37" s="5">
        <v>196524</v>
      </c>
      <c r="B37" s="5" t="s">
        <v>10</v>
      </c>
      <c r="C37" s="5" t="s">
        <v>11</v>
      </c>
      <c r="D37" s="5" t="s">
        <v>12</v>
      </c>
      <c r="E37" s="5" t="s">
        <v>13</v>
      </c>
      <c r="F37" s="5" t="s">
        <v>14</v>
      </c>
      <c r="G37" s="5" t="s">
        <v>15</v>
      </c>
      <c r="H37" s="5">
        <v>50038</v>
      </c>
      <c r="I37" s="5">
        <v>282</v>
      </c>
      <c r="J37" s="6">
        <f t="shared" si="0"/>
        <v>49756</v>
      </c>
      <c r="L37" s="21">
        <v>64176</v>
      </c>
      <c r="M37" s="22" t="s">
        <v>10</v>
      </c>
      <c r="N37" s="22" t="s">
        <v>27</v>
      </c>
      <c r="O37" s="22" t="s">
        <v>30</v>
      </c>
      <c r="P37" s="22" t="s">
        <v>13</v>
      </c>
      <c r="Q37" s="22" t="s">
        <v>14</v>
      </c>
      <c r="R37" s="22" t="s">
        <v>15</v>
      </c>
      <c r="S37" s="22">
        <v>84178</v>
      </c>
      <c r="T37" s="78">
        <v>760</v>
      </c>
      <c r="U37" s="23">
        <v>83418</v>
      </c>
      <c r="X37" t="s">
        <v>117</v>
      </c>
      <c r="Y37">
        <v>2998323064.3651319</v>
      </c>
    </row>
    <row r="38" spans="1:26">
      <c r="A38" s="5">
        <v>240294</v>
      </c>
      <c r="B38" s="5" t="s">
        <v>10</v>
      </c>
      <c r="C38" s="5" t="s">
        <v>25</v>
      </c>
      <c r="D38" s="5" t="s">
        <v>36</v>
      </c>
      <c r="E38" s="5" t="s">
        <v>19</v>
      </c>
      <c r="F38" s="5" t="s">
        <v>28</v>
      </c>
      <c r="G38" s="5" t="s">
        <v>24</v>
      </c>
      <c r="H38" s="5">
        <v>19124</v>
      </c>
      <c r="I38" s="5">
        <v>0</v>
      </c>
      <c r="J38" s="6">
        <f t="shared" si="0"/>
        <v>19124</v>
      </c>
      <c r="L38" s="18">
        <v>92976</v>
      </c>
      <c r="M38" s="19" t="s">
        <v>10</v>
      </c>
      <c r="N38" s="19" t="s">
        <v>37</v>
      </c>
      <c r="O38" s="19" t="s">
        <v>32</v>
      </c>
      <c r="P38" s="19" t="s">
        <v>19</v>
      </c>
      <c r="Q38" s="19" t="s">
        <v>14</v>
      </c>
      <c r="R38" s="19" t="s">
        <v>24</v>
      </c>
      <c r="S38" s="19">
        <v>49236</v>
      </c>
      <c r="T38" s="77">
        <v>162</v>
      </c>
      <c r="U38" s="20">
        <v>49074</v>
      </c>
      <c r="X38" t="s">
        <v>118</v>
      </c>
      <c r="Y38">
        <v>0</v>
      </c>
    </row>
    <row r="39" spans="1:26">
      <c r="A39" s="5">
        <v>189610</v>
      </c>
      <c r="B39" s="5" t="s">
        <v>10</v>
      </c>
      <c r="C39" s="5" t="s">
        <v>37</v>
      </c>
      <c r="D39" s="5" t="s">
        <v>30</v>
      </c>
      <c r="E39" s="5" t="s">
        <v>13</v>
      </c>
      <c r="F39" s="5" t="s">
        <v>14</v>
      </c>
      <c r="G39" s="5" t="s">
        <v>15</v>
      </c>
      <c r="H39" s="5">
        <v>665612</v>
      </c>
      <c r="I39" s="5">
        <v>1952</v>
      </c>
      <c r="J39" s="6">
        <f t="shared" si="0"/>
        <v>663660</v>
      </c>
      <c r="L39" s="21">
        <v>99780</v>
      </c>
      <c r="M39" s="22" t="s">
        <v>10</v>
      </c>
      <c r="N39" s="22" t="s">
        <v>34</v>
      </c>
      <c r="O39" s="22" t="s">
        <v>32</v>
      </c>
      <c r="P39" s="22" t="s">
        <v>19</v>
      </c>
      <c r="Q39" s="22" t="s">
        <v>14</v>
      </c>
      <c r="R39" s="22" t="s">
        <v>24</v>
      </c>
      <c r="S39" s="22">
        <v>66500</v>
      </c>
      <c r="T39" s="78">
        <v>0</v>
      </c>
      <c r="U39" s="23">
        <v>66500</v>
      </c>
      <c r="X39" t="s">
        <v>119</v>
      </c>
      <c r="Y39">
        <v>998</v>
      </c>
    </row>
    <row r="40" spans="1:26">
      <c r="A40" s="5">
        <v>256331</v>
      </c>
      <c r="B40" s="5" t="s">
        <v>16</v>
      </c>
      <c r="C40" s="5" t="s">
        <v>17</v>
      </c>
      <c r="D40" s="5" t="s">
        <v>18</v>
      </c>
      <c r="E40" s="5" t="s">
        <v>19</v>
      </c>
      <c r="F40" s="5" t="s">
        <v>14</v>
      </c>
      <c r="G40" s="5" t="s">
        <v>24</v>
      </c>
      <c r="H40" s="5">
        <v>17386</v>
      </c>
      <c r="I40" s="5">
        <v>716</v>
      </c>
      <c r="J40" s="6">
        <f t="shared" si="0"/>
        <v>16670</v>
      </c>
      <c r="L40" s="18">
        <v>219950</v>
      </c>
      <c r="M40" s="19" t="s">
        <v>10</v>
      </c>
      <c r="N40" s="19" t="s">
        <v>27</v>
      </c>
      <c r="O40" s="19" t="s">
        <v>12</v>
      </c>
      <c r="P40" s="19" t="s">
        <v>13</v>
      </c>
      <c r="Q40" s="19" t="s">
        <v>14</v>
      </c>
      <c r="R40" s="19" t="s">
        <v>15</v>
      </c>
      <c r="S40" s="19">
        <v>83925</v>
      </c>
      <c r="T40" s="77">
        <v>1109</v>
      </c>
      <c r="U40" s="20">
        <v>82816</v>
      </c>
      <c r="X40" s="52" t="s">
        <v>120</v>
      </c>
      <c r="Y40" s="52">
        <v>6.4613805431132718</v>
      </c>
    </row>
    <row r="41" spans="1:26">
      <c r="A41" s="5">
        <v>64176</v>
      </c>
      <c r="B41" s="5" t="s">
        <v>10</v>
      </c>
      <c r="C41" s="5" t="s">
        <v>27</v>
      </c>
      <c r="D41" s="5" t="s">
        <v>30</v>
      </c>
      <c r="E41" s="5" t="s">
        <v>13</v>
      </c>
      <c r="F41" s="5" t="s">
        <v>14</v>
      </c>
      <c r="G41" s="5" t="s">
        <v>15</v>
      </c>
      <c r="H41" s="5">
        <v>84178</v>
      </c>
      <c r="I41" s="5">
        <v>760</v>
      </c>
      <c r="J41" s="6">
        <f t="shared" si="0"/>
        <v>83418</v>
      </c>
      <c r="L41" s="21">
        <v>11162</v>
      </c>
      <c r="M41" s="22" t="s">
        <v>16</v>
      </c>
      <c r="N41" s="22" t="s">
        <v>37</v>
      </c>
      <c r="O41" s="22" t="s">
        <v>33</v>
      </c>
      <c r="P41" s="22" t="s">
        <v>13</v>
      </c>
      <c r="Q41" s="22" t="s">
        <v>14</v>
      </c>
      <c r="R41" s="22" t="s">
        <v>15</v>
      </c>
      <c r="S41" s="22">
        <v>60311</v>
      </c>
      <c r="T41" s="78">
        <v>321</v>
      </c>
      <c r="U41" s="23">
        <v>59990</v>
      </c>
      <c r="X41" t="s">
        <v>121</v>
      </c>
      <c r="Y41">
        <v>8.096017424519357E-11</v>
      </c>
    </row>
    <row r="42" spans="1:26">
      <c r="A42" s="5">
        <v>92976</v>
      </c>
      <c r="B42" s="5" t="s">
        <v>10</v>
      </c>
      <c r="C42" s="5" t="s">
        <v>37</v>
      </c>
      <c r="D42" s="5" t="s">
        <v>32</v>
      </c>
      <c r="E42" s="5" t="s">
        <v>19</v>
      </c>
      <c r="F42" s="5" t="s">
        <v>14</v>
      </c>
      <c r="G42" s="5" t="s">
        <v>24</v>
      </c>
      <c r="H42" s="5">
        <v>49236</v>
      </c>
      <c r="I42" s="5">
        <v>162</v>
      </c>
      <c r="J42" s="6">
        <f t="shared" si="0"/>
        <v>49074</v>
      </c>
      <c r="L42" s="18">
        <v>41926</v>
      </c>
      <c r="M42" s="19" t="s">
        <v>10</v>
      </c>
      <c r="N42" s="19" t="s">
        <v>35</v>
      </c>
      <c r="O42" s="19" t="s">
        <v>23</v>
      </c>
      <c r="P42" s="19" t="s">
        <v>13</v>
      </c>
      <c r="Q42" s="19" t="s">
        <v>14</v>
      </c>
      <c r="R42" s="19" t="s">
        <v>15</v>
      </c>
      <c r="S42" s="19">
        <v>37523</v>
      </c>
      <c r="T42" s="77">
        <v>0</v>
      </c>
      <c r="U42" s="20">
        <v>37523</v>
      </c>
      <c r="X42" t="s">
        <v>122</v>
      </c>
      <c r="Y42">
        <v>1.6463818766348444</v>
      </c>
    </row>
    <row r="43" spans="1:26">
      <c r="A43" s="5">
        <v>252207</v>
      </c>
      <c r="B43" s="5" t="s">
        <v>10</v>
      </c>
      <c r="C43" s="5" t="s">
        <v>35</v>
      </c>
      <c r="D43" s="5" t="s">
        <v>32</v>
      </c>
      <c r="E43" s="5" t="s">
        <v>13</v>
      </c>
      <c r="F43" s="5" t="s">
        <v>28</v>
      </c>
      <c r="G43" s="5" t="s">
        <v>24</v>
      </c>
      <c r="H43" s="5">
        <v>9527</v>
      </c>
      <c r="I43" s="5">
        <v>0</v>
      </c>
      <c r="J43" s="6">
        <f t="shared" si="0"/>
        <v>9527</v>
      </c>
      <c r="L43" s="21">
        <v>80813</v>
      </c>
      <c r="M43" s="22" t="s">
        <v>10</v>
      </c>
      <c r="N43" s="22" t="s">
        <v>38</v>
      </c>
      <c r="O43" s="22" t="s">
        <v>32</v>
      </c>
      <c r="P43" s="22" t="s">
        <v>13</v>
      </c>
      <c r="Q43" s="22" t="s">
        <v>14</v>
      </c>
      <c r="R43" s="22" t="s">
        <v>15</v>
      </c>
      <c r="S43" s="22">
        <v>10439</v>
      </c>
      <c r="T43" s="78">
        <v>0</v>
      </c>
      <c r="U43" s="23">
        <v>10439</v>
      </c>
      <c r="X43" s="43" t="s">
        <v>123</v>
      </c>
      <c r="Y43" s="43">
        <v>1.6192034849038714E-10</v>
      </c>
    </row>
    <row r="44" spans="1:26" ht="17.100000000000001" thickBot="1">
      <c r="A44" s="5">
        <v>99780</v>
      </c>
      <c r="B44" s="5" t="s">
        <v>10</v>
      </c>
      <c r="C44" s="5" t="s">
        <v>34</v>
      </c>
      <c r="D44" s="5" t="s">
        <v>32</v>
      </c>
      <c r="E44" s="5" t="s">
        <v>19</v>
      </c>
      <c r="F44" s="5" t="s">
        <v>14</v>
      </c>
      <c r="G44" s="5" t="s">
        <v>24</v>
      </c>
      <c r="H44" s="5">
        <v>66500</v>
      </c>
      <c r="I44" s="5">
        <v>0</v>
      </c>
      <c r="J44" s="6">
        <f t="shared" si="0"/>
        <v>66500</v>
      </c>
      <c r="L44" s="18">
        <v>249509</v>
      </c>
      <c r="M44" s="19" t="s">
        <v>10</v>
      </c>
      <c r="N44" s="19" t="s">
        <v>25</v>
      </c>
      <c r="O44" s="19" t="s">
        <v>30</v>
      </c>
      <c r="P44" s="19" t="s">
        <v>19</v>
      </c>
      <c r="Q44" s="19" t="s">
        <v>14</v>
      </c>
      <c r="R44" s="19" t="s">
        <v>15</v>
      </c>
      <c r="S44" s="19">
        <v>54325</v>
      </c>
      <c r="T44" s="77">
        <v>1121</v>
      </c>
      <c r="U44" s="20">
        <v>53204</v>
      </c>
      <c r="X44" s="70" t="s">
        <v>124</v>
      </c>
      <c r="Y44" s="70">
        <v>1.9623438462163374</v>
      </c>
      <c r="Z44" s="25"/>
    </row>
    <row r="45" spans="1:26">
      <c r="A45" s="5">
        <v>98602</v>
      </c>
      <c r="B45" s="5" t="s">
        <v>10</v>
      </c>
      <c r="C45" s="5" t="s">
        <v>34</v>
      </c>
      <c r="D45" s="5" t="s">
        <v>23</v>
      </c>
      <c r="E45" s="5" t="s">
        <v>13</v>
      </c>
      <c r="F45" s="5" t="s">
        <v>28</v>
      </c>
      <c r="G45" s="5" t="s">
        <v>24</v>
      </c>
      <c r="H45" s="5">
        <v>61386</v>
      </c>
      <c r="I45" s="5">
        <v>1007</v>
      </c>
      <c r="J45" s="6">
        <f t="shared" si="0"/>
        <v>60379</v>
      </c>
      <c r="L45" s="21">
        <v>98339</v>
      </c>
      <c r="M45" s="22" t="s">
        <v>16</v>
      </c>
      <c r="N45" s="22" t="s">
        <v>11</v>
      </c>
      <c r="O45" s="22" t="s">
        <v>12</v>
      </c>
      <c r="P45" s="22" t="s">
        <v>13</v>
      </c>
      <c r="Q45" s="22" t="s">
        <v>14</v>
      </c>
      <c r="R45" s="22" t="s">
        <v>15</v>
      </c>
      <c r="S45" s="22">
        <v>98107</v>
      </c>
      <c r="T45" s="78">
        <v>860</v>
      </c>
      <c r="U45" s="23">
        <v>97247</v>
      </c>
      <c r="W45" s="89" t="s">
        <v>125</v>
      </c>
      <c r="X45" s="71" t="s">
        <v>132</v>
      </c>
    </row>
    <row r="46" spans="1:26">
      <c r="A46" s="5">
        <v>219950</v>
      </c>
      <c r="B46" s="5" t="s">
        <v>10</v>
      </c>
      <c r="C46" s="5" t="s">
        <v>27</v>
      </c>
      <c r="D46" s="5" t="s">
        <v>12</v>
      </c>
      <c r="E46" s="5" t="s">
        <v>13</v>
      </c>
      <c r="F46" s="5" t="s">
        <v>14</v>
      </c>
      <c r="G46" s="5" t="s">
        <v>15</v>
      </c>
      <c r="H46" s="5">
        <v>83925</v>
      </c>
      <c r="I46" s="5">
        <v>1109</v>
      </c>
      <c r="J46" s="6">
        <f t="shared" si="0"/>
        <v>82816</v>
      </c>
      <c r="L46" s="18">
        <v>69724</v>
      </c>
      <c r="M46" s="19" t="s">
        <v>16</v>
      </c>
      <c r="N46" s="19" t="s">
        <v>35</v>
      </c>
      <c r="O46" s="19" t="s">
        <v>32</v>
      </c>
      <c r="P46" s="19" t="s">
        <v>13</v>
      </c>
      <c r="Q46" s="19" t="s">
        <v>14</v>
      </c>
      <c r="R46" s="19" t="s">
        <v>15</v>
      </c>
      <c r="S46" s="19">
        <v>744</v>
      </c>
      <c r="T46" s="77">
        <v>37</v>
      </c>
      <c r="U46" s="20">
        <v>707</v>
      </c>
      <c r="W46" s="89" t="s">
        <v>127</v>
      </c>
      <c r="X46" s="102" t="s">
        <v>133</v>
      </c>
      <c r="Y46" s="102"/>
      <c r="Z46" s="102"/>
    </row>
    <row r="47" spans="1:26">
      <c r="A47" s="5">
        <v>11162</v>
      </c>
      <c r="B47" s="5" t="s">
        <v>16</v>
      </c>
      <c r="C47" s="5" t="s">
        <v>37</v>
      </c>
      <c r="D47" s="5" t="s">
        <v>33</v>
      </c>
      <c r="E47" s="5" t="s">
        <v>13</v>
      </c>
      <c r="F47" s="5" t="s">
        <v>14</v>
      </c>
      <c r="G47" s="5" t="s">
        <v>15</v>
      </c>
      <c r="H47" s="5">
        <v>60311</v>
      </c>
      <c r="I47" s="5">
        <v>321</v>
      </c>
      <c r="J47" s="6">
        <f t="shared" si="0"/>
        <v>59990</v>
      </c>
      <c r="L47" s="21">
        <v>135040</v>
      </c>
      <c r="M47" s="22" t="s">
        <v>10</v>
      </c>
      <c r="N47" s="22" t="s">
        <v>11</v>
      </c>
      <c r="O47" s="22" t="s">
        <v>12</v>
      </c>
      <c r="P47" s="22" t="s">
        <v>13</v>
      </c>
      <c r="Q47" s="22" t="s">
        <v>14</v>
      </c>
      <c r="R47" s="22" t="s">
        <v>15</v>
      </c>
      <c r="S47" s="22">
        <v>132544</v>
      </c>
      <c r="T47" s="78">
        <v>21465</v>
      </c>
      <c r="U47" s="23">
        <v>111079</v>
      </c>
    </row>
    <row r="48" spans="1:26">
      <c r="A48" s="5">
        <v>41926</v>
      </c>
      <c r="B48" s="5" t="s">
        <v>10</v>
      </c>
      <c r="C48" s="5" t="s">
        <v>35</v>
      </c>
      <c r="D48" s="5" t="s">
        <v>23</v>
      </c>
      <c r="E48" s="5" t="s">
        <v>13</v>
      </c>
      <c r="F48" s="5" t="s">
        <v>14</v>
      </c>
      <c r="G48" s="5" t="s">
        <v>15</v>
      </c>
      <c r="H48" s="5">
        <v>37523</v>
      </c>
      <c r="I48" s="5">
        <v>0</v>
      </c>
      <c r="J48" s="6">
        <f t="shared" si="0"/>
        <v>37523</v>
      </c>
      <c r="L48" s="18">
        <v>225556</v>
      </c>
      <c r="M48" s="19" t="s">
        <v>16</v>
      </c>
      <c r="N48" s="19" t="s">
        <v>25</v>
      </c>
      <c r="O48" s="19" t="s">
        <v>30</v>
      </c>
      <c r="P48" s="19" t="s">
        <v>19</v>
      </c>
      <c r="Q48" s="19" t="s">
        <v>14</v>
      </c>
      <c r="R48" s="19" t="s">
        <v>15</v>
      </c>
      <c r="S48" s="19">
        <v>73774</v>
      </c>
      <c r="T48" s="77">
        <v>418</v>
      </c>
      <c r="U48" s="20">
        <v>73356</v>
      </c>
    </row>
    <row r="49" spans="1:21">
      <c r="A49" s="5">
        <v>89197</v>
      </c>
      <c r="B49" s="5" t="s">
        <v>10</v>
      </c>
      <c r="C49" s="5" t="s">
        <v>20</v>
      </c>
      <c r="D49" s="5" t="s">
        <v>32</v>
      </c>
      <c r="E49" s="5" t="s">
        <v>13</v>
      </c>
      <c r="F49" s="5" t="s">
        <v>28</v>
      </c>
      <c r="G49" s="5" t="s">
        <v>15</v>
      </c>
      <c r="H49" s="5">
        <v>59910</v>
      </c>
      <c r="I49" s="5">
        <v>21</v>
      </c>
      <c r="J49" s="6">
        <f t="shared" si="0"/>
        <v>59889</v>
      </c>
      <c r="L49" s="21">
        <v>83231</v>
      </c>
      <c r="M49" s="22" t="s">
        <v>10</v>
      </c>
      <c r="N49" s="22" t="s">
        <v>34</v>
      </c>
      <c r="O49" s="22" t="s">
        <v>36</v>
      </c>
      <c r="P49" s="22" t="s">
        <v>13</v>
      </c>
      <c r="Q49" s="22" t="s">
        <v>14</v>
      </c>
      <c r="R49" s="22" t="s">
        <v>15</v>
      </c>
      <c r="S49" s="22">
        <v>66671</v>
      </c>
      <c r="T49" s="78">
        <v>1262</v>
      </c>
      <c r="U49" s="23">
        <v>65409</v>
      </c>
    </row>
    <row r="50" spans="1:21">
      <c r="A50" s="5">
        <v>224846</v>
      </c>
      <c r="B50" s="5" t="s">
        <v>16</v>
      </c>
      <c r="C50" s="5" t="s">
        <v>17</v>
      </c>
      <c r="D50" s="5" t="s">
        <v>30</v>
      </c>
      <c r="E50" s="5" t="s">
        <v>13</v>
      </c>
      <c r="F50" s="5" t="s">
        <v>28</v>
      </c>
      <c r="G50" s="5" t="s">
        <v>24</v>
      </c>
      <c r="H50" s="5">
        <v>66457</v>
      </c>
      <c r="I50" s="5">
        <v>822</v>
      </c>
      <c r="J50" s="6">
        <f t="shared" si="0"/>
        <v>65635</v>
      </c>
      <c r="L50" s="18">
        <v>233525</v>
      </c>
      <c r="M50" s="19" t="s">
        <v>10</v>
      </c>
      <c r="N50" s="19" t="s">
        <v>27</v>
      </c>
      <c r="O50" s="19" t="s">
        <v>32</v>
      </c>
      <c r="P50" s="19" t="s">
        <v>13</v>
      </c>
      <c r="Q50" s="19" t="s">
        <v>14</v>
      </c>
      <c r="R50" s="19" t="s">
        <v>24</v>
      </c>
      <c r="S50" s="19">
        <v>207850</v>
      </c>
      <c r="T50" s="77">
        <v>0</v>
      </c>
      <c r="U50" s="20">
        <v>207850</v>
      </c>
    </row>
    <row r="51" spans="1:21">
      <c r="A51" s="5">
        <v>80813</v>
      </c>
      <c r="B51" s="5" t="s">
        <v>10</v>
      </c>
      <c r="C51" s="5" t="s">
        <v>38</v>
      </c>
      <c r="D51" s="5" t="s">
        <v>32</v>
      </c>
      <c r="E51" s="5" t="s">
        <v>13</v>
      </c>
      <c r="F51" s="5" t="s">
        <v>14</v>
      </c>
      <c r="G51" s="5" t="s">
        <v>15</v>
      </c>
      <c r="H51" s="5">
        <v>10439</v>
      </c>
      <c r="I51" s="5">
        <v>0</v>
      </c>
      <c r="J51" s="6">
        <f t="shared" si="0"/>
        <v>10439</v>
      </c>
      <c r="L51" s="21">
        <v>96904</v>
      </c>
      <c r="M51" s="22" t="s">
        <v>16</v>
      </c>
      <c r="N51" s="22" t="s">
        <v>34</v>
      </c>
      <c r="O51" s="22" t="s">
        <v>33</v>
      </c>
      <c r="P51" s="22" t="s">
        <v>13</v>
      </c>
      <c r="Q51" s="22" t="s">
        <v>14</v>
      </c>
      <c r="R51" s="22" t="s">
        <v>15</v>
      </c>
      <c r="S51" s="22">
        <v>77899</v>
      </c>
      <c r="T51" s="78">
        <v>2867</v>
      </c>
      <c r="U51" s="23">
        <v>75032</v>
      </c>
    </row>
    <row r="52" spans="1:21">
      <c r="A52" s="5">
        <v>226711</v>
      </c>
      <c r="B52" s="5" t="s">
        <v>16</v>
      </c>
      <c r="C52" s="5" t="s">
        <v>25</v>
      </c>
      <c r="D52" s="5" t="s">
        <v>12</v>
      </c>
      <c r="E52" s="5" t="s">
        <v>13</v>
      </c>
      <c r="F52" s="5" t="s">
        <v>28</v>
      </c>
      <c r="G52" s="5" t="s">
        <v>15</v>
      </c>
      <c r="H52" s="5">
        <v>21969</v>
      </c>
      <c r="I52" s="5">
        <v>8136</v>
      </c>
      <c r="J52" s="6">
        <f t="shared" si="0"/>
        <v>13833</v>
      </c>
      <c r="L52" s="18">
        <v>228625</v>
      </c>
      <c r="M52" s="19" t="s">
        <v>10</v>
      </c>
      <c r="N52" s="19" t="s">
        <v>22</v>
      </c>
      <c r="O52" s="19" t="s">
        <v>23</v>
      </c>
      <c r="P52" s="19" t="s">
        <v>19</v>
      </c>
      <c r="Q52" s="19" t="s">
        <v>14</v>
      </c>
      <c r="R52" s="19" t="s">
        <v>15</v>
      </c>
      <c r="S52" s="19">
        <v>13399</v>
      </c>
      <c r="T52" s="77">
        <v>903</v>
      </c>
      <c r="U52" s="20">
        <v>12496</v>
      </c>
    </row>
    <row r="53" spans="1:21">
      <c r="A53" s="5">
        <v>249509</v>
      </c>
      <c r="B53" s="5" t="s">
        <v>10</v>
      </c>
      <c r="C53" s="5" t="s">
        <v>25</v>
      </c>
      <c r="D53" s="5" t="s">
        <v>30</v>
      </c>
      <c r="E53" s="5" t="s">
        <v>19</v>
      </c>
      <c r="F53" s="5" t="s">
        <v>14</v>
      </c>
      <c r="G53" s="5" t="s">
        <v>15</v>
      </c>
      <c r="H53" s="5">
        <v>54325</v>
      </c>
      <c r="I53" s="5">
        <v>1121</v>
      </c>
      <c r="J53" s="6">
        <f t="shared" si="0"/>
        <v>53204</v>
      </c>
      <c r="L53" s="21">
        <v>226060</v>
      </c>
      <c r="M53" s="22" t="s">
        <v>10</v>
      </c>
      <c r="N53" s="22" t="s">
        <v>17</v>
      </c>
      <c r="O53" s="22" t="s">
        <v>21</v>
      </c>
      <c r="P53" s="22" t="s">
        <v>13</v>
      </c>
      <c r="Q53" s="22" t="s">
        <v>14</v>
      </c>
      <c r="R53" s="22" t="s">
        <v>15</v>
      </c>
      <c r="S53" s="22">
        <v>38149</v>
      </c>
      <c r="T53" s="78">
        <v>1366</v>
      </c>
      <c r="U53" s="23">
        <v>36783</v>
      </c>
    </row>
    <row r="54" spans="1:21">
      <c r="A54" s="5">
        <v>98339</v>
      </c>
      <c r="B54" s="5" t="s">
        <v>16</v>
      </c>
      <c r="C54" s="5" t="s">
        <v>11</v>
      </c>
      <c r="D54" s="5" t="s">
        <v>12</v>
      </c>
      <c r="E54" s="5" t="s">
        <v>13</v>
      </c>
      <c r="F54" s="5" t="s">
        <v>14</v>
      </c>
      <c r="G54" s="5" t="s">
        <v>15</v>
      </c>
      <c r="H54" s="5">
        <v>98107</v>
      </c>
      <c r="I54" s="5">
        <v>860</v>
      </c>
      <c r="J54" s="6">
        <f t="shared" si="0"/>
        <v>97247</v>
      </c>
      <c r="L54" s="18">
        <v>165540</v>
      </c>
      <c r="M54" s="19" t="s">
        <v>16</v>
      </c>
      <c r="N54" s="19" t="s">
        <v>35</v>
      </c>
      <c r="O54" s="19" t="s">
        <v>36</v>
      </c>
      <c r="P54" s="19" t="s">
        <v>13</v>
      </c>
      <c r="Q54" s="19" t="s">
        <v>14</v>
      </c>
      <c r="R54" s="19" t="s">
        <v>24</v>
      </c>
      <c r="S54" s="19">
        <v>45490</v>
      </c>
      <c r="T54" s="77">
        <v>0</v>
      </c>
      <c r="U54" s="20">
        <v>45490</v>
      </c>
    </row>
    <row r="55" spans="1:21">
      <c r="A55" s="5">
        <v>222425</v>
      </c>
      <c r="B55" s="5" t="s">
        <v>10</v>
      </c>
      <c r="C55" s="5" t="s">
        <v>27</v>
      </c>
      <c r="D55" s="5" t="s">
        <v>30</v>
      </c>
      <c r="E55" s="5" t="s">
        <v>13</v>
      </c>
      <c r="F55" s="5" t="s">
        <v>28</v>
      </c>
      <c r="G55" s="5" t="s">
        <v>15</v>
      </c>
      <c r="H55" s="5">
        <v>79237</v>
      </c>
      <c r="I55" s="5">
        <v>785</v>
      </c>
      <c r="J55" s="6">
        <f t="shared" si="0"/>
        <v>78452</v>
      </c>
      <c r="L55" s="21">
        <v>25300</v>
      </c>
      <c r="M55" s="22" t="s">
        <v>16</v>
      </c>
      <c r="N55" s="22" t="s">
        <v>35</v>
      </c>
      <c r="O55" s="22" t="s">
        <v>36</v>
      </c>
      <c r="P55" s="22" t="s">
        <v>13</v>
      </c>
      <c r="Q55" s="22" t="s">
        <v>14</v>
      </c>
      <c r="R55" s="22" t="s">
        <v>24</v>
      </c>
      <c r="S55" s="22">
        <v>39061</v>
      </c>
      <c r="T55" s="78">
        <v>6416</v>
      </c>
      <c r="U55" s="23">
        <v>32645</v>
      </c>
    </row>
    <row r="56" spans="1:21">
      <c r="A56" s="5">
        <v>107732</v>
      </c>
      <c r="B56" s="5" t="s">
        <v>10</v>
      </c>
      <c r="C56" s="5" t="s">
        <v>22</v>
      </c>
      <c r="D56" s="5" t="s">
        <v>12</v>
      </c>
      <c r="E56" s="5" t="s">
        <v>13</v>
      </c>
      <c r="F56" s="5" t="s">
        <v>28</v>
      </c>
      <c r="G56" s="5" t="s">
        <v>15</v>
      </c>
      <c r="H56" s="5">
        <v>71800</v>
      </c>
      <c r="I56" s="5">
        <v>2664</v>
      </c>
      <c r="J56" s="6">
        <f t="shared" si="0"/>
        <v>69136</v>
      </c>
      <c r="L56" s="18">
        <v>3282</v>
      </c>
      <c r="M56" s="19" t="s">
        <v>10</v>
      </c>
      <c r="N56" s="19" t="s">
        <v>37</v>
      </c>
      <c r="O56" s="19" t="s">
        <v>23</v>
      </c>
      <c r="P56" s="19" t="s">
        <v>13</v>
      </c>
      <c r="Q56" s="19" t="s">
        <v>14</v>
      </c>
      <c r="R56" s="19" t="s">
        <v>15</v>
      </c>
      <c r="S56" s="19">
        <v>65209</v>
      </c>
      <c r="T56" s="77">
        <v>5368</v>
      </c>
      <c r="U56" s="20">
        <v>59841</v>
      </c>
    </row>
    <row r="57" spans="1:21">
      <c r="A57" s="5">
        <v>69724</v>
      </c>
      <c r="B57" s="5" t="s">
        <v>16</v>
      </c>
      <c r="C57" s="5" t="s">
        <v>35</v>
      </c>
      <c r="D57" s="5" t="s">
        <v>32</v>
      </c>
      <c r="E57" s="5" t="s">
        <v>13</v>
      </c>
      <c r="F57" s="5" t="s">
        <v>14</v>
      </c>
      <c r="G57" s="5" t="s">
        <v>15</v>
      </c>
      <c r="H57" s="5">
        <v>744</v>
      </c>
      <c r="I57" s="5">
        <v>37</v>
      </c>
      <c r="J57" s="6">
        <f t="shared" si="0"/>
        <v>707</v>
      </c>
      <c r="L57" s="21">
        <v>103799</v>
      </c>
      <c r="M57" s="22" t="s">
        <v>16</v>
      </c>
      <c r="N57" s="22" t="s">
        <v>27</v>
      </c>
      <c r="O57" s="22" t="s">
        <v>33</v>
      </c>
      <c r="P57" s="22" t="s">
        <v>19</v>
      </c>
      <c r="Q57" s="22" t="s">
        <v>14</v>
      </c>
      <c r="R57" s="22" t="s">
        <v>24</v>
      </c>
      <c r="S57" s="22">
        <v>115567</v>
      </c>
      <c r="T57" s="78">
        <v>1454</v>
      </c>
      <c r="U57" s="23">
        <v>114113</v>
      </c>
    </row>
    <row r="58" spans="1:21">
      <c r="A58" s="5">
        <v>135040</v>
      </c>
      <c r="B58" s="5" t="s">
        <v>10</v>
      </c>
      <c r="C58" s="5" t="s">
        <v>11</v>
      </c>
      <c r="D58" s="5" t="s">
        <v>12</v>
      </c>
      <c r="E58" s="5" t="s">
        <v>13</v>
      </c>
      <c r="F58" s="5" t="s">
        <v>14</v>
      </c>
      <c r="G58" s="5" t="s">
        <v>15</v>
      </c>
      <c r="H58" s="5">
        <v>132544</v>
      </c>
      <c r="I58" s="5">
        <v>21465</v>
      </c>
      <c r="J58" s="6">
        <f t="shared" si="0"/>
        <v>111079</v>
      </c>
      <c r="L58" s="18">
        <v>256186</v>
      </c>
      <c r="M58" s="19" t="s">
        <v>10</v>
      </c>
      <c r="N58" s="19" t="s">
        <v>17</v>
      </c>
      <c r="O58" s="19" t="s">
        <v>29</v>
      </c>
      <c r="P58" s="19" t="s">
        <v>19</v>
      </c>
      <c r="Q58" s="19" t="s">
        <v>14</v>
      </c>
      <c r="R58" s="19" t="s">
        <v>24</v>
      </c>
      <c r="S58" s="19">
        <v>38984</v>
      </c>
      <c r="T58" s="77">
        <v>752</v>
      </c>
      <c r="U58" s="20">
        <v>38232</v>
      </c>
    </row>
    <row r="59" spans="1:21">
      <c r="A59" s="5">
        <v>225556</v>
      </c>
      <c r="B59" s="5" t="s">
        <v>16</v>
      </c>
      <c r="C59" s="5" t="s">
        <v>25</v>
      </c>
      <c r="D59" s="5" t="s">
        <v>30</v>
      </c>
      <c r="E59" s="5" t="s">
        <v>19</v>
      </c>
      <c r="F59" s="5" t="s">
        <v>14</v>
      </c>
      <c r="G59" s="5" t="s">
        <v>15</v>
      </c>
      <c r="H59" s="5">
        <v>73774</v>
      </c>
      <c r="I59" s="5">
        <v>418</v>
      </c>
      <c r="J59" s="6">
        <f t="shared" si="0"/>
        <v>73356</v>
      </c>
      <c r="L59" s="21">
        <v>164959</v>
      </c>
      <c r="M59" s="22" t="s">
        <v>16</v>
      </c>
      <c r="N59" s="22" t="s">
        <v>25</v>
      </c>
      <c r="O59" s="22" t="s">
        <v>26</v>
      </c>
      <c r="P59" s="22" t="s">
        <v>19</v>
      </c>
      <c r="Q59" s="22" t="s">
        <v>14</v>
      </c>
      <c r="R59" s="22" t="s">
        <v>24</v>
      </c>
      <c r="S59" s="22">
        <v>12417</v>
      </c>
      <c r="T59" s="78">
        <v>0</v>
      </c>
      <c r="U59" s="23">
        <v>12417</v>
      </c>
    </row>
    <row r="60" spans="1:21">
      <c r="A60" s="5">
        <v>83231</v>
      </c>
      <c r="B60" s="5" t="s">
        <v>10</v>
      </c>
      <c r="C60" s="5" t="s">
        <v>34</v>
      </c>
      <c r="D60" s="5" t="s">
        <v>36</v>
      </c>
      <c r="E60" s="5" t="s">
        <v>13</v>
      </c>
      <c r="F60" s="5" t="s">
        <v>14</v>
      </c>
      <c r="G60" s="5" t="s">
        <v>15</v>
      </c>
      <c r="H60" s="5">
        <v>66671</v>
      </c>
      <c r="I60" s="5">
        <v>1262</v>
      </c>
      <c r="J60" s="6">
        <f t="shared" si="0"/>
        <v>65409</v>
      </c>
      <c r="L60" s="18">
        <v>74035</v>
      </c>
      <c r="M60" s="19" t="s">
        <v>10</v>
      </c>
      <c r="N60" s="19" t="s">
        <v>34</v>
      </c>
      <c r="O60" s="19" t="s">
        <v>32</v>
      </c>
      <c r="P60" s="19" t="s">
        <v>19</v>
      </c>
      <c r="Q60" s="19" t="s">
        <v>14</v>
      </c>
      <c r="R60" s="19" t="s">
        <v>15</v>
      </c>
      <c r="S60" s="19">
        <v>26987</v>
      </c>
      <c r="T60" s="77">
        <v>0</v>
      </c>
      <c r="U60" s="20">
        <v>26987</v>
      </c>
    </row>
    <row r="61" spans="1:21">
      <c r="A61" s="5">
        <v>233525</v>
      </c>
      <c r="B61" s="5" t="s">
        <v>10</v>
      </c>
      <c r="C61" s="5" t="s">
        <v>27</v>
      </c>
      <c r="D61" s="5" t="s">
        <v>32</v>
      </c>
      <c r="E61" s="5" t="s">
        <v>13</v>
      </c>
      <c r="F61" s="5" t="s">
        <v>14</v>
      </c>
      <c r="G61" s="5" t="s">
        <v>24</v>
      </c>
      <c r="H61" s="5">
        <v>207850</v>
      </c>
      <c r="I61" s="5">
        <v>0</v>
      </c>
      <c r="J61" s="6">
        <f t="shared" si="0"/>
        <v>207850</v>
      </c>
      <c r="L61" s="21">
        <v>57323</v>
      </c>
      <c r="M61" s="22" t="s">
        <v>10</v>
      </c>
      <c r="N61" s="22" t="s">
        <v>35</v>
      </c>
      <c r="O61" s="22" t="s">
        <v>32</v>
      </c>
      <c r="P61" s="22" t="s">
        <v>19</v>
      </c>
      <c r="Q61" s="22" t="s">
        <v>14</v>
      </c>
      <c r="R61" s="22" t="s">
        <v>15</v>
      </c>
      <c r="S61" s="22">
        <v>7401</v>
      </c>
      <c r="T61" s="78">
        <v>164</v>
      </c>
      <c r="U61" s="23">
        <v>7237</v>
      </c>
    </row>
    <row r="62" spans="1:21">
      <c r="A62" s="5">
        <v>240008</v>
      </c>
      <c r="B62" s="5" t="s">
        <v>16</v>
      </c>
      <c r="C62" s="5" t="s">
        <v>27</v>
      </c>
      <c r="D62" s="5" t="s">
        <v>12</v>
      </c>
      <c r="E62" s="5" t="s">
        <v>13</v>
      </c>
      <c r="F62" s="5" t="s">
        <v>28</v>
      </c>
      <c r="G62" s="5" t="s">
        <v>15</v>
      </c>
      <c r="H62" s="5">
        <v>35404</v>
      </c>
      <c r="I62" s="5">
        <v>366</v>
      </c>
      <c r="J62" s="6">
        <f t="shared" si="0"/>
        <v>35038</v>
      </c>
      <c r="L62" s="18">
        <v>83104</v>
      </c>
      <c r="M62" s="19" t="s">
        <v>10</v>
      </c>
      <c r="N62" s="19" t="s">
        <v>37</v>
      </c>
      <c r="O62" s="19" t="s">
        <v>32</v>
      </c>
      <c r="P62" s="19" t="s">
        <v>13</v>
      </c>
      <c r="Q62" s="19" t="s">
        <v>14</v>
      </c>
      <c r="R62" s="19" t="s">
        <v>15</v>
      </c>
      <c r="S62" s="19">
        <v>48152</v>
      </c>
      <c r="T62" s="77">
        <v>5730</v>
      </c>
      <c r="U62" s="20">
        <v>42422</v>
      </c>
    </row>
    <row r="63" spans="1:21">
      <c r="A63" s="5">
        <v>96904</v>
      </c>
      <c r="B63" s="5" t="s">
        <v>16</v>
      </c>
      <c r="C63" s="5" t="s">
        <v>34</v>
      </c>
      <c r="D63" s="5" t="s">
        <v>33</v>
      </c>
      <c r="E63" s="5" t="s">
        <v>13</v>
      </c>
      <c r="F63" s="5" t="s">
        <v>14</v>
      </c>
      <c r="G63" s="5" t="s">
        <v>15</v>
      </c>
      <c r="H63" s="5">
        <v>77899</v>
      </c>
      <c r="I63" s="5">
        <v>2867</v>
      </c>
      <c r="J63" s="6">
        <f t="shared" si="0"/>
        <v>75032</v>
      </c>
      <c r="L63" s="21">
        <v>70733</v>
      </c>
      <c r="M63" s="22" t="s">
        <v>16</v>
      </c>
      <c r="N63" s="22" t="s">
        <v>17</v>
      </c>
      <c r="O63" s="22" t="s">
        <v>33</v>
      </c>
      <c r="P63" s="22" t="s">
        <v>19</v>
      </c>
      <c r="Q63" s="22" t="s">
        <v>14</v>
      </c>
      <c r="R63" s="22" t="s">
        <v>15</v>
      </c>
      <c r="S63" s="22">
        <v>116422</v>
      </c>
      <c r="T63" s="78">
        <v>78</v>
      </c>
      <c r="U63" s="23">
        <v>116344</v>
      </c>
    </row>
    <row r="64" spans="1:21">
      <c r="A64" s="5">
        <v>170416</v>
      </c>
      <c r="B64" s="5" t="s">
        <v>16</v>
      </c>
      <c r="C64" s="5" t="s">
        <v>35</v>
      </c>
      <c r="D64" s="5" t="s">
        <v>30</v>
      </c>
      <c r="E64" s="5" t="s">
        <v>13</v>
      </c>
      <c r="F64" s="5" t="s">
        <v>28</v>
      </c>
      <c r="G64" s="5" t="s">
        <v>15</v>
      </c>
      <c r="H64" s="5">
        <v>113671</v>
      </c>
      <c r="I64" s="5">
        <v>1610</v>
      </c>
      <c r="J64" s="6">
        <f t="shared" si="0"/>
        <v>112061</v>
      </c>
      <c r="L64" s="18">
        <v>97914</v>
      </c>
      <c r="M64" s="19" t="s">
        <v>16</v>
      </c>
      <c r="N64" s="19" t="s">
        <v>20</v>
      </c>
      <c r="O64" s="19" t="s">
        <v>21</v>
      </c>
      <c r="P64" s="19" t="s">
        <v>19</v>
      </c>
      <c r="Q64" s="19" t="s">
        <v>14</v>
      </c>
      <c r="R64" s="19" t="s">
        <v>24</v>
      </c>
      <c r="S64" s="19">
        <v>40149</v>
      </c>
      <c r="T64" s="77">
        <v>927</v>
      </c>
      <c r="U64" s="20">
        <v>39222</v>
      </c>
    </row>
    <row r="65" spans="1:21">
      <c r="A65" s="5">
        <v>176406</v>
      </c>
      <c r="B65" s="5" t="s">
        <v>10</v>
      </c>
      <c r="C65" s="5" t="s">
        <v>17</v>
      </c>
      <c r="D65" s="5" t="s">
        <v>26</v>
      </c>
      <c r="E65" s="5" t="s">
        <v>19</v>
      </c>
      <c r="F65" s="5" t="s">
        <v>28</v>
      </c>
      <c r="G65" s="5" t="s">
        <v>24</v>
      </c>
      <c r="H65" s="5">
        <v>34495</v>
      </c>
      <c r="I65" s="5">
        <v>141</v>
      </c>
      <c r="J65" s="6">
        <f t="shared" si="0"/>
        <v>34354</v>
      </c>
      <c r="L65" s="21">
        <v>139001</v>
      </c>
      <c r="M65" s="22" t="s">
        <v>16</v>
      </c>
      <c r="N65" s="22" t="s">
        <v>25</v>
      </c>
      <c r="O65" s="22" t="s">
        <v>12</v>
      </c>
      <c r="P65" s="22" t="s">
        <v>13</v>
      </c>
      <c r="Q65" s="22" t="s">
        <v>14</v>
      </c>
      <c r="R65" s="22" t="s">
        <v>24</v>
      </c>
      <c r="S65" s="22">
        <v>10157</v>
      </c>
      <c r="T65" s="78">
        <v>1205</v>
      </c>
      <c r="U65" s="23">
        <v>8952</v>
      </c>
    </row>
    <row r="66" spans="1:21">
      <c r="A66" s="5">
        <v>228625</v>
      </c>
      <c r="B66" s="5" t="s">
        <v>10</v>
      </c>
      <c r="C66" s="5" t="s">
        <v>22</v>
      </c>
      <c r="D66" s="5" t="s">
        <v>23</v>
      </c>
      <c r="E66" s="5" t="s">
        <v>19</v>
      </c>
      <c r="F66" s="5" t="s">
        <v>14</v>
      </c>
      <c r="G66" s="5" t="s">
        <v>15</v>
      </c>
      <c r="H66" s="5">
        <v>13399</v>
      </c>
      <c r="I66" s="5">
        <v>903</v>
      </c>
      <c r="J66" s="6">
        <f t="shared" ref="J66:J129" si="1">H66-I66</f>
        <v>12496</v>
      </c>
      <c r="L66" s="18">
        <v>3096</v>
      </c>
      <c r="M66" s="19" t="s">
        <v>16</v>
      </c>
      <c r="N66" s="19" t="s">
        <v>37</v>
      </c>
      <c r="O66" s="19" t="s">
        <v>30</v>
      </c>
      <c r="P66" s="19" t="s">
        <v>13</v>
      </c>
      <c r="Q66" s="19" t="s">
        <v>14</v>
      </c>
      <c r="R66" s="19" t="s">
        <v>15</v>
      </c>
      <c r="S66" s="19">
        <v>105262</v>
      </c>
      <c r="T66" s="77">
        <v>1808</v>
      </c>
      <c r="U66" s="20">
        <v>103454</v>
      </c>
    </row>
    <row r="67" spans="1:21">
      <c r="A67" s="5">
        <v>226060</v>
      </c>
      <c r="B67" s="5" t="s">
        <v>10</v>
      </c>
      <c r="C67" s="5" t="s">
        <v>17</v>
      </c>
      <c r="D67" s="5" t="s">
        <v>21</v>
      </c>
      <c r="E67" s="5" t="s">
        <v>13</v>
      </c>
      <c r="F67" s="5" t="s">
        <v>14</v>
      </c>
      <c r="G67" s="5" t="s">
        <v>15</v>
      </c>
      <c r="H67" s="5">
        <v>38149</v>
      </c>
      <c r="I67" s="5">
        <v>1366</v>
      </c>
      <c r="J67" s="6">
        <f t="shared" si="1"/>
        <v>36783</v>
      </c>
      <c r="L67" s="21">
        <v>228574</v>
      </c>
      <c r="M67" s="22" t="s">
        <v>16</v>
      </c>
      <c r="N67" s="22" t="s">
        <v>27</v>
      </c>
      <c r="O67" s="22" t="s">
        <v>29</v>
      </c>
      <c r="P67" s="22" t="s">
        <v>19</v>
      </c>
      <c r="Q67" s="22" t="s">
        <v>14</v>
      </c>
      <c r="R67" s="22" t="s">
        <v>24</v>
      </c>
      <c r="S67" s="22">
        <v>47980</v>
      </c>
      <c r="T67" s="78">
        <v>829</v>
      </c>
      <c r="U67" s="23">
        <v>47151</v>
      </c>
    </row>
    <row r="68" spans="1:21">
      <c r="A68" s="5">
        <v>165540</v>
      </c>
      <c r="B68" s="5" t="s">
        <v>16</v>
      </c>
      <c r="C68" s="5" t="s">
        <v>35</v>
      </c>
      <c r="D68" s="5" t="s">
        <v>36</v>
      </c>
      <c r="E68" s="5" t="s">
        <v>13</v>
      </c>
      <c r="F68" s="5" t="s">
        <v>14</v>
      </c>
      <c r="G68" s="5" t="s">
        <v>24</v>
      </c>
      <c r="H68" s="5">
        <v>45490</v>
      </c>
      <c r="I68" s="5">
        <v>0</v>
      </c>
      <c r="J68" s="6">
        <f t="shared" si="1"/>
        <v>45490</v>
      </c>
      <c r="L68" s="18">
        <v>212571</v>
      </c>
      <c r="M68" s="19" t="s">
        <v>16</v>
      </c>
      <c r="N68" s="19" t="s">
        <v>37</v>
      </c>
      <c r="O68" s="19" t="s">
        <v>30</v>
      </c>
      <c r="P68" s="19" t="s">
        <v>13</v>
      </c>
      <c r="Q68" s="19" t="s">
        <v>14</v>
      </c>
      <c r="R68" s="19" t="s">
        <v>15</v>
      </c>
      <c r="S68" s="19">
        <v>98086</v>
      </c>
      <c r="T68" s="77">
        <v>7636</v>
      </c>
      <c r="U68" s="20">
        <v>90450</v>
      </c>
    </row>
    <row r="69" spans="1:21">
      <c r="A69" s="5">
        <v>25300</v>
      </c>
      <c r="B69" s="5" t="s">
        <v>16</v>
      </c>
      <c r="C69" s="5" t="s">
        <v>35</v>
      </c>
      <c r="D69" s="5" t="s">
        <v>36</v>
      </c>
      <c r="E69" s="5" t="s">
        <v>13</v>
      </c>
      <c r="F69" s="5" t="s">
        <v>14</v>
      </c>
      <c r="G69" s="5" t="s">
        <v>24</v>
      </c>
      <c r="H69" s="5">
        <v>39061</v>
      </c>
      <c r="I69" s="5">
        <v>6416</v>
      </c>
      <c r="J69" s="6">
        <f t="shared" si="1"/>
        <v>32645</v>
      </c>
      <c r="L69" s="21">
        <v>81717</v>
      </c>
      <c r="M69" s="22" t="s">
        <v>10</v>
      </c>
      <c r="N69" s="22" t="s">
        <v>20</v>
      </c>
      <c r="O69" s="22" t="s">
        <v>32</v>
      </c>
      <c r="P69" s="22" t="s">
        <v>13</v>
      </c>
      <c r="Q69" s="22" t="s">
        <v>14</v>
      </c>
      <c r="R69" s="22" t="s">
        <v>15</v>
      </c>
      <c r="S69" s="22">
        <v>73677</v>
      </c>
      <c r="T69" s="78">
        <v>703</v>
      </c>
      <c r="U69" s="23">
        <v>72974</v>
      </c>
    </row>
    <row r="70" spans="1:21">
      <c r="A70" s="5">
        <v>3282</v>
      </c>
      <c r="B70" s="5" t="s">
        <v>10</v>
      </c>
      <c r="C70" s="5" t="s">
        <v>37</v>
      </c>
      <c r="D70" s="5" t="s">
        <v>23</v>
      </c>
      <c r="E70" s="5" t="s">
        <v>13</v>
      </c>
      <c r="F70" s="5" t="s">
        <v>14</v>
      </c>
      <c r="G70" s="5" t="s">
        <v>15</v>
      </c>
      <c r="H70" s="5">
        <v>65209</v>
      </c>
      <c r="I70" s="5">
        <v>5368</v>
      </c>
      <c r="J70" s="6">
        <f t="shared" si="1"/>
        <v>59841</v>
      </c>
      <c r="L70" s="18">
        <v>179326</v>
      </c>
      <c r="M70" s="19" t="s">
        <v>10</v>
      </c>
      <c r="N70" s="19" t="s">
        <v>17</v>
      </c>
      <c r="O70" s="19" t="s">
        <v>36</v>
      </c>
      <c r="P70" s="19" t="s">
        <v>19</v>
      </c>
      <c r="Q70" s="19" t="s">
        <v>14</v>
      </c>
      <c r="R70" s="19" t="s">
        <v>15</v>
      </c>
      <c r="S70" s="19">
        <v>46978</v>
      </c>
      <c r="T70" s="77">
        <v>8353</v>
      </c>
      <c r="U70" s="20">
        <v>38625</v>
      </c>
    </row>
    <row r="71" spans="1:21">
      <c r="A71" s="5">
        <v>103799</v>
      </c>
      <c r="B71" s="5" t="s">
        <v>16</v>
      </c>
      <c r="C71" s="5" t="s">
        <v>27</v>
      </c>
      <c r="D71" s="5" t="s">
        <v>33</v>
      </c>
      <c r="E71" s="5" t="s">
        <v>19</v>
      </c>
      <c r="F71" s="5" t="s">
        <v>14</v>
      </c>
      <c r="G71" s="5" t="s">
        <v>24</v>
      </c>
      <c r="H71" s="5">
        <v>115567</v>
      </c>
      <c r="I71" s="5">
        <v>1454</v>
      </c>
      <c r="J71" s="6">
        <f t="shared" si="1"/>
        <v>114113</v>
      </c>
      <c r="L71" s="21">
        <v>145200</v>
      </c>
      <c r="M71" s="22" t="s">
        <v>16</v>
      </c>
      <c r="N71" s="22" t="s">
        <v>22</v>
      </c>
      <c r="O71" s="22" t="s">
        <v>26</v>
      </c>
      <c r="P71" s="22" t="s">
        <v>19</v>
      </c>
      <c r="Q71" s="22" t="s">
        <v>14</v>
      </c>
      <c r="R71" s="22" t="s">
        <v>24</v>
      </c>
      <c r="S71" s="22">
        <v>14916</v>
      </c>
      <c r="T71" s="78">
        <v>1197</v>
      </c>
      <c r="U71" s="23">
        <v>13719</v>
      </c>
    </row>
    <row r="72" spans="1:21">
      <c r="A72" s="5">
        <v>256186</v>
      </c>
      <c r="B72" s="5" t="s">
        <v>10</v>
      </c>
      <c r="C72" s="5" t="s">
        <v>17</v>
      </c>
      <c r="D72" s="5" t="s">
        <v>29</v>
      </c>
      <c r="E72" s="5" t="s">
        <v>19</v>
      </c>
      <c r="F72" s="5" t="s">
        <v>14</v>
      </c>
      <c r="G72" s="5" t="s">
        <v>24</v>
      </c>
      <c r="H72" s="5">
        <v>38984</v>
      </c>
      <c r="I72" s="5">
        <v>752</v>
      </c>
      <c r="J72" s="6">
        <f t="shared" si="1"/>
        <v>38232</v>
      </c>
      <c r="L72" s="18">
        <v>162247</v>
      </c>
      <c r="M72" s="19" t="s">
        <v>10</v>
      </c>
      <c r="N72" s="19" t="s">
        <v>34</v>
      </c>
      <c r="O72" s="19" t="s">
        <v>23</v>
      </c>
      <c r="P72" s="19" t="s">
        <v>13</v>
      </c>
      <c r="Q72" s="19" t="s">
        <v>14</v>
      </c>
      <c r="R72" s="19" t="s">
        <v>15</v>
      </c>
      <c r="S72" s="19">
        <v>50419</v>
      </c>
      <c r="T72" s="77">
        <v>1508</v>
      </c>
      <c r="U72" s="20">
        <v>48911</v>
      </c>
    </row>
    <row r="73" spans="1:21">
      <c r="A73" s="5">
        <v>219670</v>
      </c>
      <c r="B73" s="5" t="s">
        <v>10</v>
      </c>
      <c r="C73" s="5" t="s">
        <v>37</v>
      </c>
      <c r="D73" s="5" t="s">
        <v>33</v>
      </c>
      <c r="E73" s="5" t="s">
        <v>19</v>
      </c>
      <c r="F73" s="5" t="s">
        <v>28</v>
      </c>
      <c r="G73" s="5" t="s">
        <v>15</v>
      </c>
      <c r="H73" s="5">
        <v>59711</v>
      </c>
      <c r="I73" s="5">
        <v>0</v>
      </c>
      <c r="J73" s="6">
        <f t="shared" si="1"/>
        <v>59711</v>
      </c>
      <c r="L73" s="21">
        <v>147418</v>
      </c>
      <c r="M73" s="22" t="s">
        <v>10</v>
      </c>
      <c r="N73" s="22" t="s">
        <v>31</v>
      </c>
      <c r="O73" s="22" t="s">
        <v>33</v>
      </c>
      <c r="P73" s="22" t="s">
        <v>19</v>
      </c>
      <c r="Q73" s="22" t="s">
        <v>14</v>
      </c>
      <c r="R73" s="22" t="s">
        <v>15</v>
      </c>
      <c r="S73" s="22">
        <v>92452</v>
      </c>
      <c r="T73" s="78">
        <v>141</v>
      </c>
      <c r="U73" s="23">
        <v>92311</v>
      </c>
    </row>
    <row r="74" spans="1:21">
      <c r="A74" s="5">
        <v>164959</v>
      </c>
      <c r="B74" s="5" t="s">
        <v>16</v>
      </c>
      <c r="C74" s="5" t="s">
        <v>25</v>
      </c>
      <c r="D74" s="5" t="s">
        <v>26</v>
      </c>
      <c r="E74" s="5" t="s">
        <v>19</v>
      </c>
      <c r="F74" s="5" t="s">
        <v>14</v>
      </c>
      <c r="G74" s="5" t="s">
        <v>24</v>
      </c>
      <c r="H74" s="5">
        <v>12417</v>
      </c>
      <c r="I74" s="5">
        <v>0</v>
      </c>
      <c r="J74" s="6">
        <f t="shared" si="1"/>
        <v>12417</v>
      </c>
      <c r="L74" s="18">
        <v>2760</v>
      </c>
      <c r="M74" s="19" t="s">
        <v>10</v>
      </c>
      <c r="N74" s="19" t="s">
        <v>39</v>
      </c>
      <c r="O74" s="19" t="s">
        <v>32</v>
      </c>
      <c r="P74" s="19" t="s">
        <v>13</v>
      </c>
      <c r="Q74" s="19" t="s">
        <v>14</v>
      </c>
      <c r="R74" s="19" t="s">
        <v>15</v>
      </c>
      <c r="S74" s="19">
        <v>74000</v>
      </c>
      <c r="T74" s="77">
        <v>0</v>
      </c>
      <c r="U74" s="20">
        <v>74000</v>
      </c>
    </row>
    <row r="75" spans="1:21">
      <c r="A75" s="5">
        <v>74035</v>
      </c>
      <c r="B75" s="5" t="s">
        <v>10</v>
      </c>
      <c r="C75" s="5" t="s">
        <v>34</v>
      </c>
      <c r="D75" s="5" t="s">
        <v>32</v>
      </c>
      <c r="E75" s="5" t="s">
        <v>19</v>
      </c>
      <c r="F75" s="5" t="s">
        <v>14</v>
      </c>
      <c r="G75" s="5" t="s">
        <v>15</v>
      </c>
      <c r="H75" s="5">
        <v>26987</v>
      </c>
      <c r="I75" s="5">
        <v>0</v>
      </c>
      <c r="J75" s="6">
        <f t="shared" si="1"/>
        <v>26987</v>
      </c>
      <c r="L75" s="21">
        <v>210385</v>
      </c>
      <c r="M75" s="22" t="s">
        <v>10</v>
      </c>
      <c r="N75" s="22" t="s">
        <v>37</v>
      </c>
      <c r="O75" s="22" t="s">
        <v>32</v>
      </c>
      <c r="P75" s="22" t="s">
        <v>13</v>
      </c>
      <c r="Q75" s="22" t="s">
        <v>14</v>
      </c>
      <c r="R75" s="22" t="s">
        <v>15</v>
      </c>
      <c r="S75" s="22">
        <v>17707</v>
      </c>
      <c r="T75" s="78">
        <v>0</v>
      </c>
      <c r="U75" s="23">
        <v>17707</v>
      </c>
    </row>
    <row r="76" spans="1:21">
      <c r="A76" s="5">
        <v>57323</v>
      </c>
      <c r="B76" s="5" t="s">
        <v>10</v>
      </c>
      <c r="C76" s="5" t="s">
        <v>35</v>
      </c>
      <c r="D76" s="5" t="s">
        <v>32</v>
      </c>
      <c r="E76" s="5" t="s">
        <v>19</v>
      </c>
      <c r="F76" s="5" t="s">
        <v>14</v>
      </c>
      <c r="G76" s="5" t="s">
        <v>15</v>
      </c>
      <c r="H76" s="5">
        <v>7401</v>
      </c>
      <c r="I76" s="5">
        <v>164</v>
      </c>
      <c r="J76" s="6">
        <f t="shared" si="1"/>
        <v>7237</v>
      </c>
      <c r="L76" s="18">
        <v>24750</v>
      </c>
      <c r="M76" s="19" t="s">
        <v>16</v>
      </c>
      <c r="N76" s="19" t="s">
        <v>37</v>
      </c>
      <c r="O76" s="19" t="s">
        <v>30</v>
      </c>
      <c r="P76" s="19" t="s">
        <v>19</v>
      </c>
      <c r="Q76" s="19" t="s">
        <v>14</v>
      </c>
      <c r="R76" s="19" t="s">
        <v>24</v>
      </c>
      <c r="S76" s="19">
        <v>64774</v>
      </c>
      <c r="T76" s="77">
        <v>1858</v>
      </c>
      <c r="U76" s="20">
        <v>62916</v>
      </c>
    </row>
    <row r="77" spans="1:21">
      <c r="A77" s="5">
        <v>205631</v>
      </c>
      <c r="B77" s="5" t="s">
        <v>16</v>
      </c>
      <c r="C77" s="5" t="s">
        <v>20</v>
      </c>
      <c r="D77" s="5" t="s">
        <v>32</v>
      </c>
      <c r="E77" s="5" t="s">
        <v>19</v>
      </c>
      <c r="F77" s="5" t="s">
        <v>28</v>
      </c>
      <c r="G77" s="5" t="s">
        <v>24</v>
      </c>
      <c r="H77" s="5">
        <v>395</v>
      </c>
      <c r="I77" s="5">
        <v>0</v>
      </c>
      <c r="J77" s="6">
        <f t="shared" si="1"/>
        <v>395</v>
      </c>
      <c r="L77" s="21">
        <v>66360</v>
      </c>
      <c r="M77" s="22" t="s">
        <v>10</v>
      </c>
      <c r="N77" s="22" t="s">
        <v>27</v>
      </c>
      <c r="O77" s="22" t="s">
        <v>23</v>
      </c>
      <c r="P77" s="22" t="s">
        <v>13</v>
      </c>
      <c r="Q77" s="22" t="s">
        <v>14</v>
      </c>
      <c r="R77" s="22" t="s">
        <v>24</v>
      </c>
      <c r="S77" s="22">
        <v>88783</v>
      </c>
      <c r="T77" s="78">
        <v>6099</v>
      </c>
      <c r="U77" s="23">
        <v>82684</v>
      </c>
    </row>
    <row r="78" spans="1:21">
      <c r="A78" s="5">
        <v>83104</v>
      </c>
      <c r="B78" s="5" t="s">
        <v>10</v>
      </c>
      <c r="C78" s="5" t="s">
        <v>37</v>
      </c>
      <c r="D78" s="5" t="s">
        <v>32</v>
      </c>
      <c r="E78" s="5" t="s">
        <v>13</v>
      </c>
      <c r="F78" s="5" t="s">
        <v>14</v>
      </c>
      <c r="G78" s="5" t="s">
        <v>15</v>
      </c>
      <c r="H78" s="5">
        <v>48152</v>
      </c>
      <c r="I78" s="5">
        <v>5730</v>
      </c>
      <c r="J78" s="6">
        <f t="shared" si="1"/>
        <v>42422</v>
      </c>
      <c r="L78" s="18">
        <v>39226</v>
      </c>
      <c r="M78" s="19" t="s">
        <v>16</v>
      </c>
      <c r="N78" s="19" t="s">
        <v>34</v>
      </c>
      <c r="O78" s="19" t="s">
        <v>30</v>
      </c>
      <c r="P78" s="19" t="s">
        <v>13</v>
      </c>
      <c r="Q78" s="19" t="s">
        <v>14</v>
      </c>
      <c r="R78" s="19" t="s">
        <v>15</v>
      </c>
      <c r="S78" s="19">
        <v>37583</v>
      </c>
      <c r="T78" s="77">
        <v>9783</v>
      </c>
      <c r="U78" s="20">
        <v>27800</v>
      </c>
    </row>
    <row r="79" spans="1:21">
      <c r="A79" s="5">
        <v>70733</v>
      </c>
      <c r="B79" s="5" t="s">
        <v>16</v>
      </c>
      <c r="C79" s="5" t="s">
        <v>17</v>
      </c>
      <c r="D79" s="5" t="s">
        <v>33</v>
      </c>
      <c r="E79" s="5" t="s">
        <v>19</v>
      </c>
      <c r="F79" s="5" t="s">
        <v>14</v>
      </c>
      <c r="G79" s="5" t="s">
        <v>15</v>
      </c>
      <c r="H79" s="5">
        <v>116422</v>
      </c>
      <c r="I79" s="5">
        <v>78</v>
      </c>
      <c r="J79" s="6">
        <f t="shared" si="1"/>
        <v>116344</v>
      </c>
      <c r="L79" s="21">
        <v>20067</v>
      </c>
      <c r="M79" s="22" t="s">
        <v>16</v>
      </c>
      <c r="N79" s="22" t="s">
        <v>11</v>
      </c>
      <c r="O79" s="22" t="s">
        <v>30</v>
      </c>
      <c r="P79" s="22" t="s">
        <v>13</v>
      </c>
      <c r="Q79" s="22" t="s">
        <v>14</v>
      </c>
      <c r="R79" s="22" t="s">
        <v>24</v>
      </c>
      <c r="S79" s="22">
        <v>81937</v>
      </c>
      <c r="T79" s="78">
        <v>3496</v>
      </c>
      <c r="U79" s="23">
        <v>78441</v>
      </c>
    </row>
    <row r="80" spans="1:21">
      <c r="A80" s="5">
        <v>97914</v>
      </c>
      <c r="B80" s="5" t="s">
        <v>16</v>
      </c>
      <c r="C80" s="5" t="s">
        <v>20</v>
      </c>
      <c r="D80" s="5" t="s">
        <v>21</v>
      </c>
      <c r="E80" s="5" t="s">
        <v>19</v>
      </c>
      <c r="F80" s="5" t="s">
        <v>14</v>
      </c>
      <c r="G80" s="5" t="s">
        <v>24</v>
      </c>
      <c r="H80" s="5">
        <v>40149</v>
      </c>
      <c r="I80" s="5">
        <v>927</v>
      </c>
      <c r="J80" s="6">
        <f t="shared" si="1"/>
        <v>39222</v>
      </c>
      <c r="L80" s="18">
        <v>235877</v>
      </c>
      <c r="M80" s="19" t="s">
        <v>10</v>
      </c>
      <c r="N80" s="19" t="s">
        <v>31</v>
      </c>
      <c r="O80" s="19" t="s">
        <v>32</v>
      </c>
      <c r="P80" s="19" t="s">
        <v>19</v>
      </c>
      <c r="Q80" s="19" t="s">
        <v>14</v>
      </c>
      <c r="R80" s="19" t="s">
        <v>24</v>
      </c>
      <c r="S80" s="19">
        <v>31943</v>
      </c>
      <c r="T80" s="77">
        <v>174</v>
      </c>
      <c r="U80" s="20">
        <v>31769</v>
      </c>
    </row>
    <row r="81" spans="1:21">
      <c r="A81" s="5">
        <v>139001</v>
      </c>
      <c r="B81" s="5" t="s">
        <v>16</v>
      </c>
      <c r="C81" s="5" t="s">
        <v>25</v>
      </c>
      <c r="D81" s="5" t="s">
        <v>12</v>
      </c>
      <c r="E81" s="5" t="s">
        <v>13</v>
      </c>
      <c r="F81" s="5" t="s">
        <v>14</v>
      </c>
      <c r="G81" s="5" t="s">
        <v>24</v>
      </c>
      <c r="H81" s="5">
        <v>10157</v>
      </c>
      <c r="I81" s="5">
        <v>1205</v>
      </c>
      <c r="J81" s="6">
        <f t="shared" si="1"/>
        <v>8952</v>
      </c>
      <c r="L81" s="21">
        <v>25944</v>
      </c>
      <c r="M81" s="22" t="s">
        <v>10</v>
      </c>
      <c r="N81" s="22" t="s">
        <v>11</v>
      </c>
      <c r="O81" s="22" t="s">
        <v>32</v>
      </c>
      <c r="P81" s="22" t="s">
        <v>13</v>
      </c>
      <c r="Q81" s="22" t="s">
        <v>14</v>
      </c>
      <c r="R81" s="22" t="s">
        <v>15</v>
      </c>
      <c r="S81" s="22">
        <v>47786</v>
      </c>
      <c r="T81" s="78">
        <v>40006</v>
      </c>
      <c r="U81" s="23">
        <v>7780</v>
      </c>
    </row>
    <row r="82" spans="1:21">
      <c r="A82" s="5">
        <v>3096</v>
      </c>
      <c r="B82" s="5" t="s">
        <v>16</v>
      </c>
      <c r="C82" s="5" t="s">
        <v>37</v>
      </c>
      <c r="D82" s="5" t="s">
        <v>30</v>
      </c>
      <c r="E82" s="5" t="s">
        <v>13</v>
      </c>
      <c r="F82" s="5" t="s">
        <v>14</v>
      </c>
      <c r="G82" s="5" t="s">
        <v>15</v>
      </c>
      <c r="H82" s="5">
        <v>105262</v>
      </c>
      <c r="I82" s="5">
        <v>1808</v>
      </c>
      <c r="J82" s="6">
        <f t="shared" si="1"/>
        <v>103454</v>
      </c>
      <c r="L82" s="18">
        <v>214504</v>
      </c>
      <c r="M82" s="19" t="s">
        <v>16</v>
      </c>
      <c r="N82" s="19" t="s">
        <v>11</v>
      </c>
      <c r="O82" s="19" t="s">
        <v>33</v>
      </c>
      <c r="P82" s="19" t="s">
        <v>13</v>
      </c>
      <c r="Q82" s="19" t="s">
        <v>14</v>
      </c>
      <c r="R82" s="19" t="s">
        <v>15</v>
      </c>
      <c r="S82" s="19">
        <v>76936</v>
      </c>
      <c r="T82" s="77">
        <v>2577</v>
      </c>
      <c r="U82" s="20">
        <v>74359</v>
      </c>
    </row>
    <row r="83" spans="1:21">
      <c r="A83" s="5">
        <v>228574</v>
      </c>
      <c r="B83" s="5" t="s">
        <v>16</v>
      </c>
      <c r="C83" s="5" t="s">
        <v>27</v>
      </c>
      <c r="D83" s="5" t="s">
        <v>29</v>
      </c>
      <c r="E83" s="5" t="s">
        <v>19</v>
      </c>
      <c r="F83" s="5" t="s">
        <v>14</v>
      </c>
      <c r="G83" s="5" t="s">
        <v>24</v>
      </c>
      <c r="H83" s="5">
        <v>47980</v>
      </c>
      <c r="I83" s="5">
        <v>829</v>
      </c>
      <c r="J83" s="6">
        <f t="shared" si="1"/>
        <v>47151</v>
      </c>
      <c r="L83" s="21">
        <v>199789</v>
      </c>
      <c r="M83" s="22" t="s">
        <v>10</v>
      </c>
      <c r="N83" s="22" t="s">
        <v>37</v>
      </c>
      <c r="O83" s="22" t="s">
        <v>12</v>
      </c>
      <c r="P83" s="22" t="s">
        <v>13</v>
      </c>
      <c r="Q83" s="22" t="s">
        <v>14</v>
      </c>
      <c r="R83" s="22" t="s">
        <v>15</v>
      </c>
      <c r="S83" s="22">
        <v>329444</v>
      </c>
      <c r="T83" s="78">
        <v>56551</v>
      </c>
      <c r="U83" s="23">
        <v>272893</v>
      </c>
    </row>
    <row r="84" spans="1:21">
      <c r="A84" s="5">
        <v>212571</v>
      </c>
      <c r="B84" s="5" t="s">
        <v>16</v>
      </c>
      <c r="C84" s="5" t="s">
        <v>37</v>
      </c>
      <c r="D84" s="5" t="s">
        <v>30</v>
      </c>
      <c r="E84" s="5" t="s">
        <v>13</v>
      </c>
      <c r="F84" s="5" t="s">
        <v>14</v>
      </c>
      <c r="G84" s="5" t="s">
        <v>15</v>
      </c>
      <c r="H84" s="5">
        <v>98086</v>
      </c>
      <c r="I84" s="5">
        <v>7636</v>
      </c>
      <c r="J84" s="6">
        <f t="shared" si="1"/>
        <v>90450</v>
      </c>
      <c r="L84" s="18">
        <v>34434</v>
      </c>
      <c r="M84" s="19" t="s">
        <v>16</v>
      </c>
      <c r="N84" s="19" t="s">
        <v>34</v>
      </c>
      <c r="O84" s="19" t="s">
        <v>30</v>
      </c>
      <c r="P84" s="19" t="s">
        <v>19</v>
      </c>
      <c r="Q84" s="19" t="s">
        <v>14</v>
      </c>
      <c r="R84" s="19" t="s">
        <v>15</v>
      </c>
      <c r="S84" s="19">
        <v>122207</v>
      </c>
      <c r="T84" s="77">
        <v>1583</v>
      </c>
      <c r="U84" s="20">
        <v>120624</v>
      </c>
    </row>
    <row r="85" spans="1:21">
      <c r="A85" s="5">
        <v>81717</v>
      </c>
      <c r="B85" s="5" t="s">
        <v>10</v>
      </c>
      <c r="C85" s="5" t="s">
        <v>20</v>
      </c>
      <c r="D85" s="5" t="s">
        <v>32</v>
      </c>
      <c r="E85" s="5" t="s">
        <v>13</v>
      </c>
      <c r="F85" s="5" t="s">
        <v>14</v>
      </c>
      <c r="G85" s="5" t="s">
        <v>15</v>
      </c>
      <c r="H85" s="5">
        <v>73677</v>
      </c>
      <c r="I85" s="5">
        <v>703</v>
      </c>
      <c r="J85" s="6">
        <f t="shared" si="1"/>
        <v>72974</v>
      </c>
      <c r="L85" s="21">
        <v>167674</v>
      </c>
      <c r="M85" s="22" t="s">
        <v>10</v>
      </c>
      <c r="N85" s="22" t="s">
        <v>25</v>
      </c>
      <c r="O85" s="22" t="s">
        <v>33</v>
      </c>
      <c r="P85" s="22" t="s">
        <v>19</v>
      </c>
      <c r="Q85" s="22" t="s">
        <v>14</v>
      </c>
      <c r="R85" s="22" t="s">
        <v>15</v>
      </c>
      <c r="S85" s="22">
        <v>99468</v>
      </c>
      <c r="T85" s="78">
        <v>5387</v>
      </c>
      <c r="U85" s="23">
        <v>94081</v>
      </c>
    </row>
    <row r="86" spans="1:21">
      <c r="A86" s="5">
        <v>179326</v>
      </c>
      <c r="B86" s="5" t="s">
        <v>10</v>
      </c>
      <c r="C86" s="5" t="s">
        <v>17</v>
      </c>
      <c r="D86" s="5" t="s">
        <v>36</v>
      </c>
      <c r="E86" s="5" t="s">
        <v>19</v>
      </c>
      <c r="F86" s="5" t="s">
        <v>14</v>
      </c>
      <c r="G86" s="5" t="s">
        <v>15</v>
      </c>
      <c r="H86" s="5">
        <v>46978</v>
      </c>
      <c r="I86" s="5">
        <v>8353</v>
      </c>
      <c r="J86" s="6">
        <f t="shared" si="1"/>
        <v>38625</v>
      </c>
      <c r="L86" s="18">
        <v>5323</v>
      </c>
      <c r="M86" s="19" t="s">
        <v>16</v>
      </c>
      <c r="N86" s="19" t="s">
        <v>37</v>
      </c>
      <c r="O86" s="19" t="s">
        <v>30</v>
      </c>
      <c r="P86" s="19" t="s">
        <v>13</v>
      </c>
      <c r="Q86" s="19" t="s">
        <v>14</v>
      </c>
      <c r="R86" s="19" t="s">
        <v>15</v>
      </c>
      <c r="S86" s="19">
        <v>50782</v>
      </c>
      <c r="T86" s="77">
        <v>2692</v>
      </c>
      <c r="U86" s="20">
        <v>48090</v>
      </c>
    </row>
    <row r="87" spans="1:21">
      <c r="A87" s="5">
        <v>145200</v>
      </c>
      <c r="B87" s="5" t="s">
        <v>16</v>
      </c>
      <c r="C87" s="5" t="s">
        <v>22</v>
      </c>
      <c r="D87" s="5" t="s">
        <v>26</v>
      </c>
      <c r="E87" s="5" t="s">
        <v>19</v>
      </c>
      <c r="F87" s="5" t="s">
        <v>14</v>
      </c>
      <c r="G87" s="5" t="s">
        <v>24</v>
      </c>
      <c r="H87" s="5">
        <v>14916</v>
      </c>
      <c r="I87" s="5">
        <v>1197</v>
      </c>
      <c r="J87" s="6">
        <f t="shared" si="1"/>
        <v>13719</v>
      </c>
      <c r="L87" s="21">
        <v>126666</v>
      </c>
      <c r="M87" s="22" t="s">
        <v>16</v>
      </c>
      <c r="N87" s="22" t="s">
        <v>25</v>
      </c>
      <c r="O87" s="22" t="s">
        <v>33</v>
      </c>
      <c r="P87" s="22" t="s">
        <v>19</v>
      </c>
      <c r="Q87" s="22" t="s">
        <v>14</v>
      </c>
      <c r="R87" s="22" t="s">
        <v>24</v>
      </c>
      <c r="S87" s="22">
        <v>53826</v>
      </c>
      <c r="T87" s="78">
        <v>0</v>
      </c>
      <c r="U87" s="23">
        <v>53826</v>
      </c>
    </row>
    <row r="88" spans="1:21">
      <c r="A88" s="5">
        <v>162247</v>
      </c>
      <c r="B88" s="5" t="s">
        <v>10</v>
      </c>
      <c r="C88" s="5" t="s">
        <v>34</v>
      </c>
      <c r="D88" s="5" t="s">
        <v>23</v>
      </c>
      <c r="E88" s="5" t="s">
        <v>13</v>
      </c>
      <c r="F88" s="5" t="s">
        <v>14</v>
      </c>
      <c r="G88" s="5" t="s">
        <v>15</v>
      </c>
      <c r="H88" s="5">
        <v>50419</v>
      </c>
      <c r="I88" s="5">
        <v>1508</v>
      </c>
      <c r="J88" s="6">
        <f t="shared" si="1"/>
        <v>48911</v>
      </c>
      <c r="L88" s="18">
        <v>174529</v>
      </c>
      <c r="M88" s="19" t="s">
        <v>10</v>
      </c>
      <c r="N88" s="19" t="s">
        <v>22</v>
      </c>
      <c r="O88" s="19" t="s">
        <v>26</v>
      </c>
      <c r="P88" s="19" t="s">
        <v>19</v>
      </c>
      <c r="Q88" s="19" t="s">
        <v>14</v>
      </c>
      <c r="R88" s="19" t="s">
        <v>15</v>
      </c>
      <c r="S88" s="19">
        <v>49288</v>
      </c>
      <c r="T88" s="77">
        <v>1244</v>
      </c>
      <c r="U88" s="20">
        <v>48044</v>
      </c>
    </row>
    <row r="89" spans="1:21">
      <c r="A89" s="5">
        <v>147418</v>
      </c>
      <c r="B89" s="5" t="s">
        <v>10</v>
      </c>
      <c r="C89" s="5" t="s">
        <v>31</v>
      </c>
      <c r="D89" s="5" t="s">
        <v>33</v>
      </c>
      <c r="E89" s="5" t="s">
        <v>19</v>
      </c>
      <c r="F89" s="5" t="s">
        <v>14</v>
      </c>
      <c r="G89" s="5" t="s">
        <v>15</v>
      </c>
      <c r="H89" s="5">
        <v>92452</v>
      </c>
      <c r="I89" s="5">
        <v>141</v>
      </c>
      <c r="J89" s="6">
        <f t="shared" si="1"/>
        <v>92311</v>
      </c>
      <c r="L89" s="21">
        <v>121124</v>
      </c>
      <c r="M89" s="22" t="s">
        <v>16</v>
      </c>
      <c r="N89" s="22" t="s">
        <v>22</v>
      </c>
      <c r="O89" s="22" t="s">
        <v>36</v>
      </c>
      <c r="P89" s="22" t="s">
        <v>19</v>
      </c>
      <c r="Q89" s="22" t="s">
        <v>14</v>
      </c>
      <c r="R89" s="22" t="s">
        <v>15</v>
      </c>
      <c r="S89" s="22">
        <v>42556</v>
      </c>
      <c r="T89" s="78">
        <v>1199</v>
      </c>
      <c r="U89" s="23">
        <v>41357</v>
      </c>
    </row>
    <row r="90" spans="1:21">
      <c r="A90" s="5">
        <v>2760</v>
      </c>
      <c r="B90" s="5" t="s">
        <v>10</v>
      </c>
      <c r="C90" s="5" t="s">
        <v>39</v>
      </c>
      <c r="D90" s="5" t="s">
        <v>32</v>
      </c>
      <c r="E90" s="5" t="s">
        <v>13</v>
      </c>
      <c r="F90" s="5" t="s">
        <v>14</v>
      </c>
      <c r="G90" s="5" t="s">
        <v>15</v>
      </c>
      <c r="H90" s="5">
        <v>74000</v>
      </c>
      <c r="I90" s="5">
        <v>0</v>
      </c>
      <c r="J90" s="6">
        <f t="shared" si="1"/>
        <v>74000</v>
      </c>
      <c r="L90" s="18">
        <v>34160</v>
      </c>
      <c r="M90" s="19" t="s">
        <v>16</v>
      </c>
      <c r="N90" s="19" t="s">
        <v>11</v>
      </c>
      <c r="O90" s="19" t="s">
        <v>18</v>
      </c>
      <c r="P90" s="19" t="s">
        <v>19</v>
      </c>
      <c r="Q90" s="19" t="s">
        <v>14</v>
      </c>
      <c r="R90" s="19" t="s">
        <v>24</v>
      </c>
      <c r="S90" s="19">
        <v>42654</v>
      </c>
      <c r="T90" s="77">
        <v>1192</v>
      </c>
      <c r="U90" s="20">
        <v>41462</v>
      </c>
    </row>
    <row r="91" spans="1:21">
      <c r="A91" s="5">
        <v>20069</v>
      </c>
      <c r="B91" s="5" t="s">
        <v>16</v>
      </c>
      <c r="C91" s="5" t="s">
        <v>11</v>
      </c>
      <c r="D91" s="5" t="s">
        <v>30</v>
      </c>
      <c r="E91" s="5" t="s">
        <v>13</v>
      </c>
      <c r="F91" s="5" t="s">
        <v>28</v>
      </c>
      <c r="G91" s="5" t="s">
        <v>15</v>
      </c>
      <c r="H91" s="5">
        <v>127747</v>
      </c>
      <c r="I91" s="5">
        <v>4</v>
      </c>
      <c r="J91" s="6">
        <f t="shared" si="1"/>
        <v>127743</v>
      </c>
      <c r="L91" s="21">
        <v>52120</v>
      </c>
      <c r="M91" s="22" t="s">
        <v>16</v>
      </c>
      <c r="N91" s="22" t="s">
        <v>34</v>
      </c>
      <c r="O91" s="22" t="s">
        <v>32</v>
      </c>
      <c r="P91" s="22" t="s">
        <v>13</v>
      </c>
      <c r="Q91" s="22" t="s">
        <v>14</v>
      </c>
      <c r="R91" s="22" t="s">
        <v>15</v>
      </c>
      <c r="S91" s="22">
        <v>79984</v>
      </c>
      <c r="T91" s="78">
        <v>0</v>
      </c>
      <c r="U91" s="23">
        <v>79984</v>
      </c>
    </row>
    <row r="92" spans="1:21">
      <c r="A92" s="5">
        <v>210385</v>
      </c>
      <c r="B92" s="5" t="s">
        <v>10</v>
      </c>
      <c r="C92" s="5" t="s">
        <v>37</v>
      </c>
      <c r="D92" s="5" t="s">
        <v>32</v>
      </c>
      <c r="E92" s="5" t="s">
        <v>13</v>
      </c>
      <c r="F92" s="5" t="s">
        <v>14</v>
      </c>
      <c r="G92" s="5" t="s">
        <v>15</v>
      </c>
      <c r="H92" s="5">
        <v>17707</v>
      </c>
      <c r="I92" s="5">
        <v>0</v>
      </c>
      <c r="J92" s="6">
        <f t="shared" si="1"/>
        <v>17707</v>
      </c>
      <c r="L92" s="18">
        <v>175058</v>
      </c>
      <c r="M92" s="19" t="s">
        <v>16</v>
      </c>
      <c r="N92" s="19" t="s">
        <v>22</v>
      </c>
      <c r="O92" s="19" t="s">
        <v>30</v>
      </c>
      <c r="P92" s="19" t="s">
        <v>13</v>
      </c>
      <c r="Q92" s="19" t="s">
        <v>14</v>
      </c>
      <c r="R92" s="19" t="s">
        <v>15</v>
      </c>
      <c r="S92" s="19">
        <v>315</v>
      </c>
      <c r="T92" s="77">
        <v>1298</v>
      </c>
      <c r="U92" s="20">
        <v>-983</v>
      </c>
    </row>
    <row r="93" spans="1:21">
      <c r="A93" s="5">
        <v>24750</v>
      </c>
      <c r="B93" s="5" t="s">
        <v>16</v>
      </c>
      <c r="C93" s="5" t="s">
        <v>37</v>
      </c>
      <c r="D93" s="5" t="s">
        <v>30</v>
      </c>
      <c r="E93" s="5" t="s">
        <v>19</v>
      </c>
      <c r="F93" s="5" t="s">
        <v>14</v>
      </c>
      <c r="G93" s="5" t="s">
        <v>24</v>
      </c>
      <c r="H93" s="5">
        <v>64774</v>
      </c>
      <c r="I93" s="5">
        <v>1858</v>
      </c>
      <c r="J93" s="6">
        <f t="shared" si="1"/>
        <v>62916</v>
      </c>
      <c r="L93" s="21">
        <v>96356</v>
      </c>
      <c r="M93" s="22" t="s">
        <v>16</v>
      </c>
      <c r="N93" s="22" t="s">
        <v>20</v>
      </c>
      <c r="O93" s="22" t="s">
        <v>32</v>
      </c>
      <c r="P93" s="22" t="s">
        <v>19</v>
      </c>
      <c r="Q93" s="22" t="s">
        <v>14</v>
      </c>
      <c r="R93" s="22" t="s">
        <v>24</v>
      </c>
      <c r="S93" s="22">
        <v>25773</v>
      </c>
      <c r="T93" s="78">
        <v>0</v>
      </c>
      <c r="U93" s="23">
        <v>25773</v>
      </c>
    </row>
    <row r="94" spans="1:21">
      <c r="A94" s="5">
        <v>66360</v>
      </c>
      <c r="B94" s="5" t="s">
        <v>10</v>
      </c>
      <c r="C94" s="5" t="s">
        <v>27</v>
      </c>
      <c r="D94" s="5" t="s">
        <v>23</v>
      </c>
      <c r="E94" s="5" t="s">
        <v>13</v>
      </c>
      <c r="F94" s="5" t="s">
        <v>14</v>
      </c>
      <c r="G94" s="5" t="s">
        <v>24</v>
      </c>
      <c r="H94" s="5">
        <v>88783</v>
      </c>
      <c r="I94" s="5">
        <v>6099</v>
      </c>
      <c r="J94" s="6">
        <f t="shared" si="1"/>
        <v>82684</v>
      </c>
      <c r="L94" s="18">
        <v>195482</v>
      </c>
      <c r="M94" s="19" t="s">
        <v>10</v>
      </c>
      <c r="N94" s="19" t="s">
        <v>11</v>
      </c>
      <c r="O94" s="19" t="s">
        <v>30</v>
      </c>
      <c r="P94" s="19" t="s">
        <v>13</v>
      </c>
      <c r="Q94" s="19" t="s">
        <v>14</v>
      </c>
      <c r="R94" s="19" t="s">
        <v>15</v>
      </c>
      <c r="S94" s="19">
        <v>106693</v>
      </c>
      <c r="T94" s="77">
        <v>474</v>
      </c>
      <c r="U94" s="20">
        <v>106219</v>
      </c>
    </row>
    <row r="95" spans="1:21">
      <c r="A95" s="5">
        <v>29380</v>
      </c>
      <c r="B95" s="5" t="s">
        <v>10</v>
      </c>
      <c r="C95" s="5" t="s">
        <v>34</v>
      </c>
      <c r="D95" s="5" t="s">
        <v>30</v>
      </c>
      <c r="E95" s="5" t="s">
        <v>13</v>
      </c>
      <c r="F95" s="5" t="s">
        <v>28</v>
      </c>
      <c r="G95" s="5" t="s">
        <v>15</v>
      </c>
      <c r="H95" s="5">
        <v>114667</v>
      </c>
      <c r="I95" s="5">
        <v>514</v>
      </c>
      <c r="J95" s="6">
        <f t="shared" si="1"/>
        <v>114153</v>
      </c>
      <c r="L95" s="21">
        <v>246762</v>
      </c>
      <c r="M95" s="22" t="s">
        <v>16</v>
      </c>
      <c r="N95" s="22" t="s">
        <v>17</v>
      </c>
      <c r="O95" s="22" t="s">
        <v>18</v>
      </c>
      <c r="P95" s="22" t="s">
        <v>19</v>
      </c>
      <c r="Q95" s="22" t="s">
        <v>14</v>
      </c>
      <c r="R95" s="22" t="s">
        <v>15</v>
      </c>
      <c r="S95" s="22">
        <v>23903</v>
      </c>
      <c r="T95" s="78">
        <v>270</v>
      </c>
      <c r="U95" s="23">
        <v>23633</v>
      </c>
    </row>
    <row r="96" spans="1:21">
      <c r="A96" s="5">
        <v>39226</v>
      </c>
      <c r="B96" s="5" t="s">
        <v>16</v>
      </c>
      <c r="C96" s="5" t="s">
        <v>34</v>
      </c>
      <c r="D96" s="5" t="s">
        <v>30</v>
      </c>
      <c r="E96" s="5" t="s">
        <v>13</v>
      </c>
      <c r="F96" s="5" t="s">
        <v>14</v>
      </c>
      <c r="G96" s="5" t="s">
        <v>15</v>
      </c>
      <c r="H96" s="5">
        <v>37583</v>
      </c>
      <c r="I96" s="5">
        <v>9783</v>
      </c>
      <c r="J96" s="6">
        <f t="shared" si="1"/>
        <v>27800</v>
      </c>
      <c r="L96" s="18">
        <v>113004</v>
      </c>
      <c r="M96" s="19" t="s">
        <v>10</v>
      </c>
      <c r="N96" s="19" t="s">
        <v>22</v>
      </c>
      <c r="O96" s="19" t="s">
        <v>30</v>
      </c>
      <c r="P96" s="19" t="s">
        <v>13</v>
      </c>
      <c r="Q96" s="19" t="s">
        <v>14</v>
      </c>
      <c r="R96" s="19" t="s">
        <v>15</v>
      </c>
      <c r="S96" s="19">
        <v>127211</v>
      </c>
      <c r="T96" s="77">
        <v>4884</v>
      </c>
      <c r="U96" s="20">
        <v>122327</v>
      </c>
    </row>
    <row r="97" spans="1:21">
      <c r="A97" s="5">
        <v>20067</v>
      </c>
      <c r="B97" s="5" t="s">
        <v>16</v>
      </c>
      <c r="C97" s="5" t="s">
        <v>11</v>
      </c>
      <c r="D97" s="5" t="s">
        <v>30</v>
      </c>
      <c r="E97" s="5" t="s">
        <v>13</v>
      </c>
      <c r="F97" s="5" t="s">
        <v>14</v>
      </c>
      <c r="G97" s="5" t="s">
        <v>24</v>
      </c>
      <c r="H97" s="5">
        <v>81937</v>
      </c>
      <c r="I97" s="5">
        <v>3496</v>
      </c>
      <c r="J97" s="6">
        <f t="shared" si="1"/>
        <v>78441</v>
      </c>
      <c r="L97" s="21">
        <v>199354</v>
      </c>
      <c r="M97" s="22" t="s">
        <v>10</v>
      </c>
      <c r="N97" s="22" t="s">
        <v>38</v>
      </c>
      <c r="O97" s="22" t="s">
        <v>32</v>
      </c>
      <c r="P97" s="22" t="s">
        <v>13</v>
      </c>
      <c r="Q97" s="22" t="s">
        <v>14</v>
      </c>
      <c r="R97" s="22" t="s">
        <v>15</v>
      </c>
      <c r="S97" s="22">
        <v>14509</v>
      </c>
      <c r="T97" s="78">
        <v>1345</v>
      </c>
      <c r="U97" s="23">
        <v>13164</v>
      </c>
    </row>
    <row r="98" spans="1:21">
      <c r="A98" s="5">
        <v>235877</v>
      </c>
      <c r="B98" s="5" t="s">
        <v>10</v>
      </c>
      <c r="C98" s="5" t="s">
        <v>31</v>
      </c>
      <c r="D98" s="5" t="s">
        <v>32</v>
      </c>
      <c r="E98" s="5" t="s">
        <v>19</v>
      </c>
      <c r="F98" s="5" t="s">
        <v>14</v>
      </c>
      <c r="G98" s="5" t="s">
        <v>24</v>
      </c>
      <c r="H98" s="5">
        <v>31943</v>
      </c>
      <c r="I98" s="5">
        <v>174</v>
      </c>
      <c r="J98" s="6">
        <f t="shared" si="1"/>
        <v>31769</v>
      </c>
      <c r="L98" s="18">
        <v>71850</v>
      </c>
      <c r="M98" s="19" t="s">
        <v>16</v>
      </c>
      <c r="N98" s="19" t="s">
        <v>27</v>
      </c>
      <c r="O98" s="19" t="s">
        <v>30</v>
      </c>
      <c r="P98" s="19" t="s">
        <v>13</v>
      </c>
      <c r="Q98" s="19" t="s">
        <v>14</v>
      </c>
      <c r="R98" s="19" t="s">
        <v>15</v>
      </c>
      <c r="S98" s="19">
        <v>43748</v>
      </c>
      <c r="T98" s="77">
        <v>2569</v>
      </c>
      <c r="U98" s="20">
        <v>41179</v>
      </c>
    </row>
    <row r="99" spans="1:21">
      <c r="A99" s="5">
        <v>25944</v>
      </c>
      <c r="B99" s="5" t="s">
        <v>10</v>
      </c>
      <c r="C99" s="5" t="s">
        <v>11</v>
      </c>
      <c r="D99" s="5" t="s">
        <v>32</v>
      </c>
      <c r="E99" s="5" t="s">
        <v>13</v>
      </c>
      <c r="F99" s="5" t="s">
        <v>14</v>
      </c>
      <c r="G99" s="5" t="s">
        <v>15</v>
      </c>
      <c r="H99" s="5">
        <v>47786</v>
      </c>
      <c r="I99" s="5">
        <v>40006</v>
      </c>
      <c r="J99" s="6">
        <f t="shared" si="1"/>
        <v>7780</v>
      </c>
      <c r="L99" s="21">
        <v>5589</v>
      </c>
      <c r="M99" s="22" t="s">
        <v>10</v>
      </c>
      <c r="N99" s="22" t="s">
        <v>38</v>
      </c>
      <c r="O99" s="22" t="s">
        <v>29</v>
      </c>
      <c r="P99" s="22" t="s">
        <v>13</v>
      </c>
      <c r="Q99" s="22" t="s">
        <v>14</v>
      </c>
      <c r="R99" s="22" t="s">
        <v>15</v>
      </c>
      <c r="S99" s="22">
        <v>4007</v>
      </c>
      <c r="T99" s="78">
        <v>120</v>
      </c>
      <c r="U99" s="23">
        <v>3887</v>
      </c>
    </row>
    <row r="100" spans="1:21">
      <c r="A100" s="5">
        <v>214504</v>
      </c>
      <c r="B100" s="5" t="s">
        <v>16</v>
      </c>
      <c r="C100" s="5" t="s">
        <v>11</v>
      </c>
      <c r="D100" s="5" t="s">
        <v>33</v>
      </c>
      <c r="E100" s="5" t="s">
        <v>13</v>
      </c>
      <c r="F100" s="5" t="s">
        <v>14</v>
      </c>
      <c r="G100" s="5" t="s">
        <v>15</v>
      </c>
      <c r="H100" s="5">
        <v>76936</v>
      </c>
      <c r="I100" s="5">
        <v>2577</v>
      </c>
      <c r="J100" s="6">
        <f t="shared" si="1"/>
        <v>74359</v>
      </c>
      <c r="L100" s="18">
        <v>72632</v>
      </c>
      <c r="M100" s="19" t="s">
        <v>16</v>
      </c>
      <c r="N100" s="19" t="s">
        <v>27</v>
      </c>
      <c r="O100" s="19" t="s">
        <v>30</v>
      </c>
      <c r="P100" s="19" t="s">
        <v>13</v>
      </c>
      <c r="Q100" s="19" t="s">
        <v>14</v>
      </c>
      <c r="R100" s="19" t="s">
        <v>15</v>
      </c>
      <c r="S100" s="19">
        <v>133566</v>
      </c>
      <c r="T100" s="77">
        <v>5948</v>
      </c>
      <c r="U100" s="20">
        <v>127618</v>
      </c>
    </row>
    <row r="101" spans="1:21">
      <c r="A101" s="5">
        <v>1628</v>
      </c>
      <c r="B101" s="5" t="s">
        <v>10</v>
      </c>
      <c r="C101" s="5" t="s">
        <v>39</v>
      </c>
      <c r="D101" s="5" t="s">
        <v>32</v>
      </c>
      <c r="E101" s="5" t="s">
        <v>19</v>
      </c>
      <c r="F101" s="5" t="s">
        <v>28</v>
      </c>
      <c r="G101" s="5" t="s">
        <v>24</v>
      </c>
      <c r="H101" s="5">
        <v>4081</v>
      </c>
      <c r="I101" s="5">
        <v>0</v>
      </c>
      <c r="J101" s="6">
        <f t="shared" si="1"/>
        <v>4081</v>
      </c>
      <c r="L101" s="21">
        <v>207016</v>
      </c>
      <c r="M101" s="22" t="s">
        <v>10</v>
      </c>
      <c r="N101" s="22" t="s">
        <v>37</v>
      </c>
      <c r="O101" s="22" t="s">
        <v>32</v>
      </c>
      <c r="P101" s="22" t="s">
        <v>13</v>
      </c>
      <c r="Q101" s="22" t="s">
        <v>14</v>
      </c>
      <c r="R101" s="22" t="s">
        <v>15</v>
      </c>
      <c r="S101" s="22">
        <v>39357</v>
      </c>
      <c r="T101" s="78">
        <v>0</v>
      </c>
      <c r="U101" s="23">
        <v>39357</v>
      </c>
    </row>
    <row r="102" spans="1:21">
      <c r="A102" s="5">
        <v>199789</v>
      </c>
      <c r="B102" s="5" t="s">
        <v>10</v>
      </c>
      <c r="C102" s="5" t="s">
        <v>37</v>
      </c>
      <c r="D102" s="5" t="s">
        <v>12</v>
      </c>
      <c r="E102" s="5" t="s">
        <v>13</v>
      </c>
      <c r="F102" s="5" t="s">
        <v>14</v>
      </c>
      <c r="G102" s="5" t="s">
        <v>15</v>
      </c>
      <c r="H102" s="5">
        <v>329444</v>
      </c>
      <c r="I102" s="5">
        <v>56551</v>
      </c>
      <c r="J102" s="6">
        <f t="shared" si="1"/>
        <v>272893</v>
      </c>
      <c r="L102" s="18">
        <v>117286</v>
      </c>
      <c r="M102" s="19" t="s">
        <v>10</v>
      </c>
      <c r="N102" s="19" t="s">
        <v>17</v>
      </c>
      <c r="O102" s="19" t="s">
        <v>29</v>
      </c>
      <c r="P102" s="19" t="s">
        <v>19</v>
      </c>
      <c r="Q102" s="19" t="s">
        <v>14</v>
      </c>
      <c r="R102" s="19" t="s">
        <v>24</v>
      </c>
      <c r="S102" s="19">
        <v>19613</v>
      </c>
      <c r="T102" s="77">
        <v>200</v>
      </c>
      <c r="U102" s="20">
        <v>19413</v>
      </c>
    </row>
    <row r="103" spans="1:21">
      <c r="A103" s="5">
        <v>34434</v>
      </c>
      <c r="B103" s="5" t="s">
        <v>16</v>
      </c>
      <c r="C103" s="5" t="s">
        <v>34</v>
      </c>
      <c r="D103" s="5" t="s">
        <v>30</v>
      </c>
      <c r="E103" s="5" t="s">
        <v>19</v>
      </c>
      <c r="F103" s="5" t="s">
        <v>14</v>
      </c>
      <c r="G103" s="5" t="s">
        <v>15</v>
      </c>
      <c r="H103" s="5">
        <v>122207</v>
      </c>
      <c r="I103" s="5">
        <v>1583</v>
      </c>
      <c r="J103" s="6">
        <f t="shared" si="1"/>
        <v>120624</v>
      </c>
      <c r="L103" s="21">
        <v>254457</v>
      </c>
      <c r="M103" s="22" t="s">
        <v>16</v>
      </c>
      <c r="N103" s="22" t="s">
        <v>34</v>
      </c>
      <c r="O103" s="22" t="s">
        <v>36</v>
      </c>
      <c r="P103" s="22" t="s">
        <v>13</v>
      </c>
      <c r="Q103" s="22" t="s">
        <v>14</v>
      </c>
      <c r="R103" s="22" t="s">
        <v>15</v>
      </c>
      <c r="S103" s="22">
        <v>12158</v>
      </c>
      <c r="T103" s="78">
        <v>111</v>
      </c>
      <c r="U103" s="23">
        <v>12047</v>
      </c>
    </row>
    <row r="104" spans="1:21">
      <c r="A104" s="5">
        <v>167674</v>
      </c>
      <c r="B104" s="5" t="s">
        <v>10</v>
      </c>
      <c r="C104" s="5" t="s">
        <v>25</v>
      </c>
      <c r="D104" s="5" t="s">
        <v>33</v>
      </c>
      <c r="E104" s="5" t="s">
        <v>19</v>
      </c>
      <c r="F104" s="5" t="s">
        <v>14</v>
      </c>
      <c r="G104" s="5" t="s">
        <v>15</v>
      </c>
      <c r="H104" s="5">
        <v>99468</v>
      </c>
      <c r="I104" s="5">
        <v>5387</v>
      </c>
      <c r="J104" s="6">
        <f t="shared" si="1"/>
        <v>94081</v>
      </c>
      <c r="L104" s="18">
        <v>165460</v>
      </c>
      <c r="M104" s="19" t="s">
        <v>10</v>
      </c>
      <c r="N104" s="19" t="s">
        <v>27</v>
      </c>
      <c r="O104" s="19" t="s">
        <v>21</v>
      </c>
      <c r="P104" s="19" t="s">
        <v>19</v>
      </c>
      <c r="Q104" s="19" t="s">
        <v>14</v>
      </c>
      <c r="R104" s="19" t="s">
        <v>24</v>
      </c>
      <c r="S104" s="19">
        <v>57090</v>
      </c>
      <c r="T104" s="77">
        <v>378</v>
      </c>
      <c r="U104" s="20">
        <v>56712</v>
      </c>
    </row>
    <row r="105" spans="1:21">
      <c r="A105" s="5">
        <v>5323</v>
      </c>
      <c r="B105" s="5" t="s">
        <v>16</v>
      </c>
      <c r="C105" s="5" t="s">
        <v>37</v>
      </c>
      <c r="D105" s="5" t="s">
        <v>30</v>
      </c>
      <c r="E105" s="5" t="s">
        <v>13</v>
      </c>
      <c r="F105" s="5" t="s">
        <v>14</v>
      </c>
      <c r="G105" s="5" t="s">
        <v>15</v>
      </c>
      <c r="H105" s="5">
        <v>50782</v>
      </c>
      <c r="I105" s="5">
        <v>2692</v>
      </c>
      <c r="J105" s="6">
        <f t="shared" si="1"/>
        <v>48090</v>
      </c>
      <c r="L105" s="21">
        <v>61572</v>
      </c>
      <c r="M105" s="22" t="s">
        <v>10</v>
      </c>
      <c r="N105" s="22" t="s">
        <v>27</v>
      </c>
      <c r="O105" s="22" t="s">
        <v>23</v>
      </c>
      <c r="P105" s="22" t="s">
        <v>13</v>
      </c>
      <c r="Q105" s="22" t="s">
        <v>14</v>
      </c>
      <c r="R105" s="22" t="s">
        <v>15</v>
      </c>
      <c r="S105" s="22">
        <v>111777</v>
      </c>
      <c r="T105" s="78">
        <v>10223</v>
      </c>
      <c r="U105" s="23">
        <v>101554</v>
      </c>
    </row>
    <row r="106" spans="1:21">
      <c r="A106" s="5">
        <v>126666</v>
      </c>
      <c r="B106" s="5" t="s">
        <v>16</v>
      </c>
      <c r="C106" s="5" t="s">
        <v>25</v>
      </c>
      <c r="D106" s="5" t="s">
        <v>33</v>
      </c>
      <c r="E106" s="5" t="s">
        <v>19</v>
      </c>
      <c r="F106" s="5" t="s">
        <v>14</v>
      </c>
      <c r="G106" s="5" t="s">
        <v>24</v>
      </c>
      <c r="H106" s="5">
        <v>53826</v>
      </c>
      <c r="I106" s="5">
        <v>0</v>
      </c>
      <c r="J106" s="6">
        <f t="shared" si="1"/>
        <v>53826</v>
      </c>
      <c r="L106" s="18">
        <v>62513</v>
      </c>
      <c r="M106" s="19" t="s">
        <v>10</v>
      </c>
      <c r="N106" s="19" t="s">
        <v>27</v>
      </c>
      <c r="O106" s="19" t="s">
        <v>32</v>
      </c>
      <c r="P106" s="19" t="s">
        <v>13</v>
      </c>
      <c r="Q106" s="19" t="s">
        <v>14</v>
      </c>
      <c r="R106" s="19" t="s">
        <v>15</v>
      </c>
      <c r="S106" s="19">
        <v>71831</v>
      </c>
      <c r="T106" s="77">
        <v>3041</v>
      </c>
      <c r="U106" s="20">
        <v>68790</v>
      </c>
    </row>
    <row r="107" spans="1:21">
      <c r="A107" s="5">
        <v>174529</v>
      </c>
      <c r="B107" s="5" t="s">
        <v>10</v>
      </c>
      <c r="C107" s="5" t="s">
        <v>22</v>
      </c>
      <c r="D107" s="5" t="s">
        <v>26</v>
      </c>
      <c r="E107" s="5" t="s">
        <v>19</v>
      </c>
      <c r="F107" s="5" t="s">
        <v>14</v>
      </c>
      <c r="G107" s="5" t="s">
        <v>15</v>
      </c>
      <c r="H107" s="5">
        <v>49288</v>
      </c>
      <c r="I107" s="5">
        <v>1244</v>
      </c>
      <c r="J107" s="6">
        <f t="shared" si="1"/>
        <v>48044</v>
      </c>
      <c r="L107" s="21">
        <v>189937</v>
      </c>
      <c r="M107" s="22" t="s">
        <v>16</v>
      </c>
      <c r="N107" s="22" t="s">
        <v>37</v>
      </c>
      <c r="O107" s="22" t="s">
        <v>30</v>
      </c>
      <c r="P107" s="22" t="s">
        <v>13</v>
      </c>
      <c r="Q107" s="22" t="s">
        <v>14</v>
      </c>
      <c r="R107" s="22" t="s">
        <v>15</v>
      </c>
      <c r="S107" s="22">
        <v>47597</v>
      </c>
      <c r="T107" s="78">
        <v>602</v>
      </c>
      <c r="U107" s="23">
        <v>46995</v>
      </c>
    </row>
    <row r="108" spans="1:21">
      <c r="A108" s="5">
        <v>121124</v>
      </c>
      <c r="B108" s="5" t="s">
        <v>16</v>
      </c>
      <c r="C108" s="5" t="s">
        <v>22</v>
      </c>
      <c r="D108" s="5" t="s">
        <v>36</v>
      </c>
      <c r="E108" s="5" t="s">
        <v>19</v>
      </c>
      <c r="F108" s="5" t="s">
        <v>14</v>
      </c>
      <c r="G108" s="5" t="s">
        <v>15</v>
      </c>
      <c r="H108" s="5">
        <v>42556</v>
      </c>
      <c r="I108" s="5">
        <v>1199</v>
      </c>
      <c r="J108" s="6">
        <f t="shared" si="1"/>
        <v>41357</v>
      </c>
      <c r="L108" s="18">
        <v>164876</v>
      </c>
      <c r="M108" s="19" t="s">
        <v>10</v>
      </c>
      <c r="N108" s="19" t="s">
        <v>35</v>
      </c>
      <c r="O108" s="19" t="s">
        <v>12</v>
      </c>
      <c r="P108" s="19" t="s">
        <v>13</v>
      </c>
      <c r="Q108" s="19" t="s">
        <v>14</v>
      </c>
      <c r="R108" s="19" t="s">
        <v>15</v>
      </c>
      <c r="S108" s="19">
        <v>63752</v>
      </c>
      <c r="T108" s="77">
        <v>2277</v>
      </c>
      <c r="U108" s="20">
        <v>61475</v>
      </c>
    </row>
    <row r="109" spans="1:21">
      <c r="A109" s="5">
        <v>34160</v>
      </c>
      <c r="B109" s="5" t="s">
        <v>16</v>
      </c>
      <c r="C109" s="5" t="s">
        <v>11</v>
      </c>
      <c r="D109" s="5" t="s">
        <v>18</v>
      </c>
      <c r="E109" s="5" t="s">
        <v>19</v>
      </c>
      <c r="F109" s="5" t="s">
        <v>14</v>
      </c>
      <c r="G109" s="5" t="s">
        <v>24</v>
      </c>
      <c r="H109" s="5">
        <v>42654</v>
      </c>
      <c r="I109" s="5">
        <v>1192</v>
      </c>
      <c r="J109" s="6">
        <f t="shared" si="1"/>
        <v>41462</v>
      </c>
      <c r="L109" s="21">
        <v>253899</v>
      </c>
      <c r="M109" s="22" t="s">
        <v>16</v>
      </c>
      <c r="N109" s="22" t="s">
        <v>17</v>
      </c>
      <c r="O109" s="22" t="s">
        <v>33</v>
      </c>
      <c r="P109" s="22" t="s">
        <v>19</v>
      </c>
      <c r="Q109" s="22" t="s">
        <v>14</v>
      </c>
      <c r="R109" s="22" t="s">
        <v>24</v>
      </c>
      <c r="S109" s="22">
        <v>40434</v>
      </c>
      <c r="T109" s="78">
        <v>1065</v>
      </c>
      <c r="U109" s="23">
        <v>39369</v>
      </c>
    </row>
    <row r="110" spans="1:21">
      <c r="A110" s="5">
        <v>52120</v>
      </c>
      <c r="B110" s="5" t="s">
        <v>16</v>
      </c>
      <c r="C110" s="5" t="s">
        <v>34</v>
      </c>
      <c r="D110" s="5" t="s">
        <v>32</v>
      </c>
      <c r="E110" s="5" t="s">
        <v>13</v>
      </c>
      <c r="F110" s="5" t="s">
        <v>14</v>
      </c>
      <c r="G110" s="5" t="s">
        <v>15</v>
      </c>
      <c r="H110" s="5">
        <v>79984</v>
      </c>
      <c r="I110" s="5">
        <v>0</v>
      </c>
      <c r="J110" s="6">
        <f t="shared" si="1"/>
        <v>79984</v>
      </c>
      <c r="L110" s="18">
        <v>166422</v>
      </c>
      <c r="M110" s="19" t="s">
        <v>10</v>
      </c>
      <c r="N110" s="19" t="s">
        <v>22</v>
      </c>
      <c r="O110" s="19" t="s">
        <v>32</v>
      </c>
      <c r="P110" s="19" t="s">
        <v>19</v>
      </c>
      <c r="Q110" s="19" t="s">
        <v>14</v>
      </c>
      <c r="R110" s="19" t="s">
        <v>24</v>
      </c>
      <c r="S110" s="19">
        <v>0</v>
      </c>
      <c r="T110" s="77">
        <v>0</v>
      </c>
      <c r="U110" s="20">
        <v>0</v>
      </c>
    </row>
    <row r="111" spans="1:21">
      <c r="A111" s="5">
        <v>175058</v>
      </c>
      <c r="B111" s="5" t="s">
        <v>16</v>
      </c>
      <c r="C111" s="5" t="s">
        <v>22</v>
      </c>
      <c r="D111" s="5" t="s">
        <v>30</v>
      </c>
      <c r="E111" s="5" t="s">
        <v>13</v>
      </c>
      <c r="F111" s="5" t="s">
        <v>14</v>
      </c>
      <c r="G111" s="5" t="s">
        <v>15</v>
      </c>
      <c r="H111" s="5">
        <v>315</v>
      </c>
      <c r="I111" s="5">
        <v>1298</v>
      </c>
      <c r="J111" s="6">
        <f t="shared" si="1"/>
        <v>-983</v>
      </c>
      <c r="L111" s="21">
        <v>98678</v>
      </c>
      <c r="M111" s="22" t="s">
        <v>16</v>
      </c>
      <c r="N111" s="22" t="s">
        <v>37</v>
      </c>
      <c r="O111" s="22" t="s">
        <v>12</v>
      </c>
      <c r="P111" s="22" t="s">
        <v>13</v>
      </c>
      <c r="Q111" s="22" t="s">
        <v>14</v>
      </c>
      <c r="R111" s="22" t="s">
        <v>15</v>
      </c>
      <c r="S111" s="22">
        <v>23118</v>
      </c>
      <c r="T111" s="78">
        <v>332</v>
      </c>
      <c r="U111" s="23">
        <v>22786</v>
      </c>
    </row>
    <row r="112" spans="1:21">
      <c r="A112" s="5">
        <v>238912</v>
      </c>
      <c r="B112" s="5" t="s">
        <v>10</v>
      </c>
      <c r="C112" s="5" t="s">
        <v>17</v>
      </c>
      <c r="D112" s="5" t="s">
        <v>18</v>
      </c>
      <c r="E112" s="5" t="s">
        <v>19</v>
      </c>
      <c r="F112" s="5" t="s">
        <v>28</v>
      </c>
      <c r="G112" s="5" t="s">
        <v>15</v>
      </c>
      <c r="H112" s="5">
        <v>11568</v>
      </c>
      <c r="I112" s="5">
        <v>380</v>
      </c>
      <c r="J112" s="6">
        <f t="shared" si="1"/>
        <v>11188</v>
      </c>
      <c r="L112" s="18">
        <v>233812</v>
      </c>
      <c r="M112" s="19" t="s">
        <v>16</v>
      </c>
      <c r="N112" s="19" t="s">
        <v>17</v>
      </c>
      <c r="O112" s="19" t="s">
        <v>12</v>
      </c>
      <c r="P112" s="19" t="s">
        <v>19</v>
      </c>
      <c r="Q112" s="19" t="s">
        <v>14</v>
      </c>
      <c r="R112" s="19" t="s">
        <v>24</v>
      </c>
      <c r="S112" s="19">
        <v>33626</v>
      </c>
      <c r="T112" s="77">
        <v>1337</v>
      </c>
      <c r="U112" s="20">
        <v>32289</v>
      </c>
    </row>
    <row r="113" spans="1:21">
      <c r="A113" s="5">
        <v>96356</v>
      </c>
      <c r="B113" s="5" t="s">
        <v>16</v>
      </c>
      <c r="C113" s="5" t="s">
        <v>20</v>
      </c>
      <c r="D113" s="5" t="s">
        <v>32</v>
      </c>
      <c r="E113" s="5" t="s">
        <v>19</v>
      </c>
      <c r="F113" s="5" t="s">
        <v>14</v>
      </c>
      <c r="G113" s="5" t="s">
        <v>24</v>
      </c>
      <c r="H113" s="5">
        <v>25773</v>
      </c>
      <c r="I113" s="5">
        <v>0</v>
      </c>
      <c r="J113" s="6">
        <f t="shared" si="1"/>
        <v>25773</v>
      </c>
      <c r="L113" s="21">
        <v>85654</v>
      </c>
      <c r="M113" s="22" t="s">
        <v>10</v>
      </c>
      <c r="N113" s="22" t="s">
        <v>11</v>
      </c>
      <c r="O113" s="22" t="s">
        <v>26</v>
      </c>
      <c r="P113" s="22" t="s">
        <v>13</v>
      </c>
      <c r="Q113" s="22" t="s">
        <v>14</v>
      </c>
      <c r="R113" s="22" t="s">
        <v>15</v>
      </c>
      <c r="S113" s="22">
        <v>49023</v>
      </c>
      <c r="T113" s="78">
        <v>1112</v>
      </c>
      <c r="U113" s="23">
        <v>47911</v>
      </c>
    </row>
    <row r="114" spans="1:21">
      <c r="A114" s="5">
        <v>235723</v>
      </c>
      <c r="B114" s="5" t="s">
        <v>16</v>
      </c>
      <c r="C114" s="5" t="s">
        <v>17</v>
      </c>
      <c r="D114" s="5" t="s">
        <v>30</v>
      </c>
      <c r="E114" s="5" t="s">
        <v>19</v>
      </c>
      <c r="F114" s="5" t="s">
        <v>28</v>
      </c>
      <c r="G114" s="5" t="s">
        <v>15</v>
      </c>
      <c r="H114" s="5">
        <v>45033</v>
      </c>
      <c r="I114" s="5">
        <v>2422</v>
      </c>
      <c r="J114" s="6">
        <f t="shared" si="1"/>
        <v>42611</v>
      </c>
      <c r="L114" s="18">
        <v>100428</v>
      </c>
      <c r="M114" s="19" t="s">
        <v>10</v>
      </c>
      <c r="N114" s="19" t="s">
        <v>11</v>
      </c>
      <c r="O114" s="19" t="s">
        <v>23</v>
      </c>
      <c r="P114" s="19" t="s">
        <v>19</v>
      </c>
      <c r="Q114" s="19" t="s">
        <v>14</v>
      </c>
      <c r="R114" s="19" t="s">
        <v>24</v>
      </c>
      <c r="S114" s="19">
        <v>44018</v>
      </c>
      <c r="T114" s="77">
        <v>805</v>
      </c>
      <c r="U114" s="20">
        <v>43213</v>
      </c>
    </row>
    <row r="115" spans="1:21">
      <c r="A115" s="5">
        <v>195482</v>
      </c>
      <c r="B115" s="5" t="s">
        <v>10</v>
      </c>
      <c r="C115" s="5" t="s">
        <v>11</v>
      </c>
      <c r="D115" s="5" t="s">
        <v>30</v>
      </c>
      <c r="E115" s="5" t="s">
        <v>13</v>
      </c>
      <c r="F115" s="5" t="s">
        <v>14</v>
      </c>
      <c r="G115" s="5" t="s">
        <v>15</v>
      </c>
      <c r="H115" s="5">
        <v>106693</v>
      </c>
      <c r="I115" s="5">
        <v>474</v>
      </c>
      <c r="J115" s="6">
        <f t="shared" si="1"/>
        <v>106219</v>
      </c>
      <c r="L115" s="21">
        <v>199811</v>
      </c>
      <c r="M115" s="22" t="s">
        <v>10</v>
      </c>
      <c r="N115" s="22" t="s">
        <v>34</v>
      </c>
      <c r="O115" s="22" t="s">
        <v>30</v>
      </c>
      <c r="P115" s="22" t="s">
        <v>13</v>
      </c>
      <c r="Q115" s="22" t="s">
        <v>14</v>
      </c>
      <c r="R115" s="22" t="s">
        <v>15</v>
      </c>
      <c r="S115" s="22">
        <v>153645</v>
      </c>
      <c r="T115" s="78">
        <v>13465</v>
      </c>
      <c r="U115" s="23">
        <v>140180</v>
      </c>
    </row>
    <row r="116" spans="1:21">
      <c r="A116" s="5">
        <v>246762</v>
      </c>
      <c r="B116" s="5" t="s">
        <v>16</v>
      </c>
      <c r="C116" s="5" t="s">
        <v>17</v>
      </c>
      <c r="D116" s="5" t="s">
        <v>18</v>
      </c>
      <c r="E116" s="5" t="s">
        <v>19</v>
      </c>
      <c r="F116" s="5" t="s">
        <v>14</v>
      </c>
      <c r="G116" s="5" t="s">
        <v>15</v>
      </c>
      <c r="H116" s="5">
        <v>23903</v>
      </c>
      <c r="I116" s="5">
        <v>270</v>
      </c>
      <c r="J116" s="6">
        <f t="shared" si="1"/>
        <v>23633</v>
      </c>
      <c r="L116" s="18">
        <v>179467</v>
      </c>
      <c r="M116" s="19" t="s">
        <v>16</v>
      </c>
      <c r="N116" s="19" t="s">
        <v>35</v>
      </c>
      <c r="O116" s="19" t="s">
        <v>21</v>
      </c>
      <c r="P116" s="19" t="s">
        <v>19</v>
      </c>
      <c r="Q116" s="19" t="s">
        <v>14</v>
      </c>
      <c r="R116" s="19" t="s">
        <v>24</v>
      </c>
      <c r="S116" s="19">
        <v>40291</v>
      </c>
      <c r="T116" s="77">
        <v>132</v>
      </c>
      <c r="U116" s="20">
        <v>40159</v>
      </c>
    </row>
    <row r="117" spans="1:21">
      <c r="A117" s="5">
        <v>222188</v>
      </c>
      <c r="B117" s="5" t="s">
        <v>16</v>
      </c>
      <c r="C117" s="5" t="s">
        <v>20</v>
      </c>
      <c r="D117" s="5" t="s">
        <v>32</v>
      </c>
      <c r="E117" s="5" t="s">
        <v>19</v>
      </c>
      <c r="F117" s="5" t="s">
        <v>28</v>
      </c>
      <c r="G117" s="5" t="s">
        <v>15</v>
      </c>
      <c r="H117" s="5">
        <v>107373</v>
      </c>
      <c r="I117" s="5">
        <v>0</v>
      </c>
      <c r="J117" s="6">
        <f t="shared" si="1"/>
        <v>107373</v>
      </c>
      <c r="L117" s="21">
        <v>84077</v>
      </c>
      <c r="M117" s="22" t="s">
        <v>16</v>
      </c>
      <c r="N117" s="22" t="s">
        <v>34</v>
      </c>
      <c r="O117" s="22" t="s">
        <v>26</v>
      </c>
      <c r="P117" s="22" t="s">
        <v>13</v>
      </c>
      <c r="Q117" s="22" t="s">
        <v>14</v>
      </c>
      <c r="R117" s="22" t="s">
        <v>24</v>
      </c>
      <c r="S117" s="22">
        <v>48649</v>
      </c>
      <c r="T117" s="78">
        <v>3338</v>
      </c>
      <c r="U117" s="23">
        <v>45311</v>
      </c>
    </row>
    <row r="118" spans="1:21">
      <c r="A118" s="5">
        <v>148276</v>
      </c>
      <c r="B118" s="5" t="s">
        <v>16</v>
      </c>
      <c r="C118" s="5" t="s">
        <v>25</v>
      </c>
      <c r="D118" s="5" t="s">
        <v>36</v>
      </c>
      <c r="E118" s="5" t="s">
        <v>19</v>
      </c>
      <c r="F118" s="5" t="s">
        <v>28</v>
      </c>
      <c r="G118" s="5" t="s">
        <v>24</v>
      </c>
      <c r="H118" s="5">
        <v>65323</v>
      </c>
      <c r="I118" s="5">
        <v>355</v>
      </c>
      <c r="J118" s="6">
        <f t="shared" si="1"/>
        <v>64968</v>
      </c>
      <c r="L118" s="18">
        <v>10417</v>
      </c>
      <c r="M118" s="19" t="s">
        <v>16</v>
      </c>
      <c r="N118" s="19" t="s">
        <v>34</v>
      </c>
      <c r="O118" s="19" t="s">
        <v>33</v>
      </c>
      <c r="P118" s="19" t="s">
        <v>13</v>
      </c>
      <c r="Q118" s="19" t="s">
        <v>14</v>
      </c>
      <c r="R118" s="19" t="s">
        <v>24</v>
      </c>
      <c r="S118" s="19">
        <v>23126</v>
      </c>
      <c r="T118" s="77">
        <v>975</v>
      </c>
      <c r="U118" s="20">
        <v>22151</v>
      </c>
    </row>
    <row r="119" spans="1:21">
      <c r="A119" s="5">
        <v>113004</v>
      </c>
      <c r="B119" s="5" t="s">
        <v>10</v>
      </c>
      <c r="C119" s="5" t="s">
        <v>22</v>
      </c>
      <c r="D119" s="5" t="s">
        <v>30</v>
      </c>
      <c r="E119" s="5" t="s">
        <v>13</v>
      </c>
      <c r="F119" s="5" t="s">
        <v>14</v>
      </c>
      <c r="G119" s="5" t="s">
        <v>15</v>
      </c>
      <c r="H119" s="5">
        <v>127211</v>
      </c>
      <c r="I119" s="5">
        <v>4884</v>
      </c>
      <c r="J119" s="6">
        <f t="shared" si="1"/>
        <v>122327</v>
      </c>
      <c r="L119" s="21">
        <v>89872</v>
      </c>
      <c r="M119" s="22" t="s">
        <v>10</v>
      </c>
      <c r="N119" s="22" t="s">
        <v>38</v>
      </c>
      <c r="O119" s="22" t="s">
        <v>32</v>
      </c>
      <c r="P119" s="22" t="s">
        <v>13</v>
      </c>
      <c r="Q119" s="22" t="s">
        <v>14</v>
      </c>
      <c r="R119" s="22" t="s">
        <v>24</v>
      </c>
      <c r="S119" s="22">
        <v>22803</v>
      </c>
      <c r="T119" s="78">
        <v>0</v>
      </c>
      <c r="U119" s="23">
        <v>22803</v>
      </c>
    </row>
    <row r="120" spans="1:21">
      <c r="A120" s="5">
        <v>199354</v>
      </c>
      <c r="B120" s="5" t="s">
        <v>10</v>
      </c>
      <c r="C120" s="5" t="s">
        <v>38</v>
      </c>
      <c r="D120" s="5" t="s">
        <v>32</v>
      </c>
      <c r="E120" s="5" t="s">
        <v>13</v>
      </c>
      <c r="F120" s="5" t="s">
        <v>14</v>
      </c>
      <c r="G120" s="5" t="s">
        <v>15</v>
      </c>
      <c r="H120" s="5">
        <v>14509</v>
      </c>
      <c r="I120" s="5">
        <v>1345</v>
      </c>
      <c r="J120" s="6">
        <f t="shared" si="1"/>
        <v>13164</v>
      </c>
      <c r="L120" s="18">
        <v>106184</v>
      </c>
      <c r="M120" s="19" t="s">
        <v>16</v>
      </c>
      <c r="N120" s="19" t="s">
        <v>22</v>
      </c>
      <c r="O120" s="19" t="s">
        <v>23</v>
      </c>
      <c r="P120" s="19" t="s">
        <v>13</v>
      </c>
      <c r="Q120" s="19" t="s">
        <v>14</v>
      </c>
      <c r="R120" s="19" t="s">
        <v>15</v>
      </c>
      <c r="S120" s="19">
        <v>61574</v>
      </c>
      <c r="T120" s="77">
        <v>305</v>
      </c>
      <c r="U120" s="20">
        <v>61269</v>
      </c>
    </row>
    <row r="121" spans="1:21">
      <c r="A121" s="5">
        <v>71850</v>
      </c>
      <c r="B121" s="5" t="s">
        <v>16</v>
      </c>
      <c r="C121" s="5" t="s">
        <v>27</v>
      </c>
      <c r="D121" s="5" t="s">
        <v>30</v>
      </c>
      <c r="E121" s="5" t="s">
        <v>13</v>
      </c>
      <c r="F121" s="5" t="s">
        <v>14</v>
      </c>
      <c r="G121" s="5" t="s">
        <v>15</v>
      </c>
      <c r="H121" s="5">
        <v>43748</v>
      </c>
      <c r="I121" s="5">
        <v>2569</v>
      </c>
      <c r="J121" s="6">
        <f t="shared" si="1"/>
        <v>41179</v>
      </c>
      <c r="L121" s="21">
        <v>212671</v>
      </c>
      <c r="M121" s="22" t="s">
        <v>10</v>
      </c>
      <c r="N121" s="22" t="s">
        <v>34</v>
      </c>
      <c r="O121" s="22" t="s">
        <v>32</v>
      </c>
      <c r="P121" s="22" t="s">
        <v>13</v>
      </c>
      <c r="Q121" s="22" t="s">
        <v>14</v>
      </c>
      <c r="R121" s="22" t="s">
        <v>15</v>
      </c>
      <c r="S121" s="22">
        <v>20410</v>
      </c>
      <c r="T121" s="78">
        <v>400</v>
      </c>
      <c r="U121" s="23">
        <v>20010</v>
      </c>
    </row>
    <row r="122" spans="1:21">
      <c r="A122" s="5">
        <v>254383</v>
      </c>
      <c r="B122" s="5" t="s">
        <v>10</v>
      </c>
      <c r="C122" s="5" t="s">
        <v>31</v>
      </c>
      <c r="D122" s="5" t="s">
        <v>21</v>
      </c>
      <c r="E122" s="5" t="s">
        <v>19</v>
      </c>
      <c r="F122" s="5" t="s">
        <v>28</v>
      </c>
      <c r="G122" s="5" t="s">
        <v>15</v>
      </c>
      <c r="H122" s="5">
        <v>25281</v>
      </c>
      <c r="I122" s="5">
        <v>196</v>
      </c>
      <c r="J122" s="6">
        <f t="shared" si="1"/>
        <v>25085</v>
      </c>
      <c r="L122" s="18">
        <v>183036</v>
      </c>
      <c r="M122" s="19" t="s">
        <v>16</v>
      </c>
      <c r="N122" s="19" t="s">
        <v>20</v>
      </c>
      <c r="O122" s="19" t="s">
        <v>32</v>
      </c>
      <c r="P122" s="19" t="s">
        <v>19</v>
      </c>
      <c r="Q122" s="19" t="s">
        <v>14</v>
      </c>
      <c r="R122" s="19" t="s">
        <v>24</v>
      </c>
      <c r="S122" s="19">
        <v>81512</v>
      </c>
      <c r="T122" s="77">
        <v>585</v>
      </c>
      <c r="U122" s="20">
        <v>80927</v>
      </c>
    </row>
    <row r="123" spans="1:21">
      <c r="A123" s="5">
        <v>5589</v>
      </c>
      <c r="B123" s="5" t="s">
        <v>10</v>
      </c>
      <c r="C123" s="5" t="s">
        <v>38</v>
      </c>
      <c r="D123" s="5" t="s">
        <v>29</v>
      </c>
      <c r="E123" s="5" t="s">
        <v>13</v>
      </c>
      <c r="F123" s="5" t="s">
        <v>14</v>
      </c>
      <c r="G123" s="5" t="s">
        <v>15</v>
      </c>
      <c r="H123" s="5">
        <v>4007</v>
      </c>
      <c r="I123" s="5">
        <v>120</v>
      </c>
      <c r="J123" s="6">
        <f t="shared" si="1"/>
        <v>3887</v>
      </c>
      <c r="L123" s="21">
        <v>115457</v>
      </c>
      <c r="M123" s="22" t="s">
        <v>16</v>
      </c>
      <c r="N123" s="22" t="s">
        <v>25</v>
      </c>
      <c r="O123" s="22" t="s">
        <v>18</v>
      </c>
      <c r="P123" s="22" t="s">
        <v>19</v>
      </c>
      <c r="Q123" s="22" t="s">
        <v>14</v>
      </c>
      <c r="R123" s="22" t="s">
        <v>24</v>
      </c>
      <c r="S123" s="22">
        <v>54378</v>
      </c>
      <c r="T123" s="78">
        <v>11234</v>
      </c>
      <c r="U123" s="23">
        <v>43144</v>
      </c>
    </row>
    <row r="124" spans="1:21">
      <c r="A124" s="5">
        <v>72632</v>
      </c>
      <c r="B124" s="5" t="s">
        <v>16</v>
      </c>
      <c r="C124" s="5" t="s">
        <v>27</v>
      </c>
      <c r="D124" s="5" t="s">
        <v>30</v>
      </c>
      <c r="E124" s="5" t="s">
        <v>13</v>
      </c>
      <c r="F124" s="5" t="s">
        <v>14</v>
      </c>
      <c r="G124" s="5" t="s">
        <v>15</v>
      </c>
      <c r="H124" s="5">
        <v>133566</v>
      </c>
      <c r="I124" s="5">
        <v>5948</v>
      </c>
      <c r="J124" s="6">
        <f t="shared" si="1"/>
        <v>127618</v>
      </c>
      <c r="L124" s="18">
        <v>114266</v>
      </c>
      <c r="M124" s="19" t="s">
        <v>10</v>
      </c>
      <c r="N124" s="19" t="s">
        <v>22</v>
      </c>
      <c r="O124" s="19" t="s">
        <v>23</v>
      </c>
      <c r="P124" s="19" t="s">
        <v>19</v>
      </c>
      <c r="Q124" s="19" t="s">
        <v>14</v>
      </c>
      <c r="R124" s="19" t="s">
        <v>15</v>
      </c>
      <c r="S124" s="19">
        <v>103899</v>
      </c>
      <c r="T124" s="77">
        <v>4277</v>
      </c>
      <c r="U124" s="20">
        <v>99622</v>
      </c>
    </row>
    <row r="125" spans="1:21">
      <c r="A125" s="5">
        <v>207016</v>
      </c>
      <c r="B125" s="5" t="s">
        <v>10</v>
      </c>
      <c r="C125" s="5" t="s">
        <v>37</v>
      </c>
      <c r="D125" s="5" t="s">
        <v>32</v>
      </c>
      <c r="E125" s="5" t="s">
        <v>13</v>
      </c>
      <c r="F125" s="5" t="s">
        <v>14</v>
      </c>
      <c r="G125" s="5" t="s">
        <v>15</v>
      </c>
      <c r="H125" s="5">
        <v>39357</v>
      </c>
      <c r="I125" s="5">
        <v>0</v>
      </c>
      <c r="J125" s="6">
        <f t="shared" si="1"/>
        <v>39357</v>
      </c>
      <c r="L125" s="21">
        <v>135972</v>
      </c>
      <c r="M125" s="22" t="s">
        <v>16</v>
      </c>
      <c r="N125" s="22" t="s">
        <v>22</v>
      </c>
      <c r="O125" s="22" t="s">
        <v>33</v>
      </c>
      <c r="P125" s="22" t="s">
        <v>19</v>
      </c>
      <c r="Q125" s="22" t="s">
        <v>14</v>
      </c>
      <c r="R125" s="22" t="s">
        <v>15</v>
      </c>
      <c r="S125" s="22">
        <v>67993</v>
      </c>
      <c r="T125" s="78">
        <v>323</v>
      </c>
      <c r="U125" s="23">
        <v>67670</v>
      </c>
    </row>
    <row r="126" spans="1:21">
      <c r="A126" s="5">
        <v>117286</v>
      </c>
      <c r="B126" s="5" t="s">
        <v>10</v>
      </c>
      <c r="C126" s="5" t="s">
        <v>17</v>
      </c>
      <c r="D126" s="5" t="s">
        <v>29</v>
      </c>
      <c r="E126" s="5" t="s">
        <v>19</v>
      </c>
      <c r="F126" s="5" t="s">
        <v>14</v>
      </c>
      <c r="G126" s="5" t="s">
        <v>24</v>
      </c>
      <c r="H126" s="5">
        <v>19613</v>
      </c>
      <c r="I126" s="5">
        <v>200</v>
      </c>
      <c r="J126" s="6">
        <f t="shared" si="1"/>
        <v>19413</v>
      </c>
      <c r="L126" s="18">
        <v>121500</v>
      </c>
      <c r="M126" s="19" t="s">
        <v>16</v>
      </c>
      <c r="N126" s="19" t="s">
        <v>22</v>
      </c>
      <c r="O126" s="19" t="s">
        <v>30</v>
      </c>
      <c r="P126" s="19" t="s">
        <v>13</v>
      </c>
      <c r="Q126" s="19" t="s">
        <v>14</v>
      </c>
      <c r="R126" s="19" t="s">
        <v>15</v>
      </c>
      <c r="S126" s="19">
        <v>38749</v>
      </c>
      <c r="T126" s="77">
        <v>4745</v>
      </c>
      <c r="U126" s="20">
        <v>34004</v>
      </c>
    </row>
    <row r="127" spans="1:21">
      <c r="A127" s="5">
        <v>254457</v>
      </c>
      <c r="B127" s="5" t="s">
        <v>16</v>
      </c>
      <c r="C127" s="5" t="s">
        <v>34</v>
      </c>
      <c r="D127" s="5" t="s">
        <v>36</v>
      </c>
      <c r="E127" s="5" t="s">
        <v>13</v>
      </c>
      <c r="F127" s="5" t="s">
        <v>14</v>
      </c>
      <c r="G127" s="5" t="s">
        <v>15</v>
      </c>
      <c r="H127" s="5">
        <v>12158</v>
      </c>
      <c r="I127" s="5">
        <v>111</v>
      </c>
      <c r="J127" s="6">
        <f t="shared" si="1"/>
        <v>12047</v>
      </c>
      <c r="L127" s="21">
        <v>170658</v>
      </c>
      <c r="M127" s="22" t="s">
        <v>10</v>
      </c>
      <c r="N127" s="22" t="s">
        <v>17</v>
      </c>
      <c r="O127" s="22" t="s">
        <v>36</v>
      </c>
      <c r="P127" s="22" t="s">
        <v>19</v>
      </c>
      <c r="Q127" s="22" t="s">
        <v>14</v>
      </c>
      <c r="R127" s="22" t="s">
        <v>15</v>
      </c>
      <c r="S127" s="22">
        <v>15506</v>
      </c>
      <c r="T127" s="78">
        <v>0</v>
      </c>
      <c r="U127" s="23">
        <v>15506</v>
      </c>
    </row>
    <row r="128" spans="1:21">
      <c r="A128" s="5">
        <v>165460</v>
      </c>
      <c r="B128" s="5" t="s">
        <v>10</v>
      </c>
      <c r="C128" s="5" t="s">
        <v>27</v>
      </c>
      <c r="D128" s="5" t="s">
        <v>21</v>
      </c>
      <c r="E128" s="5" t="s">
        <v>19</v>
      </c>
      <c r="F128" s="5" t="s">
        <v>14</v>
      </c>
      <c r="G128" s="5" t="s">
        <v>24</v>
      </c>
      <c r="H128" s="5">
        <v>57090</v>
      </c>
      <c r="I128" s="5">
        <v>378</v>
      </c>
      <c r="J128" s="6">
        <f t="shared" si="1"/>
        <v>56712</v>
      </c>
      <c r="L128" s="18">
        <v>145732</v>
      </c>
      <c r="M128" s="19" t="s">
        <v>10</v>
      </c>
      <c r="N128" s="19" t="s">
        <v>25</v>
      </c>
      <c r="O128" s="19" t="s">
        <v>30</v>
      </c>
      <c r="P128" s="19" t="s">
        <v>13</v>
      </c>
      <c r="Q128" s="19" t="s">
        <v>14</v>
      </c>
      <c r="R128" s="19" t="s">
        <v>24</v>
      </c>
      <c r="S128" s="19">
        <v>67930</v>
      </c>
      <c r="T128" s="77">
        <v>468</v>
      </c>
      <c r="U128" s="20">
        <v>67462</v>
      </c>
    </row>
    <row r="129" spans="1:21">
      <c r="A129" s="5">
        <v>61572</v>
      </c>
      <c r="B129" s="5" t="s">
        <v>10</v>
      </c>
      <c r="C129" s="5" t="s">
        <v>27</v>
      </c>
      <c r="D129" s="5" t="s">
        <v>23</v>
      </c>
      <c r="E129" s="5" t="s">
        <v>13</v>
      </c>
      <c r="F129" s="5" t="s">
        <v>14</v>
      </c>
      <c r="G129" s="5" t="s">
        <v>15</v>
      </c>
      <c r="H129" s="5">
        <v>111777</v>
      </c>
      <c r="I129" s="5">
        <v>10223</v>
      </c>
      <c r="J129" s="6">
        <f t="shared" si="1"/>
        <v>101554</v>
      </c>
      <c r="L129" s="21">
        <v>82959</v>
      </c>
      <c r="M129" s="22" t="s">
        <v>16</v>
      </c>
      <c r="N129" s="22" t="s">
        <v>34</v>
      </c>
      <c r="O129" s="22" t="s">
        <v>32</v>
      </c>
      <c r="P129" s="22" t="s">
        <v>13</v>
      </c>
      <c r="Q129" s="22" t="s">
        <v>14</v>
      </c>
      <c r="R129" s="22" t="s">
        <v>24</v>
      </c>
      <c r="S129" s="22">
        <v>18500</v>
      </c>
      <c r="T129" s="78">
        <v>0</v>
      </c>
      <c r="U129" s="23">
        <v>18500</v>
      </c>
    </row>
    <row r="130" spans="1:21">
      <c r="A130" s="5">
        <v>247583</v>
      </c>
      <c r="B130" s="5" t="s">
        <v>16</v>
      </c>
      <c r="C130" s="5" t="s">
        <v>17</v>
      </c>
      <c r="D130" s="5" t="s">
        <v>23</v>
      </c>
      <c r="E130" s="5" t="s">
        <v>19</v>
      </c>
      <c r="F130" s="5" t="s">
        <v>28</v>
      </c>
      <c r="G130" s="5" t="s">
        <v>15</v>
      </c>
      <c r="H130" s="5">
        <v>26704</v>
      </c>
      <c r="I130" s="5">
        <v>286</v>
      </c>
      <c r="J130" s="6">
        <f t="shared" ref="J130:J193" si="2">H130-I130</f>
        <v>26418</v>
      </c>
      <c r="L130" s="18">
        <v>256564</v>
      </c>
      <c r="M130" s="19" t="s">
        <v>10</v>
      </c>
      <c r="N130" s="19" t="s">
        <v>27</v>
      </c>
      <c r="O130" s="19" t="s">
        <v>29</v>
      </c>
      <c r="P130" s="19" t="s">
        <v>19</v>
      </c>
      <c r="Q130" s="19" t="s">
        <v>14</v>
      </c>
      <c r="R130" s="19" t="s">
        <v>24</v>
      </c>
      <c r="S130" s="19">
        <v>44214</v>
      </c>
      <c r="T130" s="77">
        <v>387</v>
      </c>
      <c r="U130" s="20">
        <v>43827</v>
      </c>
    </row>
    <row r="131" spans="1:21">
      <c r="A131" s="5">
        <v>62513</v>
      </c>
      <c r="B131" s="5" t="s">
        <v>10</v>
      </c>
      <c r="C131" s="5" t="s">
        <v>27</v>
      </c>
      <c r="D131" s="5" t="s">
        <v>32</v>
      </c>
      <c r="E131" s="5" t="s">
        <v>13</v>
      </c>
      <c r="F131" s="5" t="s">
        <v>14</v>
      </c>
      <c r="G131" s="5" t="s">
        <v>15</v>
      </c>
      <c r="H131" s="5">
        <v>71831</v>
      </c>
      <c r="I131" s="5">
        <v>3041</v>
      </c>
      <c r="J131" s="6">
        <f t="shared" si="2"/>
        <v>68790</v>
      </c>
      <c r="L131" s="21">
        <v>103659</v>
      </c>
      <c r="M131" s="22" t="s">
        <v>10</v>
      </c>
      <c r="N131" s="22" t="s">
        <v>11</v>
      </c>
      <c r="O131" s="22" t="s">
        <v>32</v>
      </c>
      <c r="P131" s="22" t="s">
        <v>13</v>
      </c>
      <c r="Q131" s="22" t="s">
        <v>14</v>
      </c>
      <c r="R131" s="22" t="s">
        <v>15</v>
      </c>
      <c r="S131" s="22">
        <v>162588</v>
      </c>
      <c r="T131" s="78">
        <v>1874</v>
      </c>
      <c r="U131" s="23">
        <v>160714</v>
      </c>
    </row>
    <row r="132" spans="1:21">
      <c r="A132" s="5">
        <v>189937</v>
      </c>
      <c r="B132" s="5" t="s">
        <v>16</v>
      </c>
      <c r="C132" s="5" t="s">
        <v>37</v>
      </c>
      <c r="D132" s="5" t="s">
        <v>30</v>
      </c>
      <c r="E132" s="5" t="s">
        <v>13</v>
      </c>
      <c r="F132" s="5" t="s">
        <v>14</v>
      </c>
      <c r="G132" s="5" t="s">
        <v>15</v>
      </c>
      <c r="H132" s="5">
        <v>47597</v>
      </c>
      <c r="I132" s="5">
        <v>602</v>
      </c>
      <c r="J132" s="6">
        <f t="shared" si="2"/>
        <v>46995</v>
      </c>
      <c r="L132" s="18">
        <v>113419</v>
      </c>
      <c r="M132" s="19" t="s">
        <v>16</v>
      </c>
      <c r="N132" s="19" t="s">
        <v>22</v>
      </c>
      <c r="O132" s="19" t="s">
        <v>33</v>
      </c>
      <c r="P132" s="19" t="s">
        <v>19</v>
      </c>
      <c r="Q132" s="19" t="s">
        <v>14</v>
      </c>
      <c r="R132" s="19" t="s">
        <v>24</v>
      </c>
      <c r="S132" s="19">
        <v>53957</v>
      </c>
      <c r="T132" s="77">
        <v>896</v>
      </c>
      <c r="U132" s="20">
        <v>53061</v>
      </c>
    </row>
    <row r="133" spans="1:21">
      <c r="A133" s="5">
        <v>164876</v>
      </c>
      <c r="B133" s="5" t="s">
        <v>10</v>
      </c>
      <c r="C133" s="5" t="s">
        <v>35</v>
      </c>
      <c r="D133" s="5" t="s">
        <v>12</v>
      </c>
      <c r="E133" s="5" t="s">
        <v>13</v>
      </c>
      <c r="F133" s="5" t="s">
        <v>14</v>
      </c>
      <c r="G133" s="5" t="s">
        <v>15</v>
      </c>
      <c r="H133" s="5">
        <v>63752</v>
      </c>
      <c r="I133" s="5">
        <v>2277</v>
      </c>
      <c r="J133" s="6">
        <f t="shared" si="2"/>
        <v>61475</v>
      </c>
      <c r="L133" s="21">
        <v>10357</v>
      </c>
      <c r="M133" s="22" t="s">
        <v>10</v>
      </c>
      <c r="N133" s="22" t="s">
        <v>11</v>
      </c>
      <c r="O133" s="22" t="s">
        <v>23</v>
      </c>
      <c r="P133" s="22" t="s">
        <v>19</v>
      </c>
      <c r="Q133" s="22" t="s">
        <v>14</v>
      </c>
      <c r="R133" s="22" t="s">
        <v>15</v>
      </c>
      <c r="S133" s="22">
        <v>81088</v>
      </c>
      <c r="T133" s="78">
        <v>1995</v>
      </c>
      <c r="U133" s="23">
        <v>79093</v>
      </c>
    </row>
    <row r="134" spans="1:21">
      <c r="A134" s="5">
        <v>253899</v>
      </c>
      <c r="B134" s="5" t="s">
        <v>16</v>
      </c>
      <c r="C134" s="5" t="s">
        <v>17</v>
      </c>
      <c r="D134" s="5" t="s">
        <v>33</v>
      </c>
      <c r="E134" s="5" t="s">
        <v>19</v>
      </c>
      <c r="F134" s="5" t="s">
        <v>14</v>
      </c>
      <c r="G134" s="5" t="s">
        <v>24</v>
      </c>
      <c r="H134" s="5">
        <v>40434</v>
      </c>
      <c r="I134" s="5">
        <v>1065</v>
      </c>
      <c r="J134" s="6">
        <f t="shared" si="2"/>
        <v>39369</v>
      </c>
      <c r="L134" s="18">
        <v>158471</v>
      </c>
      <c r="M134" s="19" t="s">
        <v>10</v>
      </c>
      <c r="N134" s="19" t="s">
        <v>22</v>
      </c>
      <c r="O134" s="19" t="s">
        <v>32</v>
      </c>
      <c r="P134" s="19" t="s">
        <v>19</v>
      </c>
      <c r="Q134" s="19" t="s">
        <v>14</v>
      </c>
      <c r="R134" s="19" t="s">
        <v>24</v>
      </c>
      <c r="S134" s="19">
        <v>21138</v>
      </c>
      <c r="T134" s="77">
        <v>0</v>
      </c>
      <c r="U134" s="20">
        <v>21138</v>
      </c>
    </row>
    <row r="135" spans="1:21">
      <c r="A135" s="5">
        <v>166422</v>
      </c>
      <c r="B135" s="5" t="s">
        <v>10</v>
      </c>
      <c r="C135" s="5" t="s">
        <v>22</v>
      </c>
      <c r="D135" s="5" t="s">
        <v>32</v>
      </c>
      <c r="E135" s="5" t="s">
        <v>19</v>
      </c>
      <c r="F135" s="5" t="s">
        <v>14</v>
      </c>
      <c r="G135" s="5" t="s">
        <v>24</v>
      </c>
      <c r="H135" s="5">
        <v>0</v>
      </c>
      <c r="I135" s="5">
        <v>0</v>
      </c>
      <c r="J135" s="6">
        <f t="shared" si="2"/>
        <v>0</v>
      </c>
      <c r="L135" s="21">
        <v>220027</v>
      </c>
      <c r="M135" s="22" t="s">
        <v>10</v>
      </c>
      <c r="N135" s="22" t="s">
        <v>11</v>
      </c>
      <c r="O135" s="22" t="s">
        <v>32</v>
      </c>
      <c r="P135" s="22" t="s">
        <v>19</v>
      </c>
      <c r="Q135" s="22" t="s">
        <v>14</v>
      </c>
      <c r="R135" s="22" t="s">
        <v>24</v>
      </c>
      <c r="S135" s="22">
        <v>130660</v>
      </c>
      <c r="T135" s="78">
        <v>1452</v>
      </c>
      <c r="U135" s="23">
        <v>129208</v>
      </c>
    </row>
    <row r="136" spans="1:21">
      <c r="A136" s="5">
        <v>98678</v>
      </c>
      <c r="B136" s="5" t="s">
        <v>16</v>
      </c>
      <c r="C136" s="5" t="s">
        <v>37</v>
      </c>
      <c r="D136" s="5" t="s">
        <v>12</v>
      </c>
      <c r="E136" s="5" t="s">
        <v>13</v>
      </c>
      <c r="F136" s="5" t="s">
        <v>14</v>
      </c>
      <c r="G136" s="5" t="s">
        <v>15</v>
      </c>
      <c r="H136" s="5">
        <v>23118</v>
      </c>
      <c r="I136" s="5">
        <v>332</v>
      </c>
      <c r="J136" s="6">
        <f t="shared" si="2"/>
        <v>22786</v>
      </c>
      <c r="L136" s="18">
        <v>36718</v>
      </c>
      <c r="M136" s="19" t="s">
        <v>16</v>
      </c>
      <c r="N136" s="19" t="s">
        <v>35</v>
      </c>
      <c r="O136" s="19" t="s">
        <v>36</v>
      </c>
      <c r="P136" s="19" t="s">
        <v>19</v>
      </c>
      <c r="Q136" s="19" t="s">
        <v>14</v>
      </c>
      <c r="R136" s="19" t="s">
        <v>24</v>
      </c>
      <c r="S136" s="19">
        <v>71502</v>
      </c>
      <c r="T136" s="77">
        <v>312</v>
      </c>
      <c r="U136" s="20">
        <v>71190</v>
      </c>
    </row>
    <row r="137" spans="1:21">
      <c r="A137" s="5">
        <v>233812</v>
      </c>
      <c r="B137" s="5" t="s">
        <v>16</v>
      </c>
      <c r="C137" s="5" t="s">
        <v>17</v>
      </c>
      <c r="D137" s="5" t="s">
        <v>12</v>
      </c>
      <c r="E137" s="5" t="s">
        <v>19</v>
      </c>
      <c r="F137" s="5" t="s">
        <v>14</v>
      </c>
      <c r="G137" s="5" t="s">
        <v>24</v>
      </c>
      <c r="H137" s="5">
        <v>33626</v>
      </c>
      <c r="I137" s="5">
        <v>1337</v>
      </c>
      <c r="J137" s="6">
        <f t="shared" si="2"/>
        <v>32289</v>
      </c>
      <c r="L137" s="21">
        <v>164984</v>
      </c>
      <c r="M137" s="22" t="s">
        <v>10</v>
      </c>
      <c r="N137" s="22" t="s">
        <v>17</v>
      </c>
      <c r="O137" s="22" t="s">
        <v>26</v>
      </c>
      <c r="P137" s="22" t="s">
        <v>19</v>
      </c>
      <c r="Q137" s="22" t="s">
        <v>14</v>
      </c>
      <c r="R137" s="22" t="s">
        <v>24</v>
      </c>
      <c r="S137" s="22">
        <v>70284</v>
      </c>
      <c r="T137" s="78">
        <v>320</v>
      </c>
      <c r="U137" s="23">
        <v>69964</v>
      </c>
    </row>
    <row r="138" spans="1:21">
      <c r="A138" s="5">
        <v>85654</v>
      </c>
      <c r="B138" s="5" t="s">
        <v>10</v>
      </c>
      <c r="C138" s="5" t="s">
        <v>11</v>
      </c>
      <c r="D138" s="5" t="s">
        <v>26</v>
      </c>
      <c r="E138" s="5" t="s">
        <v>13</v>
      </c>
      <c r="F138" s="5" t="s">
        <v>14</v>
      </c>
      <c r="G138" s="5" t="s">
        <v>15</v>
      </c>
      <c r="H138" s="5">
        <v>49023</v>
      </c>
      <c r="I138" s="5">
        <v>1112</v>
      </c>
      <c r="J138" s="6">
        <f t="shared" si="2"/>
        <v>47911</v>
      </c>
      <c r="L138" s="18">
        <v>15121</v>
      </c>
      <c r="M138" s="19" t="s">
        <v>10</v>
      </c>
      <c r="N138" s="19" t="s">
        <v>34</v>
      </c>
      <c r="O138" s="19" t="s">
        <v>26</v>
      </c>
      <c r="P138" s="19" t="s">
        <v>19</v>
      </c>
      <c r="Q138" s="19" t="s">
        <v>14</v>
      </c>
      <c r="R138" s="19" t="s">
        <v>24</v>
      </c>
      <c r="S138" s="19">
        <v>74516</v>
      </c>
      <c r="T138" s="77">
        <v>4620</v>
      </c>
      <c r="U138" s="20">
        <v>69896</v>
      </c>
    </row>
    <row r="139" spans="1:21">
      <c r="A139" s="5">
        <v>100428</v>
      </c>
      <c r="B139" s="5" t="s">
        <v>10</v>
      </c>
      <c r="C139" s="5" t="s">
        <v>11</v>
      </c>
      <c r="D139" s="5" t="s">
        <v>23</v>
      </c>
      <c r="E139" s="5" t="s">
        <v>19</v>
      </c>
      <c r="F139" s="5" t="s">
        <v>14</v>
      </c>
      <c r="G139" s="5" t="s">
        <v>24</v>
      </c>
      <c r="H139" s="5">
        <v>44018</v>
      </c>
      <c r="I139" s="5">
        <v>805</v>
      </c>
      <c r="J139" s="6">
        <f t="shared" si="2"/>
        <v>43213</v>
      </c>
      <c r="L139" s="21">
        <v>246468</v>
      </c>
      <c r="M139" s="22" t="s">
        <v>10</v>
      </c>
      <c r="N139" s="22" t="s">
        <v>11</v>
      </c>
      <c r="O139" s="22" t="s">
        <v>12</v>
      </c>
      <c r="P139" s="22" t="s">
        <v>13</v>
      </c>
      <c r="Q139" s="22" t="s">
        <v>14</v>
      </c>
      <c r="R139" s="22" t="s">
        <v>24</v>
      </c>
      <c r="S139" s="22">
        <v>100363</v>
      </c>
      <c r="T139" s="78">
        <v>772</v>
      </c>
      <c r="U139" s="23">
        <v>99591</v>
      </c>
    </row>
    <row r="140" spans="1:21">
      <c r="A140" s="5">
        <v>199811</v>
      </c>
      <c r="B140" s="5" t="s">
        <v>10</v>
      </c>
      <c r="C140" s="5" t="s">
        <v>34</v>
      </c>
      <c r="D140" s="5" t="s">
        <v>30</v>
      </c>
      <c r="E140" s="5" t="s">
        <v>13</v>
      </c>
      <c r="F140" s="5" t="s">
        <v>14</v>
      </c>
      <c r="G140" s="5" t="s">
        <v>15</v>
      </c>
      <c r="H140" s="5">
        <v>153645</v>
      </c>
      <c r="I140" s="5">
        <v>13465</v>
      </c>
      <c r="J140" s="6">
        <f t="shared" si="2"/>
        <v>140180</v>
      </c>
      <c r="L140" s="18">
        <v>25227</v>
      </c>
      <c r="M140" s="19" t="s">
        <v>10</v>
      </c>
      <c r="N140" s="19" t="s">
        <v>35</v>
      </c>
      <c r="O140" s="19" t="s">
        <v>23</v>
      </c>
      <c r="P140" s="19" t="s">
        <v>13</v>
      </c>
      <c r="Q140" s="19" t="s">
        <v>14</v>
      </c>
      <c r="R140" s="19" t="s">
        <v>15</v>
      </c>
      <c r="S140" s="19">
        <v>81360</v>
      </c>
      <c r="T140" s="77">
        <v>2869</v>
      </c>
      <c r="U140" s="20">
        <v>78491</v>
      </c>
    </row>
    <row r="141" spans="1:21">
      <c r="A141" s="5">
        <v>238918</v>
      </c>
      <c r="B141" s="5" t="s">
        <v>16</v>
      </c>
      <c r="C141" s="5" t="s">
        <v>17</v>
      </c>
      <c r="D141" s="5" t="s">
        <v>18</v>
      </c>
      <c r="E141" s="5" t="s">
        <v>19</v>
      </c>
      <c r="F141" s="5" t="s">
        <v>28</v>
      </c>
      <c r="G141" s="5" t="s">
        <v>24</v>
      </c>
      <c r="H141" s="5">
        <v>30551</v>
      </c>
      <c r="I141" s="5">
        <v>0</v>
      </c>
      <c r="J141" s="6">
        <f t="shared" si="2"/>
        <v>30551</v>
      </c>
      <c r="L141" s="21">
        <v>83444</v>
      </c>
      <c r="M141" s="22" t="s">
        <v>16</v>
      </c>
      <c r="N141" s="22" t="s">
        <v>34</v>
      </c>
      <c r="O141" s="22" t="s">
        <v>32</v>
      </c>
      <c r="P141" s="22" t="s">
        <v>13</v>
      </c>
      <c r="Q141" s="22" t="s">
        <v>14</v>
      </c>
      <c r="R141" s="22" t="s">
        <v>24</v>
      </c>
      <c r="S141" s="22">
        <v>868</v>
      </c>
      <c r="T141" s="78">
        <v>0</v>
      </c>
      <c r="U141" s="23">
        <v>868</v>
      </c>
    </row>
    <row r="142" spans="1:21">
      <c r="A142" s="5">
        <v>179467</v>
      </c>
      <c r="B142" s="5" t="s">
        <v>16</v>
      </c>
      <c r="C142" s="5" t="s">
        <v>35</v>
      </c>
      <c r="D142" s="5" t="s">
        <v>21</v>
      </c>
      <c r="E142" s="5" t="s">
        <v>19</v>
      </c>
      <c r="F142" s="5" t="s">
        <v>14</v>
      </c>
      <c r="G142" s="5" t="s">
        <v>24</v>
      </c>
      <c r="H142" s="5">
        <v>40291</v>
      </c>
      <c r="I142" s="5">
        <v>132</v>
      </c>
      <c r="J142" s="6">
        <f t="shared" si="2"/>
        <v>40159</v>
      </c>
      <c r="L142" s="18">
        <v>12174</v>
      </c>
      <c r="M142" s="19" t="s">
        <v>10</v>
      </c>
      <c r="N142" s="19" t="s">
        <v>34</v>
      </c>
      <c r="O142" s="19" t="s">
        <v>29</v>
      </c>
      <c r="P142" s="19" t="s">
        <v>19</v>
      </c>
      <c r="Q142" s="19" t="s">
        <v>14</v>
      </c>
      <c r="R142" s="19" t="s">
        <v>15</v>
      </c>
      <c r="S142" s="19">
        <v>105632</v>
      </c>
      <c r="T142" s="77">
        <v>703</v>
      </c>
      <c r="U142" s="20">
        <v>104929</v>
      </c>
    </row>
    <row r="143" spans="1:21">
      <c r="A143" s="5">
        <v>84077</v>
      </c>
      <c r="B143" s="5" t="s">
        <v>16</v>
      </c>
      <c r="C143" s="5" t="s">
        <v>34</v>
      </c>
      <c r="D143" s="5" t="s">
        <v>26</v>
      </c>
      <c r="E143" s="5" t="s">
        <v>13</v>
      </c>
      <c r="F143" s="5" t="s">
        <v>14</v>
      </c>
      <c r="G143" s="5" t="s">
        <v>24</v>
      </c>
      <c r="H143" s="5">
        <v>48649</v>
      </c>
      <c r="I143" s="5">
        <v>3338</v>
      </c>
      <c r="J143" s="6">
        <f t="shared" si="2"/>
        <v>45311</v>
      </c>
      <c r="L143" s="21">
        <v>108698</v>
      </c>
      <c r="M143" s="22" t="s">
        <v>10</v>
      </c>
      <c r="N143" s="22" t="s">
        <v>39</v>
      </c>
      <c r="O143" s="22" t="s">
        <v>23</v>
      </c>
      <c r="P143" s="22" t="s">
        <v>13</v>
      </c>
      <c r="Q143" s="22" t="s">
        <v>14</v>
      </c>
      <c r="R143" s="22" t="s">
        <v>24</v>
      </c>
      <c r="S143" s="22">
        <v>81081</v>
      </c>
      <c r="T143" s="78">
        <v>5429</v>
      </c>
      <c r="U143" s="23">
        <v>75652</v>
      </c>
    </row>
    <row r="144" spans="1:21">
      <c r="A144" s="5">
        <v>10417</v>
      </c>
      <c r="B144" s="5" t="s">
        <v>16</v>
      </c>
      <c r="C144" s="5" t="s">
        <v>34</v>
      </c>
      <c r="D144" s="5" t="s">
        <v>33</v>
      </c>
      <c r="E144" s="5" t="s">
        <v>13</v>
      </c>
      <c r="F144" s="5" t="s">
        <v>14</v>
      </c>
      <c r="G144" s="5" t="s">
        <v>24</v>
      </c>
      <c r="H144" s="5">
        <v>23126</v>
      </c>
      <c r="I144" s="5">
        <v>975</v>
      </c>
      <c r="J144" s="6">
        <f t="shared" si="2"/>
        <v>22151</v>
      </c>
      <c r="L144" s="18">
        <v>27822</v>
      </c>
      <c r="M144" s="19" t="s">
        <v>16</v>
      </c>
      <c r="N144" s="19" t="s">
        <v>11</v>
      </c>
      <c r="O144" s="19" t="s">
        <v>30</v>
      </c>
      <c r="P144" s="19" t="s">
        <v>13</v>
      </c>
      <c r="Q144" s="19" t="s">
        <v>14</v>
      </c>
      <c r="R144" s="19" t="s">
        <v>15</v>
      </c>
      <c r="S144" s="19">
        <v>65452</v>
      </c>
      <c r="T144" s="77">
        <v>2248</v>
      </c>
      <c r="U144" s="20">
        <v>63204</v>
      </c>
    </row>
    <row r="145" spans="1:21">
      <c r="A145" s="5">
        <v>89872</v>
      </c>
      <c r="B145" s="5" t="s">
        <v>10</v>
      </c>
      <c r="C145" s="5" t="s">
        <v>38</v>
      </c>
      <c r="D145" s="5" t="s">
        <v>32</v>
      </c>
      <c r="E145" s="5" t="s">
        <v>13</v>
      </c>
      <c r="F145" s="5" t="s">
        <v>14</v>
      </c>
      <c r="G145" s="5" t="s">
        <v>24</v>
      </c>
      <c r="H145" s="5">
        <v>22803</v>
      </c>
      <c r="I145" s="5">
        <v>0</v>
      </c>
      <c r="J145" s="6">
        <f t="shared" si="2"/>
        <v>22803</v>
      </c>
      <c r="L145" s="21">
        <v>201925</v>
      </c>
      <c r="M145" s="22" t="s">
        <v>10</v>
      </c>
      <c r="N145" s="22" t="s">
        <v>38</v>
      </c>
      <c r="O145" s="22" t="s">
        <v>32</v>
      </c>
      <c r="P145" s="22" t="s">
        <v>19</v>
      </c>
      <c r="Q145" s="22" t="s">
        <v>14</v>
      </c>
      <c r="R145" s="22" t="s">
        <v>24</v>
      </c>
      <c r="S145" s="22">
        <v>60741</v>
      </c>
      <c r="T145" s="78">
        <v>148</v>
      </c>
      <c r="U145" s="23">
        <v>60593</v>
      </c>
    </row>
    <row r="146" spans="1:21">
      <c r="A146" s="5">
        <v>106184</v>
      </c>
      <c r="B146" s="5" t="s">
        <v>16</v>
      </c>
      <c r="C146" s="5" t="s">
        <v>22</v>
      </c>
      <c r="D146" s="5" t="s">
        <v>23</v>
      </c>
      <c r="E146" s="5" t="s">
        <v>13</v>
      </c>
      <c r="F146" s="5" t="s">
        <v>14</v>
      </c>
      <c r="G146" s="5" t="s">
        <v>15</v>
      </c>
      <c r="H146" s="5">
        <v>61574</v>
      </c>
      <c r="I146" s="5">
        <v>305</v>
      </c>
      <c r="J146" s="6">
        <f t="shared" si="2"/>
        <v>61269</v>
      </c>
      <c r="L146" s="18">
        <v>92139</v>
      </c>
      <c r="M146" s="19" t="s">
        <v>10</v>
      </c>
      <c r="N146" s="19" t="s">
        <v>34</v>
      </c>
      <c r="O146" s="19" t="s">
        <v>23</v>
      </c>
      <c r="P146" s="19" t="s">
        <v>13</v>
      </c>
      <c r="Q146" s="19" t="s">
        <v>14</v>
      </c>
      <c r="R146" s="19" t="s">
        <v>15</v>
      </c>
      <c r="S146" s="19">
        <v>204950</v>
      </c>
      <c r="T146" s="77">
        <v>1470</v>
      </c>
      <c r="U146" s="20">
        <v>203480</v>
      </c>
    </row>
    <row r="147" spans="1:21">
      <c r="A147" s="5">
        <v>212671</v>
      </c>
      <c r="B147" s="5" t="s">
        <v>10</v>
      </c>
      <c r="C147" s="5" t="s">
        <v>34</v>
      </c>
      <c r="D147" s="5" t="s">
        <v>32</v>
      </c>
      <c r="E147" s="5" t="s">
        <v>13</v>
      </c>
      <c r="F147" s="5" t="s">
        <v>14</v>
      </c>
      <c r="G147" s="5" t="s">
        <v>15</v>
      </c>
      <c r="H147" s="5">
        <v>20410</v>
      </c>
      <c r="I147" s="5">
        <v>400</v>
      </c>
      <c r="J147" s="6">
        <f t="shared" si="2"/>
        <v>20010</v>
      </c>
      <c r="L147" s="21">
        <v>38261</v>
      </c>
      <c r="M147" s="22" t="s">
        <v>16</v>
      </c>
      <c r="N147" s="22" t="s">
        <v>35</v>
      </c>
      <c r="O147" s="22" t="s">
        <v>36</v>
      </c>
      <c r="P147" s="22" t="s">
        <v>13</v>
      </c>
      <c r="Q147" s="22" t="s">
        <v>14</v>
      </c>
      <c r="R147" s="22" t="s">
        <v>15</v>
      </c>
      <c r="S147" s="22">
        <v>37616</v>
      </c>
      <c r="T147" s="78">
        <v>368</v>
      </c>
      <c r="U147" s="23">
        <v>37248</v>
      </c>
    </row>
    <row r="148" spans="1:21">
      <c r="A148" s="5">
        <v>183036</v>
      </c>
      <c r="B148" s="5" t="s">
        <v>16</v>
      </c>
      <c r="C148" s="5" t="s">
        <v>20</v>
      </c>
      <c r="D148" s="5" t="s">
        <v>32</v>
      </c>
      <c r="E148" s="5" t="s">
        <v>19</v>
      </c>
      <c r="F148" s="5" t="s">
        <v>14</v>
      </c>
      <c r="G148" s="5" t="s">
        <v>24</v>
      </c>
      <c r="H148" s="5">
        <v>81512</v>
      </c>
      <c r="I148" s="5">
        <v>585</v>
      </c>
      <c r="J148" s="6">
        <f t="shared" si="2"/>
        <v>80927</v>
      </c>
      <c r="L148" s="18">
        <v>51149</v>
      </c>
      <c r="M148" s="19" t="s">
        <v>10</v>
      </c>
      <c r="N148" s="19" t="s">
        <v>35</v>
      </c>
      <c r="O148" s="19" t="s">
        <v>26</v>
      </c>
      <c r="P148" s="19" t="s">
        <v>19</v>
      </c>
      <c r="Q148" s="19" t="s">
        <v>14</v>
      </c>
      <c r="R148" s="19" t="s">
        <v>24</v>
      </c>
      <c r="S148" s="19">
        <v>34270</v>
      </c>
      <c r="T148" s="77">
        <v>309</v>
      </c>
      <c r="U148" s="20">
        <v>33961</v>
      </c>
    </row>
    <row r="149" spans="1:21">
      <c r="A149" s="5">
        <v>115457</v>
      </c>
      <c r="B149" s="5" t="s">
        <v>16</v>
      </c>
      <c r="C149" s="5" t="s">
        <v>25</v>
      </c>
      <c r="D149" s="5" t="s">
        <v>18</v>
      </c>
      <c r="E149" s="5" t="s">
        <v>19</v>
      </c>
      <c r="F149" s="5" t="s">
        <v>14</v>
      </c>
      <c r="G149" s="5" t="s">
        <v>24</v>
      </c>
      <c r="H149" s="5">
        <v>54378</v>
      </c>
      <c r="I149" s="5">
        <v>11234</v>
      </c>
      <c r="J149" s="6">
        <f t="shared" si="2"/>
        <v>43144</v>
      </c>
      <c r="L149" s="21">
        <v>60699</v>
      </c>
      <c r="M149" s="22" t="s">
        <v>16</v>
      </c>
      <c r="N149" s="22" t="s">
        <v>20</v>
      </c>
      <c r="O149" s="22" t="s">
        <v>32</v>
      </c>
      <c r="P149" s="22" t="s">
        <v>13</v>
      </c>
      <c r="Q149" s="22" t="s">
        <v>14</v>
      </c>
      <c r="R149" s="22" t="s">
        <v>15</v>
      </c>
      <c r="S149" s="22">
        <v>17057</v>
      </c>
      <c r="T149" s="78">
        <v>1881</v>
      </c>
      <c r="U149" s="23">
        <v>15176</v>
      </c>
    </row>
    <row r="150" spans="1:21">
      <c r="A150" s="5">
        <v>114266</v>
      </c>
      <c r="B150" s="5" t="s">
        <v>10</v>
      </c>
      <c r="C150" s="5" t="s">
        <v>22</v>
      </c>
      <c r="D150" s="5" t="s">
        <v>23</v>
      </c>
      <c r="E150" s="5" t="s">
        <v>19</v>
      </c>
      <c r="F150" s="5" t="s">
        <v>14</v>
      </c>
      <c r="G150" s="5" t="s">
        <v>15</v>
      </c>
      <c r="H150" s="5">
        <v>103899</v>
      </c>
      <c r="I150" s="5">
        <v>4277</v>
      </c>
      <c r="J150" s="6">
        <f t="shared" si="2"/>
        <v>99622</v>
      </c>
      <c r="L150" s="18">
        <v>92612</v>
      </c>
      <c r="M150" s="19" t="s">
        <v>16</v>
      </c>
      <c r="N150" s="19" t="s">
        <v>39</v>
      </c>
      <c r="O150" s="19" t="s">
        <v>33</v>
      </c>
      <c r="P150" s="19" t="s">
        <v>19</v>
      </c>
      <c r="Q150" s="19" t="s">
        <v>14</v>
      </c>
      <c r="R150" s="19" t="s">
        <v>15</v>
      </c>
      <c r="S150" s="19">
        <v>65677</v>
      </c>
      <c r="T150" s="77">
        <v>592</v>
      </c>
      <c r="U150" s="20">
        <v>65085</v>
      </c>
    </row>
    <row r="151" spans="1:21">
      <c r="A151" s="5">
        <v>135972</v>
      </c>
      <c r="B151" s="5" t="s">
        <v>16</v>
      </c>
      <c r="C151" s="5" t="s">
        <v>22</v>
      </c>
      <c r="D151" s="5" t="s">
        <v>33</v>
      </c>
      <c r="E151" s="5" t="s">
        <v>19</v>
      </c>
      <c r="F151" s="5" t="s">
        <v>14</v>
      </c>
      <c r="G151" s="5" t="s">
        <v>15</v>
      </c>
      <c r="H151" s="5">
        <v>67993</v>
      </c>
      <c r="I151" s="5">
        <v>323</v>
      </c>
      <c r="J151" s="6">
        <f t="shared" si="2"/>
        <v>67670</v>
      </c>
      <c r="L151" s="21">
        <v>75483</v>
      </c>
      <c r="M151" s="22" t="s">
        <v>10</v>
      </c>
      <c r="N151" s="22" t="s">
        <v>35</v>
      </c>
      <c r="O151" s="22" t="s">
        <v>32</v>
      </c>
      <c r="P151" s="22" t="s">
        <v>19</v>
      </c>
      <c r="Q151" s="22" t="s">
        <v>14</v>
      </c>
      <c r="R151" s="22" t="s">
        <v>24</v>
      </c>
      <c r="S151" s="22">
        <v>56512</v>
      </c>
      <c r="T151" s="78">
        <v>0</v>
      </c>
      <c r="U151" s="23">
        <v>56512</v>
      </c>
    </row>
    <row r="152" spans="1:21">
      <c r="A152" s="5">
        <v>121500</v>
      </c>
      <c r="B152" s="5" t="s">
        <v>16</v>
      </c>
      <c r="C152" s="5" t="s">
        <v>22</v>
      </c>
      <c r="D152" s="5" t="s">
        <v>30</v>
      </c>
      <c r="E152" s="5" t="s">
        <v>13</v>
      </c>
      <c r="F152" s="5" t="s">
        <v>14</v>
      </c>
      <c r="G152" s="5" t="s">
        <v>15</v>
      </c>
      <c r="H152" s="5">
        <v>38749</v>
      </c>
      <c r="I152" s="5">
        <v>4745</v>
      </c>
      <c r="J152" s="6">
        <f t="shared" si="2"/>
        <v>34004</v>
      </c>
      <c r="L152" s="18">
        <v>124344</v>
      </c>
      <c r="M152" s="19" t="s">
        <v>10</v>
      </c>
      <c r="N152" s="19" t="s">
        <v>35</v>
      </c>
      <c r="O152" s="19" t="s">
        <v>23</v>
      </c>
      <c r="P152" s="19" t="s">
        <v>13</v>
      </c>
      <c r="Q152" s="19" t="s">
        <v>14</v>
      </c>
      <c r="R152" s="19" t="s">
        <v>24</v>
      </c>
      <c r="S152" s="19">
        <v>99883</v>
      </c>
      <c r="T152" s="77">
        <v>10904</v>
      </c>
      <c r="U152" s="20">
        <v>88979</v>
      </c>
    </row>
    <row r="153" spans="1:21">
      <c r="A153" s="5">
        <v>170658</v>
      </c>
      <c r="B153" s="5" t="s">
        <v>10</v>
      </c>
      <c r="C153" s="5" t="s">
        <v>17</v>
      </c>
      <c r="D153" s="5" t="s">
        <v>36</v>
      </c>
      <c r="E153" s="5" t="s">
        <v>19</v>
      </c>
      <c r="F153" s="5" t="s">
        <v>14</v>
      </c>
      <c r="G153" s="5" t="s">
        <v>15</v>
      </c>
      <c r="H153" s="5">
        <v>15506</v>
      </c>
      <c r="I153" s="5">
        <v>0</v>
      </c>
      <c r="J153" s="6">
        <f t="shared" si="2"/>
        <v>15506</v>
      </c>
      <c r="L153" s="21">
        <v>198744</v>
      </c>
      <c r="M153" s="22" t="s">
        <v>10</v>
      </c>
      <c r="N153" s="22" t="s">
        <v>34</v>
      </c>
      <c r="O153" s="22" t="s">
        <v>12</v>
      </c>
      <c r="P153" s="22" t="s">
        <v>13</v>
      </c>
      <c r="Q153" s="22" t="s">
        <v>14</v>
      </c>
      <c r="R153" s="22" t="s">
        <v>15</v>
      </c>
      <c r="S153" s="22">
        <v>57610</v>
      </c>
      <c r="T153" s="78">
        <v>465</v>
      </c>
      <c r="U153" s="23">
        <v>57145</v>
      </c>
    </row>
    <row r="154" spans="1:21">
      <c r="A154" s="5">
        <v>145732</v>
      </c>
      <c r="B154" s="5" t="s">
        <v>10</v>
      </c>
      <c r="C154" s="5" t="s">
        <v>25</v>
      </c>
      <c r="D154" s="5" t="s">
        <v>30</v>
      </c>
      <c r="E154" s="5" t="s">
        <v>13</v>
      </c>
      <c r="F154" s="5" t="s">
        <v>14</v>
      </c>
      <c r="G154" s="5" t="s">
        <v>24</v>
      </c>
      <c r="H154" s="5">
        <v>67930</v>
      </c>
      <c r="I154" s="5">
        <v>468</v>
      </c>
      <c r="J154" s="6">
        <f t="shared" si="2"/>
        <v>67462</v>
      </c>
      <c r="L154" s="18">
        <v>181624</v>
      </c>
      <c r="M154" s="19" t="s">
        <v>16</v>
      </c>
      <c r="N154" s="19" t="s">
        <v>34</v>
      </c>
      <c r="O154" s="19" t="s">
        <v>18</v>
      </c>
      <c r="P154" s="19" t="s">
        <v>13</v>
      </c>
      <c r="Q154" s="19" t="s">
        <v>14</v>
      </c>
      <c r="R154" s="19" t="s">
        <v>15</v>
      </c>
      <c r="S154" s="19">
        <v>40743</v>
      </c>
      <c r="T154" s="77">
        <v>151</v>
      </c>
      <c r="U154" s="20">
        <v>40592</v>
      </c>
    </row>
    <row r="155" spans="1:21">
      <c r="A155" s="5">
        <v>82959</v>
      </c>
      <c r="B155" s="5" t="s">
        <v>16</v>
      </c>
      <c r="C155" s="5" t="s">
        <v>34</v>
      </c>
      <c r="D155" s="5" t="s">
        <v>32</v>
      </c>
      <c r="E155" s="5" t="s">
        <v>13</v>
      </c>
      <c r="F155" s="5" t="s">
        <v>14</v>
      </c>
      <c r="G155" s="5" t="s">
        <v>24</v>
      </c>
      <c r="H155" s="5">
        <v>18500</v>
      </c>
      <c r="I155" s="5">
        <v>0</v>
      </c>
      <c r="J155" s="6">
        <f t="shared" si="2"/>
        <v>18500</v>
      </c>
      <c r="L155" s="21">
        <v>25026</v>
      </c>
      <c r="M155" s="22" t="s">
        <v>16</v>
      </c>
      <c r="N155" s="22" t="s">
        <v>11</v>
      </c>
      <c r="O155" s="22" t="s">
        <v>12</v>
      </c>
      <c r="P155" s="22" t="s">
        <v>19</v>
      </c>
      <c r="Q155" s="22" t="s">
        <v>14</v>
      </c>
      <c r="R155" s="22" t="s">
        <v>15</v>
      </c>
      <c r="S155" s="22">
        <v>87091</v>
      </c>
      <c r="T155" s="78">
        <v>2691</v>
      </c>
      <c r="U155" s="23">
        <v>84400</v>
      </c>
    </row>
    <row r="156" spans="1:21">
      <c r="A156" s="5">
        <v>76082</v>
      </c>
      <c r="B156" s="5" t="s">
        <v>16</v>
      </c>
      <c r="C156" s="5" t="s">
        <v>20</v>
      </c>
      <c r="D156" s="5" t="s">
        <v>32</v>
      </c>
      <c r="E156" s="5" t="s">
        <v>19</v>
      </c>
      <c r="F156" s="5" t="s">
        <v>28</v>
      </c>
      <c r="G156" s="5" t="s">
        <v>24</v>
      </c>
      <c r="H156" s="5">
        <v>303</v>
      </c>
      <c r="I156" s="5">
        <v>0</v>
      </c>
      <c r="J156" s="6">
        <f t="shared" si="2"/>
        <v>303</v>
      </c>
      <c r="L156" s="18">
        <v>54112</v>
      </c>
      <c r="M156" s="19" t="s">
        <v>16</v>
      </c>
      <c r="N156" s="19" t="s">
        <v>22</v>
      </c>
      <c r="O156" s="19" t="s">
        <v>12</v>
      </c>
      <c r="P156" s="19" t="s">
        <v>19</v>
      </c>
      <c r="Q156" s="19" t="s">
        <v>14</v>
      </c>
      <c r="R156" s="19" t="s">
        <v>15</v>
      </c>
      <c r="S156" s="19">
        <v>151829</v>
      </c>
      <c r="T156" s="77">
        <v>7641</v>
      </c>
      <c r="U156" s="20">
        <v>144188</v>
      </c>
    </row>
    <row r="157" spans="1:21">
      <c r="A157" s="5">
        <v>72102</v>
      </c>
      <c r="B157" s="5" t="s">
        <v>16</v>
      </c>
      <c r="C157" s="5" t="s">
        <v>27</v>
      </c>
      <c r="D157" s="5" t="s">
        <v>26</v>
      </c>
      <c r="E157" s="5" t="s">
        <v>13</v>
      </c>
      <c r="F157" s="5" t="s">
        <v>28</v>
      </c>
      <c r="G157" s="5" t="s">
        <v>24</v>
      </c>
      <c r="H157" s="5">
        <v>13558</v>
      </c>
      <c r="I157" s="5">
        <v>404</v>
      </c>
      <c r="J157" s="6">
        <f t="shared" si="2"/>
        <v>13154</v>
      </c>
      <c r="L157" s="21">
        <v>23797</v>
      </c>
      <c r="M157" s="22" t="s">
        <v>16</v>
      </c>
      <c r="N157" s="22" t="s">
        <v>11</v>
      </c>
      <c r="O157" s="22" t="s">
        <v>33</v>
      </c>
      <c r="P157" s="22" t="s">
        <v>19</v>
      </c>
      <c r="Q157" s="22" t="s">
        <v>14</v>
      </c>
      <c r="R157" s="22" t="s">
        <v>24</v>
      </c>
      <c r="S157" s="22">
        <v>27462</v>
      </c>
      <c r="T157" s="78">
        <v>433</v>
      </c>
      <c r="U157" s="23">
        <v>27029</v>
      </c>
    </row>
    <row r="158" spans="1:21">
      <c r="A158" s="5">
        <v>256564</v>
      </c>
      <c r="B158" s="5" t="s">
        <v>10</v>
      </c>
      <c r="C158" s="5" t="s">
        <v>27</v>
      </c>
      <c r="D158" s="5" t="s">
        <v>29</v>
      </c>
      <c r="E158" s="5" t="s">
        <v>19</v>
      </c>
      <c r="F158" s="5" t="s">
        <v>14</v>
      </c>
      <c r="G158" s="5" t="s">
        <v>24</v>
      </c>
      <c r="H158" s="5">
        <v>44214</v>
      </c>
      <c r="I158" s="5">
        <v>387</v>
      </c>
      <c r="J158" s="6">
        <f t="shared" si="2"/>
        <v>43827</v>
      </c>
      <c r="L158" s="18">
        <v>174356</v>
      </c>
      <c r="M158" s="19" t="s">
        <v>16</v>
      </c>
      <c r="N158" s="19" t="s">
        <v>34</v>
      </c>
      <c r="O158" s="19" t="s">
        <v>32</v>
      </c>
      <c r="P158" s="19" t="s">
        <v>19</v>
      </c>
      <c r="Q158" s="19" t="s">
        <v>14</v>
      </c>
      <c r="R158" s="19" t="s">
        <v>24</v>
      </c>
      <c r="S158" s="19">
        <v>20258</v>
      </c>
      <c r="T158" s="77">
        <v>0</v>
      </c>
      <c r="U158" s="20">
        <v>20258</v>
      </c>
    </row>
    <row r="159" spans="1:21">
      <c r="A159" s="5">
        <v>103659</v>
      </c>
      <c r="B159" s="5" t="s">
        <v>10</v>
      </c>
      <c r="C159" s="5" t="s">
        <v>11</v>
      </c>
      <c r="D159" s="5" t="s">
        <v>32</v>
      </c>
      <c r="E159" s="5" t="s">
        <v>13</v>
      </c>
      <c r="F159" s="5" t="s">
        <v>14</v>
      </c>
      <c r="G159" s="5" t="s">
        <v>15</v>
      </c>
      <c r="H159" s="5">
        <v>162588</v>
      </c>
      <c r="I159" s="5">
        <v>1874</v>
      </c>
      <c r="J159" s="6">
        <f t="shared" si="2"/>
        <v>160714</v>
      </c>
      <c r="L159" s="21">
        <v>158404</v>
      </c>
      <c r="M159" s="22" t="s">
        <v>16</v>
      </c>
      <c r="N159" s="22" t="s">
        <v>27</v>
      </c>
      <c r="O159" s="22" t="s">
        <v>29</v>
      </c>
      <c r="P159" s="22" t="s">
        <v>13</v>
      </c>
      <c r="Q159" s="22" t="s">
        <v>14</v>
      </c>
      <c r="R159" s="22" t="s">
        <v>24</v>
      </c>
      <c r="S159" s="22">
        <v>63833</v>
      </c>
      <c r="T159" s="78">
        <v>1014</v>
      </c>
      <c r="U159" s="23">
        <v>62819</v>
      </c>
    </row>
    <row r="160" spans="1:21">
      <c r="A160" s="5">
        <v>241528</v>
      </c>
      <c r="B160" s="5" t="s">
        <v>16</v>
      </c>
      <c r="C160" s="5" t="s">
        <v>25</v>
      </c>
      <c r="D160" s="5" t="s">
        <v>36</v>
      </c>
      <c r="E160" s="5" t="s">
        <v>19</v>
      </c>
      <c r="F160" s="5" t="s">
        <v>28</v>
      </c>
      <c r="G160" s="5" t="s">
        <v>24</v>
      </c>
      <c r="H160" s="5">
        <v>19823</v>
      </c>
      <c r="I160" s="5">
        <v>0</v>
      </c>
      <c r="J160" s="6">
        <f t="shared" si="2"/>
        <v>19823</v>
      </c>
      <c r="L160" s="18">
        <v>215374</v>
      </c>
      <c r="M160" s="19" t="s">
        <v>10</v>
      </c>
      <c r="N160" s="19" t="s">
        <v>39</v>
      </c>
      <c r="O160" s="19" t="s">
        <v>32</v>
      </c>
      <c r="P160" s="19" t="s">
        <v>13</v>
      </c>
      <c r="Q160" s="19" t="s">
        <v>14</v>
      </c>
      <c r="R160" s="19" t="s">
        <v>15</v>
      </c>
      <c r="S160" s="19">
        <v>15211</v>
      </c>
      <c r="T160" s="77">
        <v>0</v>
      </c>
      <c r="U160" s="20">
        <v>15211</v>
      </c>
    </row>
    <row r="161" spans="1:21">
      <c r="A161" s="5">
        <v>113419</v>
      </c>
      <c r="B161" s="5" t="s">
        <v>16</v>
      </c>
      <c r="C161" s="5" t="s">
        <v>22</v>
      </c>
      <c r="D161" s="5" t="s">
        <v>33</v>
      </c>
      <c r="E161" s="5" t="s">
        <v>19</v>
      </c>
      <c r="F161" s="5" t="s">
        <v>14</v>
      </c>
      <c r="G161" s="5" t="s">
        <v>24</v>
      </c>
      <c r="H161" s="5">
        <v>53957</v>
      </c>
      <c r="I161" s="5">
        <v>896</v>
      </c>
      <c r="J161" s="6">
        <f t="shared" si="2"/>
        <v>53061</v>
      </c>
      <c r="L161" s="21">
        <v>141908</v>
      </c>
      <c r="M161" s="22" t="s">
        <v>16</v>
      </c>
      <c r="N161" s="22" t="s">
        <v>25</v>
      </c>
      <c r="O161" s="22" t="s">
        <v>18</v>
      </c>
      <c r="P161" s="22" t="s">
        <v>19</v>
      </c>
      <c r="Q161" s="22" t="s">
        <v>14</v>
      </c>
      <c r="R161" s="22" t="s">
        <v>24</v>
      </c>
      <c r="S161" s="22">
        <v>21540</v>
      </c>
      <c r="T161" s="78">
        <v>237</v>
      </c>
      <c r="U161" s="23">
        <v>21303</v>
      </c>
    </row>
    <row r="162" spans="1:21">
      <c r="A162" s="5">
        <v>10357</v>
      </c>
      <c r="B162" s="5" t="s">
        <v>10</v>
      </c>
      <c r="C162" s="5" t="s">
        <v>11</v>
      </c>
      <c r="D162" s="5" t="s">
        <v>23</v>
      </c>
      <c r="E162" s="5" t="s">
        <v>19</v>
      </c>
      <c r="F162" s="5" t="s">
        <v>14</v>
      </c>
      <c r="G162" s="5" t="s">
        <v>15</v>
      </c>
      <c r="H162" s="5">
        <v>81088</v>
      </c>
      <c r="I162" s="5">
        <v>1995</v>
      </c>
      <c r="J162" s="6">
        <f t="shared" si="2"/>
        <v>79093</v>
      </c>
      <c r="L162" s="18">
        <v>197070</v>
      </c>
      <c r="M162" s="19" t="s">
        <v>10</v>
      </c>
      <c r="N162" s="19" t="s">
        <v>35</v>
      </c>
      <c r="O162" s="19" t="s">
        <v>23</v>
      </c>
      <c r="P162" s="19" t="s">
        <v>13</v>
      </c>
      <c r="Q162" s="19" t="s">
        <v>14</v>
      </c>
      <c r="R162" s="19" t="s">
        <v>15</v>
      </c>
      <c r="S162" s="19">
        <v>67726</v>
      </c>
      <c r="T162" s="77">
        <v>3212</v>
      </c>
      <c r="U162" s="20">
        <v>64514</v>
      </c>
    </row>
    <row r="163" spans="1:21">
      <c r="A163" s="5">
        <v>158471</v>
      </c>
      <c r="B163" s="5" t="s">
        <v>10</v>
      </c>
      <c r="C163" s="5" t="s">
        <v>22</v>
      </c>
      <c r="D163" s="5" t="s">
        <v>32</v>
      </c>
      <c r="E163" s="5" t="s">
        <v>19</v>
      </c>
      <c r="F163" s="5" t="s">
        <v>14</v>
      </c>
      <c r="G163" s="5" t="s">
        <v>24</v>
      </c>
      <c r="H163" s="5">
        <v>21138</v>
      </c>
      <c r="I163" s="5">
        <v>0</v>
      </c>
      <c r="J163" s="6">
        <f t="shared" si="2"/>
        <v>21138</v>
      </c>
      <c r="L163" s="21">
        <v>148606</v>
      </c>
      <c r="M163" s="22" t="s">
        <v>10</v>
      </c>
      <c r="N163" s="22" t="s">
        <v>31</v>
      </c>
      <c r="O163" s="22" t="s">
        <v>18</v>
      </c>
      <c r="P163" s="22" t="s">
        <v>19</v>
      </c>
      <c r="Q163" s="22" t="s">
        <v>14</v>
      </c>
      <c r="R163" s="22" t="s">
        <v>24</v>
      </c>
      <c r="S163" s="22">
        <v>8948</v>
      </c>
      <c r="T163" s="78">
        <v>205</v>
      </c>
      <c r="U163" s="23">
        <v>8743</v>
      </c>
    </row>
    <row r="164" spans="1:21">
      <c r="A164" s="5">
        <v>220027</v>
      </c>
      <c r="B164" s="5" t="s">
        <v>10</v>
      </c>
      <c r="C164" s="5" t="s">
        <v>11</v>
      </c>
      <c r="D164" s="5" t="s">
        <v>32</v>
      </c>
      <c r="E164" s="5" t="s">
        <v>19</v>
      </c>
      <c r="F164" s="5" t="s">
        <v>14</v>
      </c>
      <c r="G164" s="5" t="s">
        <v>24</v>
      </c>
      <c r="H164" s="5">
        <v>130660</v>
      </c>
      <c r="I164" s="5">
        <v>1452</v>
      </c>
      <c r="J164" s="6">
        <f t="shared" si="2"/>
        <v>129208</v>
      </c>
      <c r="L164" s="18">
        <v>230492</v>
      </c>
      <c r="M164" s="19" t="s">
        <v>10</v>
      </c>
      <c r="N164" s="19" t="s">
        <v>22</v>
      </c>
      <c r="O164" s="19" t="s">
        <v>23</v>
      </c>
      <c r="P164" s="19" t="s">
        <v>13</v>
      </c>
      <c r="Q164" s="19" t="s">
        <v>14</v>
      </c>
      <c r="R164" s="19" t="s">
        <v>24</v>
      </c>
      <c r="S164" s="19">
        <v>44467</v>
      </c>
      <c r="T164" s="77">
        <v>4635</v>
      </c>
      <c r="U164" s="20">
        <v>39832</v>
      </c>
    </row>
    <row r="165" spans="1:21">
      <c r="A165" s="5">
        <v>36718</v>
      </c>
      <c r="B165" s="5" t="s">
        <v>16</v>
      </c>
      <c r="C165" s="5" t="s">
        <v>35</v>
      </c>
      <c r="D165" s="5" t="s">
        <v>36</v>
      </c>
      <c r="E165" s="5" t="s">
        <v>19</v>
      </c>
      <c r="F165" s="5" t="s">
        <v>14</v>
      </c>
      <c r="G165" s="5" t="s">
        <v>24</v>
      </c>
      <c r="H165" s="5">
        <v>71502</v>
      </c>
      <c r="I165" s="5">
        <v>312</v>
      </c>
      <c r="J165" s="6">
        <f t="shared" si="2"/>
        <v>71190</v>
      </c>
      <c r="L165" s="21">
        <v>118908</v>
      </c>
      <c r="M165" s="22" t="s">
        <v>10</v>
      </c>
      <c r="N165" s="22" t="s">
        <v>27</v>
      </c>
      <c r="O165" s="22" t="s">
        <v>12</v>
      </c>
      <c r="P165" s="22" t="s">
        <v>13</v>
      </c>
      <c r="Q165" s="22" t="s">
        <v>14</v>
      </c>
      <c r="R165" s="22" t="s">
        <v>15</v>
      </c>
      <c r="S165" s="22">
        <v>73607</v>
      </c>
      <c r="T165" s="78">
        <v>4883</v>
      </c>
      <c r="U165" s="23">
        <v>68724</v>
      </c>
    </row>
    <row r="166" spans="1:21">
      <c r="A166" s="5">
        <v>84392</v>
      </c>
      <c r="B166" s="5" t="s">
        <v>10</v>
      </c>
      <c r="C166" s="5" t="s">
        <v>34</v>
      </c>
      <c r="D166" s="5" t="s">
        <v>12</v>
      </c>
      <c r="E166" s="5" t="s">
        <v>13</v>
      </c>
      <c r="F166" s="5" t="s">
        <v>28</v>
      </c>
      <c r="G166" s="5" t="s">
        <v>24</v>
      </c>
      <c r="H166" s="5">
        <v>83643</v>
      </c>
      <c r="I166" s="5">
        <v>2200</v>
      </c>
      <c r="J166" s="6">
        <f t="shared" si="2"/>
        <v>81443</v>
      </c>
      <c r="L166" s="18">
        <v>97908</v>
      </c>
      <c r="M166" s="19" t="s">
        <v>16</v>
      </c>
      <c r="N166" s="19" t="s">
        <v>34</v>
      </c>
      <c r="O166" s="19" t="s">
        <v>26</v>
      </c>
      <c r="P166" s="19" t="s">
        <v>13</v>
      </c>
      <c r="Q166" s="19" t="s">
        <v>14</v>
      </c>
      <c r="R166" s="19" t="s">
        <v>24</v>
      </c>
      <c r="S166" s="19">
        <v>42603</v>
      </c>
      <c r="T166" s="77">
        <v>1519</v>
      </c>
      <c r="U166" s="20">
        <v>41084</v>
      </c>
    </row>
    <row r="167" spans="1:21">
      <c r="A167" s="5">
        <v>164984</v>
      </c>
      <c r="B167" s="5" t="s">
        <v>10</v>
      </c>
      <c r="C167" s="5" t="s">
        <v>17</v>
      </c>
      <c r="D167" s="5" t="s">
        <v>26</v>
      </c>
      <c r="E167" s="5" t="s">
        <v>19</v>
      </c>
      <c r="F167" s="5" t="s">
        <v>14</v>
      </c>
      <c r="G167" s="5" t="s">
        <v>24</v>
      </c>
      <c r="H167" s="5">
        <v>70284</v>
      </c>
      <c r="I167" s="5">
        <v>320</v>
      </c>
      <c r="J167" s="6">
        <f t="shared" si="2"/>
        <v>69964</v>
      </c>
      <c r="L167" s="21">
        <v>213263</v>
      </c>
      <c r="M167" s="22" t="s">
        <v>16</v>
      </c>
      <c r="N167" s="22" t="s">
        <v>34</v>
      </c>
      <c r="O167" s="22" t="s">
        <v>32</v>
      </c>
      <c r="P167" s="22" t="s">
        <v>13</v>
      </c>
      <c r="Q167" s="22" t="s">
        <v>14</v>
      </c>
      <c r="R167" s="22" t="s">
        <v>15</v>
      </c>
      <c r="S167" s="22">
        <v>134744</v>
      </c>
      <c r="T167" s="78">
        <v>391</v>
      </c>
      <c r="U167" s="23">
        <v>134353</v>
      </c>
    </row>
    <row r="168" spans="1:21">
      <c r="A168" s="5">
        <v>15121</v>
      </c>
      <c r="B168" s="5" t="s">
        <v>10</v>
      </c>
      <c r="C168" s="5" t="s">
        <v>34</v>
      </c>
      <c r="D168" s="5" t="s">
        <v>26</v>
      </c>
      <c r="E168" s="5" t="s">
        <v>19</v>
      </c>
      <c r="F168" s="5" t="s">
        <v>14</v>
      </c>
      <c r="G168" s="5" t="s">
        <v>24</v>
      </c>
      <c r="H168" s="5">
        <v>74516</v>
      </c>
      <c r="I168" s="5">
        <v>4620</v>
      </c>
      <c r="J168" s="6">
        <f t="shared" si="2"/>
        <v>69896</v>
      </c>
      <c r="L168" s="18">
        <v>129487</v>
      </c>
      <c r="M168" s="19" t="s">
        <v>10</v>
      </c>
      <c r="N168" s="19" t="s">
        <v>22</v>
      </c>
      <c r="O168" s="19" t="s">
        <v>23</v>
      </c>
      <c r="P168" s="19" t="s">
        <v>13</v>
      </c>
      <c r="Q168" s="19" t="s">
        <v>14</v>
      </c>
      <c r="R168" s="19" t="s">
        <v>24</v>
      </c>
      <c r="S168" s="19">
        <v>75608</v>
      </c>
      <c r="T168" s="77">
        <v>0</v>
      </c>
      <c r="U168" s="20">
        <v>75608</v>
      </c>
    </row>
    <row r="169" spans="1:21">
      <c r="A169" s="5">
        <v>246468</v>
      </c>
      <c r="B169" s="5" t="s">
        <v>10</v>
      </c>
      <c r="C169" s="5" t="s">
        <v>11</v>
      </c>
      <c r="D169" s="5" t="s">
        <v>12</v>
      </c>
      <c r="E169" s="5" t="s">
        <v>13</v>
      </c>
      <c r="F169" s="5" t="s">
        <v>14</v>
      </c>
      <c r="G169" s="5" t="s">
        <v>24</v>
      </c>
      <c r="H169" s="5">
        <v>100363</v>
      </c>
      <c r="I169" s="5">
        <v>772</v>
      </c>
      <c r="J169" s="6">
        <f t="shared" si="2"/>
        <v>99591</v>
      </c>
      <c r="L169" s="21">
        <v>152928</v>
      </c>
      <c r="M169" s="22" t="s">
        <v>10</v>
      </c>
      <c r="N169" s="22" t="s">
        <v>27</v>
      </c>
      <c r="O169" s="22" t="s">
        <v>21</v>
      </c>
      <c r="P169" s="22" t="s">
        <v>19</v>
      </c>
      <c r="Q169" s="22" t="s">
        <v>14</v>
      </c>
      <c r="R169" s="22" t="s">
        <v>24</v>
      </c>
      <c r="S169" s="22">
        <v>36783</v>
      </c>
      <c r="T169" s="78">
        <v>1746</v>
      </c>
      <c r="U169" s="23">
        <v>35037</v>
      </c>
    </row>
    <row r="170" spans="1:21">
      <c r="A170" s="5">
        <v>25227</v>
      </c>
      <c r="B170" s="5" t="s">
        <v>10</v>
      </c>
      <c r="C170" s="5" t="s">
        <v>35</v>
      </c>
      <c r="D170" s="5" t="s">
        <v>23</v>
      </c>
      <c r="E170" s="5" t="s">
        <v>13</v>
      </c>
      <c r="F170" s="5" t="s">
        <v>14</v>
      </c>
      <c r="G170" s="5" t="s">
        <v>15</v>
      </c>
      <c r="H170" s="5">
        <v>81360</v>
      </c>
      <c r="I170" s="5">
        <v>2869</v>
      </c>
      <c r="J170" s="6">
        <f t="shared" si="2"/>
        <v>78491</v>
      </c>
      <c r="L170" s="18">
        <v>182469</v>
      </c>
      <c r="M170" s="19" t="s">
        <v>16</v>
      </c>
      <c r="N170" s="19" t="s">
        <v>20</v>
      </c>
      <c r="O170" s="19" t="s">
        <v>32</v>
      </c>
      <c r="P170" s="19" t="s">
        <v>19</v>
      </c>
      <c r="Q170" s="19" t="s">
        <v>14</v>
      </c>
      <c r="R170" s="19" t="s">
        <v>15</v>
      </c>
      <c r="S170" s="19">
        <v>16680</v>
      </c>
      <c r="T170" s="77">
        <v>0</v>
      </c>
      <c r="U170" s="20">
        <v>16680</v>
      </c>
    </row>
    <row r="171" spans="1:21">
      <c r="A171" s="5">
        <v>83444</v>
      </c>
      <c r="B171" s="5" t="s">
        <v>16</v>
      </c>
      <c r="C171" s="5" t="s">
        <v>34</v>
      </c>
      <c r="D171" s="5" t="s">
        <v>32</v>
      </c>
      <c r="E171" s="5" t="s">
        <v>13</v>
      </c>
      <c r="F171" s="5" t="s">
        <v>14</v>
      </c>
      <c r="G171" s="5" t="s">
        <v>24</v>
      </c>
      <c r="H171" s="5">
        <v>868</v>
      </c>
      <c r="I171" s="5">
        <v>0</v>
      </c>
      <c r="J171" s="6">
        <f t="shared" si="2"/>
        <v>868</v>
      </c>
      <c r="L171" s="21">
        <v>172630</v>
      </c>
      <c r="M171" s="22" t="s">
        <v>10</v>
      </c>
      <c r="N171" s="22" t="s">
        <v>17</v>
      </c>
      <c r="O171" s="22" t="s">
        <v>26</v>
      </c>
      <c r="P171" s="22" t="s">
        <v>19</v>
      </c>
      <c r="Q171" s="22" t="s">
        <v>14</v>
      </c>
      <c r="R171" s="22" t="s">
        <v>24</v>
      </c>
      <c r="S171" s="22">
        <v>24423</v>
      </c>
      <c r="T171" s="78">
        <v>324</v>
      </c>
      <c r="U171" s="23">
        <v>24099</v>
      </c>
    </row>
    <row r="172" spans="1:21">
      <c r="A172" s="5">
        <v>12174</v>
      </c>
      <c r="B172" s="5" t="s">
        <v>10</v>
      </c>
      <c r="C172" s="5" t="s">
        <v>34</v>
      </c>
      <c r="D172" s="5" t="s">
        <v>29</v>
      </c>
      <c r="E172" s="5" t="s">
        <v>19</v>
      </c>
      <c r="F172" s="5" t="s">
        <v>14</v>
      </c>
      <c r="G172" s="5" t="s">
        <v>15</v>
      </c>
      <c r="H172" s="5">
        <v>105632</v>
      </c>
      <c r="I172" s="5">
        <v>703</v>
      </c>
      <c r="J172" s="6">
        <f t="shared" si="2"/>
        <v>104929</v>
      </c>
      <c r="L172" s="18">
        <v>58333</v>
      </c>
      <c r="M172" s="19" t="s">
        <v>16</v>
      </c>
      <c r="N172" s="19" t="s">
        <v>20</v>
      </c>
      <c r="O172" s="19" t="s">
        <v>32</v>
      </c>
      <c r="P172" s="19" t="s">
        <v>13</v>
      </c>
      <c r="Q172" s="19" t="s">
        <v>14</v>
      </c>
      <c r="R172" s="19" t="s">
        <v>15</v>
      </c>
      <c r="S172" s="19">
        <v>23195</v>
      </c>
      <c r="T172" s="77">
        <v>1969</v>
      </c>
      <c r="U172" s="20">
        <v>21226</v>
      </c>
    </row>
    <row r="173" spans="1:21">
      <c r="A173" s="5">
        <v>108698</v>
      </c>
      <c r="B173" s="5" t="s">
        <v>10</v>
      </c>
      <c r="C173" s="5" t="s">
        <v>39</v>
      </c>
      <c r="D173" s="5" t="s">
        <v>23</v>
      </c>
      <c r="E173" s="5" t="s">
        <v>13</v>
      </c>
      <c r="F173" s="5" t="s">
        <v>14</v>
      </c>
      <c r="G173" s="5" t="s">
        <v>24</v>
      </c>
      <c r="H173" s="5">
        <v>81081</v>
      </c>
      <c r="I173" s="5">
        <v>5429</v>
      </c>
      <c r="J173" s="6">
        <f t="shared" si="2"/>
        <v>75652</v>
      </c>
      <c r="L173" s="21">
        <v>68466</v>
      </c>
      <c r="M173" s="22" t="s">
        <v>16</v>
      </c>
      <c r="N173" s="22" t="s">
        <v>27</v>
      </c>
      <c r="O173" s="22" t="s">
        <v>21</v>
      </c>
      <c r="P173" s="22" t="s">
        <v>13</v>
      </c>
      <c r="Q173" s="22" t="s">
        <v>14</v>
      </c>
      <c r="R173" s="22" t="s">
        <v>15</v>
      </c>
      <c r="S173" s="22">
        <v>68293</v>
      </c>
      <c r="T173" s="78">
        <v>763</v>
      </c>
      <c r="U173" s="23">
        <v>67530</v>
      </c>
    </row>
    <row r="174" spans="1:21">
      <c r="A174" s="5">
        <v>91254</v>
      </c>
      <c r="B174" s="5" t="s">
        <v>10</v>
      </c>
      <c r="C174" s="5" t="s">
        <v>20</v>
      </c>
      <c r="D174" s="5" t="s">
        <v>32</v>
      </c>
      <c r="E174" s="5" t="s">
        <v>13</v>
      </c>
      <c r="F174" s="5" t="s">
        <v>28</v>
      </c>
      <c r="G174" s="5" t="s">
        <v>15</v>
      </c>
      <c r="H174" s="5">
        <v>39656</v>
      </c>
      <c r="I174" s="5">
        <v>3692</v>
      </c>
      <c r="J174" s="6">
        <f t="shared" si="2"/>
        <v>35964</v>
      </c>
      <c r="L174" s="18">
        <v>170732</v>
      </c>
      <c r="M174" s="19" t="s">
        <v>10</v>
      </c>
      <c r="N174" s="19" t="s">
        <v>22</v>
      </c>
      <c r="O174" s="19" t="s">
        <v>26</v>
      </c>
      <c r="P174" s="19" t="s">
        <v>19</v>
      </c>
      <c r="Q174" s="19" t="s">
        <v>14</v>
      </c>
      <c r="R174" s="19" t="s">
        <v>24</v>
      </c>
      <c r="S174" s="19">
        <v>24596</v>
      </c>
      <c r="T174" s="77">
        <v>591</v>
      </c>
      <c r="U174" s="20">
        <v>24005</v>
      </c>
    </row>
    <row r="175" spans="1:21">
      <c r="A175" s="5">
        <v>27822</v>
      </c>
      <c r="B175" s="5" t="s">
        <v>16</v>
      </c>
      <c r="C175" s="5" t="s">
        <v>11</v>
      </c>
      <c r="D175" s="5" t="s">
        <v>30</v>
      </c>
      <c r="E175" s="5" t="s">
        <v>13</v>
      </c>
      <c r="F175" s="5" t="s">
        <v>14</v>
      </c>
      <c r="G175" s="5" t="s">
        <v>15</v>
      </c>
      <c r="H175" s="5">
        <v>65452</v>
      </c>
      <c r="I175" s="5">
        <v>2248</v>
      </c>
      <c r="J175" s="6">
        <f t="shared" si="2"/>
        <v>63204</v>
      </c>
      <c r="L175" s="21">
        <v>221288</v>
      </c>
      <c r="M175" s="22" t="s">
        <v>10</v>
      </c>
      <c r="N175" s="22" t="s">
        <v>25</v>
      </c>
      <c r="O175" s="22" t="s">
        <v>32</v>
      </c>
      <c r="P175" s="22" t="s">
        <v>19</v>
      </c>
      <c r="Q175" s="22" t="s">
        <v>14</v>
      </c>
      <c r="R175" s="22" t="s">
        <v>24</v>
      </c>
      <c r="S175" s="22">
        <v>61329</v>
      </c>
      <c r="T175" s="78">
        <v>0</v>
      </c>
      <c r="U175" s="23">
        <v>61329</v>
      </c>
    </row>
    <row r="176" spans="1:21">
      <c r="A176" s="5">
        <v>191118</v>
      </c>
      <c r="B176" s="5" t="s">
        <v>10</v>
      </c>
      <c r="C176" s="5" t="s">
        <v>38</v>
      </c>
      <c r="D176" s="5" t="s">
        <v>30</v>
      </c>
      <c r="E176" s="5" t="s">
        <v>13</v>
      </c>
      <c r="F176" s="5" t="s">
        <v>28</v>
      </c>
      <c r="G176" s="5" t="s">
        <v>24</v>
      </c>
      <c r="H176" s="5">
        <v>123215</v>
      </c>
      <c r="I176" s="5">
        <v>1695</v>
      </c>
      <c r="J176" s="6">
        <f t="shared" si="2"/>
        <v>121520</v>
      </c>
      <c r="L176" s="18">
        <v>215456</v>
      </c>
      <c r="M176" s="19" t="s">
        <v>16</v>
      </c>
      <c r="N176" s="19" t="s">
        <v>38</v>
      </c>
      <c r="O176" s="19" t="s">
        <v>12</v>
      </c>
      <c r="P176" s="19" t="s">
        <v>13</v>
      </c>
      <c r="Q176" s="19" t="s">
        <v>14</v>
      </c>
      <c r="R176" s="19" t="s">
        <v>15</v>
      </c>
      <c r="S176" s="19">
        <v>18519</v>
      </c>
      <c r="T176" s="77">
        <v>156</v>
      </c>
      <c r="U176" s="20">
        <v>18363</v>
      </c>
    </row>
    <row r="177" spans="1:21">
      <c r="A177" s="5">
        <v>201925</v>
      </c>
      <c r="B177" s="5" t="s">
        <v>10</v>
      </c>
      <c r="C177" s="5" t="s">
        <v>38</v>
      </c>
      <c r="D177" s="5" t="s">
        <v>32</v>
      </c>
      <c r="E177" s="5" t="s">
        <v>19</v>
      </c>
      <c r="F177" s="5" t="s">
        <v>14</v>
      </c>
      <c r="G177" s="5" t="s">
        <v>24</v>
      </c>
      <c r="H177" s="5">
        <v>60741</v>
      </c>
      <c r="I177" s="5">
        <v>148</v>
      </c>
      <c r="J177" s="6">
        <f t="shared" si="2"/>
        <v>60593</v>
      </c>
      <c r="L177" s="21">
        <v>49336</v>
      </c>
      <c r="M177" s="22" t="s">
        <v>16</v>
      </c>
      <c r="N177" s="22" t="s">
        <v>38</v>
      </c>
      <c r="O177" s="22" t="s">
        <v>33</v>
      </c>
      <c r="P177" s="22" t="s">
        <v>13</v>
      </c>
      <c r="Q177" s="22" t="s">
        <v>14</v>
      </c>
      <c r="R177" s="22" t="s">
        <v>15</v>
      </c>
      <c r="S177" s="22">
        <v>28742</v>
      </c>
      <c r="T177" s="78">
        <v>413</v>
      </c>
      <c r="U177" s="23">
        <v>28329</v>
      </c>
    </row>
    <row r="178" spans="1:21">
      <c r="A178" s="5">
        <v>92139</v>
      </c>
      <c r="B178" s="5" t="s">
        <v>10</v>
      </c>
      <c r="C178" s="5" t="s">
        <v>34</v>
      </c>
      <c r="D178" s="5" t="s">
        <v>23</v>
      </c>
      <c r="E178" s="5" t="s">
        <v>13</v>
      </c>
      <c r="F178" s="5" t="s">
        <v>14</v>
      </c>
      <c r="G178" s="5" t="s">
        <v>15</v>
      </c>
      <c r="H178" s="5">
        <v>204950</v>
      </c>
      <c r="I178" s="5">
        <v>1470</v>
      </c>
      <c r="J178" s="6">
        <f t="shared" si="2"/>
        <v>203480</v>
      </c>
      <c r="L178" s="18">
        <v>129080</v>
      </c>
      <c r="M178" s="19" t="s">
        <v>10</v>
      </c>
      <c r="N178" s="19" t="s">
        <v>22</v>
      </c>
      <c r="O178" s="19" t="s">
        <v>12</v>
      </c>
      <c r="P178" s="19" t="s">
        <v>19</v>
      </c>
      <c r="Q178" s="19" t="s">
        <v>14</v>
      </c>
      <c r="R178" s="19" t="s">
        <v>24</v>
      </c>
      <c r="S178" s="19">
        <v>65113</v>
      </c>
      <c r="T178" s="77">
        <v>1011</v>
      </c>
      <c r="U178" s="20">
        <v>64102</v>
      </c>
    </row>
    <row r="179" spans="1:21">
      <c r="A179" s="5">
        <v>50675</v>
      </c>
      <c r="B179" s="5" t="s">
        <v>10</v>
      </c>
      <c r="C179" s="5" t="s">
        <v>35</v>
      </c>
      <c r="D179" s="5" t="s">
        <v>26</v>
      </c>
      <c r="E179" s="5" t="s">
        <v>19</v>
      </c>
      <c r="F179" s="5" t="s">
        <v>28</v>
      </c>
      <c r="G179" s="5" t="s">
        <v>24</v>
      </c>
      <c r="H179" s="5">
        <v>14683</v>
      </c>
      <c r="I179" s="5">
        <v>0</v>
      </c>
      <c r="J179" s="6">
        <f t="shared" si="2"/>
        <v>14683</v>
      </c>
      <c r="L179" s="21">
        <v>72566</v>
      </c>
      <c r="M179" s="22" t="s">
        <v>10</v>
      </c>
      <c r="N179" s="22" t="s">
        <v>27</v>
      </c>
      <c r="O179" s="22" t="s">
        <v>12</v>
      </c>
      <c r="P179" s="22" t="s">
        <v>13</v>
      </c>
      <c r="Q179" s="22" t="s">
        <v>14</v>
      </c>
      <c r="R179" s="22" t="s">
        <v>15</v>
      </c>
      <c r="S179" s="22">
        <v>112561</v>
      </c>
      <c r="T179" s="78">
        <v>16892</v>
      </c>
      <c r="U179" s="23">
        <v>95669</v>
      </c>
    </row>
    <row r="180" spans="1:21">
      <c r="A180" s="5">
        <v>38261</v>
      </c>
      <c r="B180" s="5" t="s">
        <v>16</v>
      </c>
      <c r="C180" s="5" t="s">
        <v>35</v>
      </c>
      <c r="D180" s="5" t="s">
        <v>36</v>
      </c>
      <c r="E180" s="5" t="s">
        <v>13</v>
      </c>
      <c r="F180" s="5" t="s">
        <v>14</v>
      </c>
      <c r="G180" s="5" t="s">
        <v>15</v>
      </c>
      <c r="H180" s="5">
        <v>37616</v>
      </c>
      <c r="I180" s="5">
        <v>368</v>
      </c>
      <c r="J180" s="6">
        <f t="shared" si="2"/>
        <v>37248</v>
      </c>
      <c r="L180" s="18">
        <v>15105</v>
      </c>
      <c r="M180" s="19" t="s">
        <v>16</v>
      </c>
      <c r="N180" s="19" t="s">
        <v>37</v>
      </c>
      <c r="O180" s="19" t="s">
        <v>33</v>
      </c>
      <c r="P180" s="19" t="s">
        <v>19</v>
      </c>
      <c r="Q180" s="19" t="s">
        <v>14</v>
      </c>
      <c r="R180" s="19" t="s">
        <v>15</v>
      </c>
      <c r="S180" s="19">
        <v>49107</v>
      </c>
      <c r="T180" s="77">
        <v>457</v>
      </c>
      <c r="U180" s="20">
        <v>48650</v>
      </c>
    </row>
    <row r="181" spans="1:21">
      <c r="A181" s="5">
        <v>51149</v>
      </c>
      <c r="B181" s="5" t="s">
        <v>10</v>
      </c>
      <c r="C181" s="5" t="s">
        <v>35</v>
      </c>
      <c r="D181" s="5" t="s">
        <v>26</v>
      </c>
      <c r="E181" s="5" t="s">
        <v>19</v>
      </c>
      <c r="F181" s="5" t="s">
        <v>14</v>
      </c>
      <c r="G181" s="5" t="s">
        <v>24</v>
      </c>
      <c r="H181" s="5">
        <v>34270</v>
      </c>
      <c r="I181" s="5">
        <v>309</v>
      </c>
      <c r="J181" s="6">
        <f t="shared" si="2"/>
        <v>33961</v>
      </c>
      <c r="L181" s="21">
        <v>147591</v>
      </c>
      <c r="M181" s="22" t="s">
        <v>16</v>
      </c>
      <c r="N181" s="22" t="s">
        <v>17</v>
      </c>
      <c r="O181" s="22" t="s">
        <v>36</v>
      </c>
      <c r="P181" s="22" t="s">
        <v>19</v>
      </c>
      <c r="Q181" s="22" t="s">
        <v>14</v>
      </c>
      <c r="R181" s="22" t="s">
        <v>24</v>
      </c>
      <c r="S181" s="22">
        <v>36653</v>
      </c>
      <c r="T181" s="78">
        <v>4968</v>
      </c>
      <c r="U181" s="23">
        <v>31685</v>
      </c>
    </row>
    <row r="182" spans="1:21">
      <c r="A182" s="5">
        <v>60699</v>
      </c>
      <c r="B182" s="5" t="s">
        <v>16</v>
      </c>
      <c r="C182" s="5" t="s">
        <v>20</v>
      </c>
      <c r="D182" s="5" t="s">
        <v>32</v>
      </c>
      <c r="E182" s="5" t="s">
        <v>13</v>
      </c>
      <c r="F182" s="5" t="s">
        <v>14</v>
      </c>
      <c r="G182" s="5" t="s">
        <v>15</v>
      </c>
      <c r="H182" s="5">
        <v>17057</v>
      </c>
      <c r="I182" s="5">
        <v>1881</v>
      </c>
      <c r="J182" s="6">
        <f t="shared" si="2"/>
        <v>15176</v>
      </c>
      <c r="L182" s="18">
        <v>27917</v>
      </c>
      <c r="M182" s="19" t="s">
        <v>16</v>
      </c>
      <c r="N182" s="19" t="s">
        <v>37</v>
      </c>
      <c r="O182" s="19" t="s">
        <v>30</v>
      </c>
      <c r="P182" s="19" t="s">
        <v>13</v>
      </c>
      <c r="Q182" s="19" t="s">
        <v>14</v>
      </c>
      <c r="R182" s="19" t="s">
        <v>15</v>
      </c>
      <c r="S182" s="19">
        <v>22172</v>
      </c>
      <c r="T182" s="77">
        <v>384</v>
      </c>
      <c r="U182" s="20">
        <v>21788</v>
      </c>
    </row>
    <row r="183" spans="1:21">
      <c r="A183" s="5">
        <v>92612</v>
      </c>
      <c r="B183" s="5" t="s">
        <v>16</v>
      </c>
      <c r="C183" s="5" t="s">
        <v>39</v>
      </c>
      <c r="D183" s="5" t="s">
        <v>33</v>
      </c>
      <c r="E183" s="5" t="s">
        <v>19</v>
      </c>
      <c r="F183" s="5" t="s">
        <v>14</v>
      </c>
      <c r="G183" s="5" t="s">
        <v>15</v>
      </c>
      <c r="H183" s="5">
        <v>65677</v>
      </c>
      <c r="I183" s="5">
        <v>592</v>
      </c>
      <c r="J183" s="6">
        <f t="shared" si="2"/>
        <v>65085</v>
      </c>
      <c r="L183" s="21">
        <v>181976</v>
      </c>
      <c r="M183" s="22" t="s">
        <v>10</v>
      </c>
      <c r="N183" s="22" t="s">
        <v>38</v>
      </c>
      <c r="O183" s="22" t="s">
        <v>23</v>
      </c>
      <c r="P183" s="22" t="s">
        <v>13</v>
      </c>
      <c r="Q183" s="22" t="s">
        <v>14</v>
      </c>
      <c r="R183" s="22" t="s">
        <v>15</v>
      </c>
      <c r="S183" s="22">
        <v>108891</v>
      </c>
      <c r="T183" s="78">
        <v>323</v>
      </c>
      <c r="U183" s="23">
        <v>108568</v>
      </c>
    </row>
    <row r="184" spans="1:21">
      <c r="A184" s="5">
        <v>166867</v>
      </c>
      <c r="B184" s="5" t="s">
        <v>16</v>
      </c>
      <c r="C184" s="5" t="s">
        <v>22</v>
      </c>
      <c r="D184" s="5" t="s">
        <v>30</v>
      </c>
      <c r="E184" s="5" t="s">
        <v>13</v>
      </c>
      <c r="F184" s="5" t="s">
        <v>28</v>
      </c>
      <c r="G184" s="5" t="s">
        <v>15</v>
      </c>
      <c r="H184" s="5">
        <v>84287</v>
      </c>
      <c r="I184" s="5">
        <v>0</v>
      </c>
      <c r="J184" s="6">
        <f t="shared" si="2"/>
        <v>84287</v>
      </c>
      <c r="L184" s="18">
        <v>77396</v>
      </c>
      <c r="M184" s="19" t="s">
        <v>16</v>
      </c>
      <c r="N184" s="19" t="s">
        <v>35</v>
      </c>
      <c r="O184" s="19" t="s">
        <v>30</v>
      </c>
      <c r="P184" s="19" t="s">
        <v>13</v>
      </c>
      <c r="Q184" s="19" t="s">
        <v>14</v>
      </c>
      <c r="R184" s="19" t="s">
        <v>15</v>
      </c>
      <c r="S184" s="19">
        <v>75441</v>
      </c>
      <c r="T184" s="77">
        <v>3</v>
      </c>
      <c r="U184" s="20">
        <v>75438</v>
      </c>
    </row>
    <row r="185" spans="1:21">
      <c r="A185" s="5">
        <v>75483</v>
      </c>
      <c r="B185" s="5" t="s">
        <v>10</v>
      </c>
      <c r="C185" s="5" t="s">
        <v>35</v>
      </c>
      <c r="D185" s="5" t="s">
        <v>32</v>
      </c>
      <c r="E185" s="5" t="s">
        <v>19</v>
      </c>
      <c r="F185" s="5" t="s">
        <v>14</v>
      </c>
      <c r="G185" s="5" t="s">
        <v>24</v>
      </c>
      <c r="H185" s="5">
        <v>56512</v>
      </c>
      <c r="I185" s="5">
        <v>0</v>
      </c>
      <c r="J185" s="6">
        <f t="shared" si="2"/>
        <v>56512</v>
      </c>
      <c r="L185" s="21">
        <v>225301</v>
      </c>
      <c r="M185" s="22" t="s">
        <v>10</v>
      </c>
      <c r="N185" s="22" t="s">
        <v>17</v>
      </c>
      <c r="O185" s="22" t="s">
        <v>23</v>
      </c>
      <c r="P185" s="22" t="s">
        <v>19</v>
      </c>
      <c r="Q185" s="22" t="s">
        <v>14</v>
      </c>
      <c r="R185" s="22" t="s">
        <v>24</v>
      </c>
      <c r="S185" s="22">
        <v>58779</v>
      </c>
      <c r="T185" s="78">
        <v>6053</v>
      </c>
      <c r="U185" s="23">
        <v>52726</v>
      </c>
    </row>
    <row r="186" spans="1:21">
      <c r="A186" s="5">
        <v>123928</v>
      </c>
      <c r="B186" s="5" t="s">
        <v>16</v>
      </c>
      <c r="C186" s="5" t="s">
        <v>25</v>
      </c>
      <c r="D186" s="5" t="s">
        <v>33</v>
      </c>
      <c r="E186" s="5" t="s">
        <v>19</v>
      </c>
      <c r="F186" s="5" t="s">
        <v>28</v>
      </c>
      <c r="G186" s="5" t="s">
        <v>15</v>
      </c>
      <c r="H186" s="5">
        <v>64006</v>
      </c>
      <c r="I186" s="5">
        <v>494</v>
      </c>
      <c r="J186" s="6">
        <f t="shared" si="2"/>
        <v>63512</v>
      </c>
      <c r="L186" s="18">
        <v>246298</v>
      </c>
      <c r="M186" s="19" t="s">
        <v>10</v>
      </c>
      <c r="N186" s="19" t="s">
        <v>17</v>
      </c>
      <c r="O186" s="19" t="s">
        <v>36</v>
      </c>
      <c r="P186" s="19" t="s">
        <v>19</v>
      </c>
      <c r="Q186" s="19" t="s">
        <v>14</v>
      </c>
      <c r="R186" s="19" t="s">
        <v>24</v>
      </c>
      <c r="S186" s="19">
        <v>63738</v>
      </c>
      <c r="T186" s="77">
        <v>277</v>
      </c>
      <c r="U186" s="20">
        <v>63461</v>
      </c>
    </row>
    <row r="187" spans="1:21">
      <c r="A187" s="5">
        <v>161550</v>
      </c>
      <c r="B187" s="5" t="s">
        <v>16</v>
      </c>
      <c r="C187" s="5" t="s">
        <v>25</v>
      </c>
      <c r="D187" s="5" t="s">
        <v>21</v>
      </c>
      <c r="E187" s="5" t="s">
        <v>19</v>
      </c>
      <c r="F187" s="5" t="s">
        <v>28</v>
      </c>
      <c r="G187" s="5" t="s">
        <v>15</v>
      </c>
      <c r="H187" s="5">
        <v>65714</v>
      </c>
      <c r="I187" s="5">
        <v>536</v>
      </c>
      <c r="J187" s="6">
        <f t="shared" si="2"/>
        <v>65178</v>
      </c>
      <c r="L187" s="21">
        <v>199986</v>
      </c>
      <c r="M187" s="22" t="s">
        <v>10</v>
      </c>
      <c r="N187" s="22" t="s">
        <v>39</v>
      </c>
      <c r="O187" s="22" t="s">
        <v>12</v>
      </c>
      <c r="P187" s="22" t="s">
        <v>13</v>
      </c>
      <c r="Q187" s="22" t="s">
        <v>14</v>
      </c>
      <c r="R187" s="22" t="s">
        <v>15</v>
      </c>
      <c r="S187" s="22">
        <v>41728</v>
      </c>
      <c r="T187" s="78">
        <v>4823</v>
      </c>
      <c r="U187" s="23">
        <v>36905</v>
      </c>
    </row>
    <row r="188" spans="1:21">
      <c r="A188" s="5">
        <v>124344</v>
      </c>
      <c r="B188" s="5" t="s">
        <v>10</v>
      </c>
      <c r="C188" s="5" t="s">
        <v>35</v>
      </c>
      <c r="D188" s="5" t="s">
        <v>23</v>
      </c>
      <c r="E188" s="5" t="s">
        <v>13</v>
      </c>
      <c r="F188" s="5" t="s">
        <v>14</v>
      </c>
      <c r="G188" s="5" t="s">
        <v>24</v>
      </c>
      <c r="H188" s="5">
        <v>99883</v>
      </c>
      <c r="I188" s="5">
        <v>10904</v>
      </c>
      <c r="J188" s="6">
        <f t="shared" si="2"/>
        <v>88979</v>
      </c>
      <c r="L188" s="18">
        <v>217366</v>
      </c>
      <c r="M188" s="19" t="s">
        <v>16</v>
      </c>
      <c r="N188" s="19" t="s">
        <v>38</v>
      </c>
      <c r="O188" s="19" t="s">
        <v>33</v>
      </c>
      <c r="P188" s="19" t="s">
        <v>19</v>
      </c>
      <c r="Q188" s="19" t="s">
        <v>14</v>
      </c>
      <c r="R188" s="19" t="s">
        <v>15</v>
      </c>
      <c r="S188" s="19">
        <v>78487</v>
      </c>
      <c r="T188" s="77">
        <v>9548</v>
      </c>
      <c r="U188" s="20">
        <v>68939</v>
      </c>
    </row>
    <row r="189" spans="1:21">
      <c r="A189" s="5">
        <v>198744</v>
      </c>
      <c r="B189" s="5" t="s">
        <v>10</v>
      </c>
      <c r="C189" s="5" t="s">
        <v>34</v>
      </c>
      <c r="D189" s="5" t="s">
        <v>12</v>
      </c>
      <c r="E189" s="5" t="s">
        <v>13</v>
      </c>
      <c r="F189" s="5" t="s">
        <v>14</v>
      </c>
      <c r="G189" s="5" t="s">
        <v>15</v>
      </c>
      <c r="H189" s="5">
        <v>57610</v>
      </c>
      <c r="I189" s="5">
        <v>465</v>
      </c>
      <c r="J189" s="6">
        <f t="shared" si="2"/>
        <v>57145</v>
      </c>
      <c r="L189" s="21">
        <v>97468</v>
      </c>
      <c r="M189" s="22" t="s">
        <v>16</v>
      </c>
      <c r="N189" s="22" t="s">
        <v>34</v>
      </c>
      <c r="O189" s="22" t="s">
        <v>33</v>
      </c>
      <c r="P189" s="22" t="s">
        <v>13</v>
      </c>
      <c r="Q189" s="22" t="s">
        <v>14</v>
      </c>
      <c r="R189" s="22" t="s">
        <v>15</v>
      </c>
      <c r="S189" s="22">
        <v>74018</v>
      </c>
      <c r="T189" s="78">
        <v>6829</v>
      </c>
      <c r="U189" s="23">
        <v>67189</v>
      </c>
    </row>
    <row r="190" spans="1:21">
      <c r="A190" s="5">
        <v>181624</v>
      </c>
      <c r="B190" s="5" t="s">
        <v>16</v>
      </c>
      <c r="C190" s="5" t="s">
        <v>34</v>
      </c>
      <c r="D190" s="5" t="s">
        <v>18</v>
      </c>
      <c r="E190" s="5" t="s">
        <v>13</v>
      </c>
      <c r="F190" s="5" t="s">
        <v>14</v>
      </c>
      <c r="G190" s="5" t="s">
        <v>15</v>
      </c>
      <c r="H190" s="5">
        <v>40743</v>
      </c>
      <c r="I190" s="5">
        <v>151</v>
      </c>
      <c r="J190" s="6">
        <f t="shared" si="2"/>
        <v>40592</v>
      </c>
      <c r="L190" s="18">
        <v>126252</v>
      </c>
      <c r="M190" s="19" t="s">
        <v>10</v>
      </c>
      <c r="N190" s="19" t="s">
        <v>27</v>
      </c>
      <c r="O190" s="19" t="s">
        <v>29</v>
      </c>
      <c r="P190" s="19" t="s">
        <v>19</v>
      </c>
      <c r="Q190" s="19" t="s">
        <v>14</v>
      </c>
      <c r="R190" s="19" t="s">
        <v>24</v>
      </c>
      <c r="S190" s="19">
        <v>63393</v>
      </c>
      <c r="T190" s="77">
        <v>322</v>
      </c>
      <c r="U190" s="20">
        <v>63071</v>
      </c>
    </row>
    <row r="191" spans="1:21">
      <c r="A191" s="5">
        <v>25026</v>
      </c>
      <c r="B191" s="5" t="s">
        <v>16</v>
      </c>
      <c r="C191" s="5" t="s">
        <v>11</v>
      </c>
      <c r="D191" s="5" t="s">
        <v>12</v>
      </c>
      <c r="E191" s="5" t="s">
        <v>19</v>
      </c>
      <c r="F191" s="5" t="s">
        <v>14</v>
      </c>
      <c r="G191" s="5" t="s">
        <v>15</v>
      </c>
      <c r="H191" s="5">
        <v>87091</v>
      </c>
      <c r="I191" s="5">
        <v>2691</v>
      </c>
      <c r="J191" s="6">
        <f t="shared" si="2"/>
        <v>84400</v>
      </c>
      <c r="L191" s="21">
        <v>129168</v>
      </c>
      <c r="M191" s="22" t="s">
        <v>10</v>
      </c>
      <c r="N191" s="22" t="s">
        <v>22</v>
      </c>
      <c r="O191" s="22" t="s">
        <v>29</v>
      </c>
      <c r="P191" s="22" t="s">
        <v>13</v>
      </c>
      <c r="Q191" s="22" t="s">
        <v>14</v>
      </c>
      <c r="R191" s="22" t="s">
        <v>15</v>
      </c>
      <c r="S191" s="22">
        <v>103123</v>
      </c>
      <c r="T191" s="78">
        <v>2704</v>
      </c>
      <c r="U191" s="23">
        <v>100419</v>
      </c>
    </row>
    <row r="192" spans="1:21">
      <c r="A192" s="5">
        <v>54112</v>
      </c>
      <c r="B192" s="5" t="s">
        <v>16</v>
      </c>
      <c r="C192" s="5" t="s">
        <v>22</v>
      </c>
      <c r="D192" s="5" t="s">
        <v>12</v>
      </c>
      <c r="E192" s="5" t="s">
        <v>19</v>
      </c>
      <c r="F192" s="5" t="s">
        <v>14</v>
      </c>
      <c r="G192" s="5" t="s">
        <v>15</v>
      </c>
      <c r="H192" s="5">
        <v>151829</v>
      </c>
      <c r="I192" s="5">
        <v>7641</v>
      </c>
      <c r="J192" s="6">
        <f t="shared" si="2"/>
        <v>144188</v>
      </c>
      <c r="L192" s="18">
        <v>97558</v>
      </c>
      <c r="M192" s="19" t="s">
        <v>10</v>
      </c>
      <c r="N192" s="19" t="s">
        <v>38</v>
      </c>
      <c r="O192" s="19" t="s">
        <v>29</v>
      </c>
      <c r="P192" s="19" t="s">
        <v>13</v>
      </c>
      <c r="Q192" s="19" t="s">
        <v>14</v>
      </c>
      <c r="R192" s="19" t="s">
        <v>15</v>
      </c>
      <c r="S192" s="19">
        <v>74064</v>
      </c>
      <c r="T192" s="77">
        <v>833</v>
      </c>
      <c r="U192" s="20">
        <v>73231</v>
      </c>
    </row>
    <row r="193" spans="1:21">
      <c r="A193" s="5">
        <v>101283</v>
      </c>
      <c r="B193" s="5" t="s">
        <v>16</v>
      </c>
      <c r="C193" s="5" t="s">
        <v>34</v>
      </c>
      <c r="D193" s="5" t="s">
        <v>30</v>
      </c>
      <c r="E193" s="5" t="s">
        <v>13</v>
      </c>
      <c r="F193" s="5" t="s">
        <v>28</v>
      </c>
      <c r="G193" s="5" t="s">
        <v>24</v>
      </c>
      <c r="H193" s="5">
        <v>36104</v>
      </c>
      <c r="I193" s="5">
        <v>2838</v>
      </c>
      <c r="J193" s="6">
        <f t="shared" si="2"/>
        <v>33266</v>
      </c>
      <c r="L193" s="21">
        <v>34646</v>
      </c>
      <c r="M193" s="22" t="s">
        <v>16</v>
      </c>
      <c r="N193" s="22" t="s">
        <v>34</v>
      </c>
      <c r="O193" s="22" t="s">
        <v>26</v>
      </c>
      <c r="P193" s="22" t="s">
        <v>19</v>
      </c>
      <c r="Q193" s="22" t="s">
        <v>14</v>
      </c>
      <c r="R193" s="22" t="s">
        <v>24</v>
      </c>
      <c r="S193" s="22">
        <v>38693</v>
      </c>
      <c r="T193" s="78">
        <v>736</v>
      </c>
      <c r="U193" s="23">
        <v>37957</v>
      </c>
    </row>
    <row r="194" spans="1:21">
      <c r="A194" s="5">
        <v>68346</v>
      </c>
      <c r="B194" s="5" t="s">
        <v>10</v>
      </c>
      <c r="C194" s="5" t="s">
        <v>27</v>
      </c>
      <c r="D194" s="5" t="s">
        <v>26</v>
      </c>
      <c r="E194" s="5" t="s">
        <v>13</v>
      </c>
      <c r="F194" s="5" t="s">
        <v>28</v>
      </c>
      <c r="G194" s="5" t="s">
        <v>24</v>
      </c>
      <c r="H194" s="5">
        <v>41335</v>
      </c>
      <c r="I194" s="5">
        <v>325</v>
      </c>
      <c r="J194" s="6">
        <f t="shared" ref="J194:J257" si="3">H194-I194</f>
        <v>41010</v>
      </c>
      <c r="L194" s="18">
        <v>170803</v>
      </c>
      <c r="M194" s="19" t="s">
        <v>10</v>
      </c>
      <c r="N194" s="19" t="s">
        <v>17</v>
      </c>
      <c r="O194" s="19" t="s">
        <v>26</v>
      </c>
      <c r="P194" s="19" t="s">
        <v>19</v>
      </c>
      <c r="Q194" s="19" t="s">
        <v>14</v>
      </c>
      <c r="R194" s="19" t="s">
        <v>24</v>
      </c>
      <c r="S194" s="19">
        <v>8702</v>
      </c>
      <c r="T194" s="77">
        <v>0</v>
      </c>
      <c r="U194" s="20">
        <v>8702</v>
      </c>
    </row>
    <row r="195" spans="1:21">
      <c r="A195" s="5">
        <v>23797</v>
      </c>
      <c r="B195" s="5" t="s">
        <v>16</v>
      </c>
      <c r="C195" s="5" t="s">
        <v>11</v>
      </c>
      <c r="D195" s="5" t="s">
        <v>33</v>
      </c>
      <c r="E195" s="5" t="s">
        <v>19</v>
      </c>
      <c r="F195" s="5" t="s">
        <v>14</v>
      </c>
      <c r="G195" s="5" t="s">
        <v>24</v>
      </c>
      <c r="H195" s="5">
        <v>27462</v>
      </c>
      <c r="I195" s="5">
        <v>433</v>
      </c>
      <c r="J195" s="6">
        <f t="shared" si="3"/>
        <v>27029</v>
      </c>
      <c r="L195" s="21">
        <v>204823</v>
      </c>
      <c r="M195" s="22" t="s">
        <v>16</v>
      </c>
      <c r="N195" s="22" t="s">
        <v>34</v>
      </c>
      <c r="O195" s="22" t="s">
        <v>33</v>
      </c>
      <c r="P195" s="22" t="s">
        <v>13</v>
      </c>
      <c r="Q195" s="22" t="s">
        <v>14</v>
      </c>
      <c r="R195" s="22" t="s">
        <v>15</v>
      </c>
      <c r="S195" s="22">
        <v>72696</v>
      </c>
      <c r="T195" s="78">
        <v>1176</v>
      </c>
      <c r="U195" s="23">
        <v>71520</v>
      </c>
    </row>
    <row r="196" spans="1:21">
      <c r="A196" s="5">
        <v>174356</v>
      </c>
      <c r="B196" s="5" t="s">
        <v>16</v>
      </c>
      <c r="C196" s="5" t="s">
        <v>34</v>
      </c>
      <c r="D196" s="5" t="s">
        <v>32</v>
      </c>
      <c r="E196" s="5" t="s">
        <v>19</v>
      </c>
      <c r="F196" s="5" t="s">
        <v>14</v>
      </c>
      <c r="G196" s="5" t="s">
        <v>24</v>
      </c>
      <c r="H196" s="5">
        <v>20258</v>
      </c>
      <c r="I196" s="5">
        <v>0</v>
      </c>
      <c r="J196" s="6">
        <f t="shared" si="3"/>
        <v>20258</v>
      </c>
      <c r="L196" s="18">
        <v>145524</v>
      </c>
      <c r="M196" s="19" t="s">
        <v>16</v>
      </c>
      <c r="N196" s="19" t="s">
        <v>22</v>
      </c>
      <c r="O196" s="19" t="s">
        <v>30</v>
      </c>
      <c r="P196" s="19" t="s">
        <v>13</v>
      </c>
      <c r="Q196" s="19" t="s">
        <v>14</v>
      </c>
      <c r="R196" s="19" t="s">
        <v>15</v>
      </c>
      <c r="S196" s="19">
        <v>19880</v>
      </c>
      <c r="T196" s="77">
        <v>425</v>
      </c>
      <c r="U196" s="20">
        <v>19455</v>
      </c>
    </row>
    <row r="197" spans="1:21">
      <c r="A197" s="5">
        <v>158404</v>
      </c>
      <c r="B197" s="5" t="s">
        <v>16</v>
      </c>
      <c r="C197" s="5" t="s">
        <v>27</v>
      </c>
      <c r="D197" s="5" t="s">
        <v>29</v>
      </c>
      <c r="E197" s="5" t="s">
        <v>13</v>
      </c>
      <c r="F197" s="5" t="s">
        <v>14</v>
      </c>
      <c r="G197" s="5" t="s">
        <v>24</v>
      </c>
      <c r="H197" s="5">
        <v>63833</v>
      </c>
      <c r="I197" s="5">
        <v>1014</v>
      </c>
      <c r="J197" s="6">
        <f t="shared" si="3"/>
        <v>62819</v>
      </c>
      <c r="L197" s="21">
        <v>160653</v>
      </c>
      <c r="M197" s="22" t="s">
        <v>16</v>
      </c>
      <c r="N197" s="22" t="s">
        <v>22</v>
      </c>
      <c r="O197" s="22" t="s">
        <v>33</v>
      </c>
      <c r="P197" s="22" t="s">
        <v>13</v>
      </c>
      <c r="Q197" s="22" t="s">
        <v>14</v>
      </c>
      <c r="R197" s="22" t="s">
        <v>15</v>
      </c>
      <c r="S197" s="22">
        <v>8754</v>
      </c>
      <c r="T197" s="78">
        <v>277</v>
      </c>
      <c r="U197" s="23">
        <v>8477</v>
      </c>
    </row>
    <row r="198" spans="1:21">
      <c r="A198" s="5">
        <v>215374</v>
      </c>
      <c r="B198" s="5" t="s">
        <v>10</v>
      </c>
      <c r="C198" s="5" t="s">
        <v>39</v>
      </c>
      <c r="D198" s="5" t="s">
        <v>32</v>
      </c>
      <c r="E198" s="5" t="s">
        <v>13</v>
      </c>
      <c r="F198" s="5" t="s">
        <v>14</v>
      </c>
      <c r="G198" s="5" t="s">
        <v>15</v>
      </c>
      <c r="H198" s="5">
        <v>15211</v>
      </c>
      <c r="I198" s="5">
        <v>0</v>
      </c>
      <c r="J198" s="6">
        <f t="shared" si="3"/>
        <v>15211</v>
      </c>
      <c r="L198" s="18">
        <v>155562</v>
      </c>
      <c r="M198" s="19" t="s">
        <v>16</v>
      </c>
      <c r="N198" s="19" t="s">
        <v>25</v>
      </c>
      <c r="O198" s="19" t="s">
        <v>30</v>
      </c>
      <c r="P198" s="19" t="s">
        <v>19</v>
      </c>
      <c r="Q198" s="19" t="s">
        <v>14</v>
      </c>
      <c r="R198" s="19" t="s">
        <v>24</v>
      </c>
      <c r="S198" s="19">
        <v>53738</v>
      </c>
      <c r="T198" s="77">
        <v>2279</v>
      </c>
      <c r="U198" s="20">
        <v>51459</v>
      </c>
    </row>
    <row r="199" spans="1:21">
      <c r="A199" s="5">
        <v>90368</v>
      </c>
      <c r="B199" s="5" t="s">
        <v>10</v>
      </c>
      <c r="C199" s="5" t="s">
        <v>38</v>
      </c>
      <c r="D199" s="5" t="s">
        <v>30</v>
      </c>
      <c r="E199" s="5" t="s">
        <v>13</v>
      </c>
      <c r="F199" s="5" t="s">
        <v>28</v>
      </c>
      <c r="G199" s="5" t="s">
        <v>24</v>
      </c>
      <c r="H199" s="5">
        <v>23959</v>
      </c>
      <c r="I199" s="5">
        <v>875</v>
      </c>
      <c r="J199" s="6">
        <f t="shared" si="3"/>
        <v>23084</v>
      </c>
      <c r="L199" s="21">
        <v>248679</v>
      </c>
      <c r="M199" s="22" t="s">
        <v>16</v>
      </c>
      <c r="N199" s="22" t="s">
        <v>17</v>
      </c>
      <c r="O199" s="22" t="s">
        <v>26</v>
      </c>
      <c r="P199" s="22" t="s">
        <v>19</v>
      </c>
      <c r="Q199" s="22" t="s">
        <v>14</v>
      </c>
      <c r="R199" s="22" t="s">
        <v>24</v>
      </c>
      <c r="S199" s="22">
        <v>17061</v>
      </c>
      <c r="T199" s="78">
        <v>629</v>
      </c>
      <c r="U199" s="23">
        <v>16432</v>
      </c>
    </row>
    <row r="200" spans="1:21">
      <c r="A200" s="5">
        <v>96521</v>
      </c>
      <c r="B200" s="5" t="s">
        <v>16</v>
      </c>
      <c r="C200" s="5" t="s">
        <v>20</v>
      </c>
      <c r="D200" s="5" t="s">
        <v>32</v>
      </c>
      <c r="E200" s="5" t="s">
        <v>13</v>
      </c>
      <c r="F200" s="5" t="s">
        <v>28</v>
      </c>
      <c r="G200" s="5" t="s">
        <v>15</v>
      </c>
      <c r="H200" s="5">
        <v>32345</v>
      </c>
      <c r="I200" s="5">
        <v>3093</v>
      </c>
      <c r="J200" s="6">
        <f t="shared" si="3"/>
        <v>29252</v>
      </c>
      <c r="L200" s="18">
        <v>255464</v>
      </c>
      <c r="M200" s="19" t="s">
        <v>10</v>
      </c>
      <c r="N200" s="19" t="s">
        <v>25</v>
      </c>
      <c r="O200" s="19" t="s">
        <v>23</v>
      </c>
      <c r="P200" s="19" t="s">
        <v>19</v>
      </c>
      <c r="Q200" s="19" t="s">
        <v>14</v>
      </c>
      <c r="R200" s="19" t="s">
        <v>24</v>
      </c>
      <c r="S200" s="19">
        <v>53378</v>
      </c>
      <c r="T200" s="77">
        <v>1391</v>
      </c>
      <c r="U200" s="20">
        <v>51987</v>
      </c>
    </row>
    <row r="201" spans="1:21">
      <c r="A201" s="5">
        <v>141908</v>
      </c>
      <c r="B201" s="5" t="s">
        <v>16</v>
      </c>
      <c r="C201" s="5" t="s">
        <v>25</v>
      </c>
      <c r="D201" s="5" t="s">
        <v>18</v>
      </c>
      <c r="E201" s="5" t="s">
        <v>19</v>
      </c>
      <c r="F201" s="5" t="s">
        <v>14</v>
      </c>
      <c r="G201" s="5" t="s">
        <v>24</v>
      </c>
      <c r="H201" s="5">
        <v>21540</v>
      </c>
      <c r="I201" s="5">
        <v>237</v>
      </c>
      <c r="J201" s="6">
        <f t="shared" si="3"/>
        <v>21303</v>
      </c>
      <c r="L201" s="21">
        <v>55612</v>
      </c>
      <c r="M201" s="22" t="s">
        <v>10</v>
      </c>
      <c r="N201" s="22" t="s">
        <v>11</v>
      </c>
      <c r="O201" s="22" t="s">
        <v>26</v>
      </c>
      <c r="P201" s="22" t="s">
        <v>19</v>
      </c>
      <c r="Q201" s="22" t="s">
        <v>14</v>
      </c>
      <c r="R201" s="22" t="s">
        <v>24</v>
      </c>
      <c r="S201" s="22">
        <v>36553</v>
      </c>
      <c r="T201" s="78">
        <v>327</v>
      </c>
      <c r="U201" s="23">
        <v>36226</v>
      </c>
    </row>
    <row r="202" spans="1:21">
      <c r="A202" s="5">
        <v>197070</v>
      </c>
      <c r="B202" s="5" t="s">
        <v>10</v>
      </c>
      <c r="C202" s="5" t="s">
        <v>35</v>
      </c>
      <c r="D202" s="5" t="s">
        <v>23</v>
      </c>
      <c r="E202" s="5" t="s">
        <v>13</v>
      </c>
      <c r="F202" s="5" t="s">
        <v>14</v>
      </c>
      <c r="G202" s="5" t="s">
        <v>15</v>
      </c>
      <c r="H202" s="5">
        <v>67726</v>
      </c>
      <c r="I202" s="5">
        <v>3212</v>
      </c>
      <c r="J202" s="6">
        <f t="shared" si="3"/>
        <v>64514</v>
      </c>
      <c r="L202" s="18">
        <v>106980</v>
      </c>
      <c r="M202" s="19" t="s">
        <v>10</v>
      </c>
      <c r="N202" s="19" t="s">
        <v>25</v>
      </c>
      <c r="O202" s="19" t="s">
        <v>23</v>
      </c>
      <c r="P202" s="19" t="s">
        <v>13</v>
      </c>
      <c r="Q202" s="19" t="s">
        <v>14</v>
      </c>
      <c r="R202" s="19" t="s">
        <v>24</v>
      </c>
      <c r="S202" s="19">
        <v>92204</v>
      </c>
      <c r="T202" s="77">
        <v>0</v>
      </c>
      <c r="U202" s="20">
        <v>92204</v>
      </c>
    </row>
    <row r="203" spans="1:21">
      <c r="A203" s="5">
        <v>148606</v>
      </c>
      <c r="B203" s="5" t="s">
        <v>10</v>
      </c>
      <c r="C203" s="5" t="s">
        <v>31</v>
      </c>
      <c r="D203" s="5" t="s">
        <v>18</v>
      </c>
      <c r="E203" s="5" t="s">
        <v>19</v>
      </c>
      <c r="F203" s="5" t="s">
        <v>14</v>
      </c>
      <c r="G203" s="5" t="s">
        <v>24</v>
      </c>
      <c r="H203" s="5">
        <v>8948</v>
      </c>
      <c r="I203" s="5">
        <v>205</v>
      </c>
      <c r="J203" s="6">
        <f t="shared" si="3"/>
        <v>8743</v>
      </c>
      <c r="L203" s="21">
        <v>211071</v>
      </c>
      <c r="M203" s="22" t="s">
        <v>16</v>
      </c>
      <c r="N203" s="22" t="s">
        <v>34</v>
      </c>
      <c r="O203" s="22" t="s">
        <v>32</v>
      </c>
      <c r="P203" s="22" t="s">
        <v>13</v>
      </c>
      <c r="Q203" s="22" t="s">
        <v>14</v>
      </c>
      <c r="R203" s="22" t="s">
        <v>15</v>
      </c>
      <c r="S203" s="22">
        <v>46032</v>
      </c>
      <c r="T203" s="78">
        <v>0</v>
      </c>
      <c r="U203" s="23">
        <v>46032</v>
      </c>
    </row>
    <row r="204" spans="1:21">
      <c r="A204" s="5">
        <v>230492</v>
      </c>
      <c r="B204" s="5" t="s">
        <v>10</v>
      </c>
      <c r="C204" s="5" t="s">
        <v>22</v>
      </c>
      <c r="D204" s="5" t="s">
        <v>23</v>
      </c>
      <c r="E204" s="5" t="s">
        <v>13</v>
      </c>
      <c r="F204" s="5" t="s">
        <v>14</v>
      </c>
      <c r="G204" s="5" t="s">
        <v>24</v>
      </c>
      <c r="H204" s="5">
        <v>44467</v>
      </c>
      <c r="I204" s="5">
        <v>4635</v>
      </c>
      <c r="J204" s="6">
        <f t="shared" si="3"/>
        <v>39832</v>
      </c>
      <c r="L204" s="18">
        <v>52074</v>
      </c>
      <c r="M204" s="19" t="s">
        <v>10</v>
      </c>
      <c r="N204" s="19" t="s">
        <v>35</v>
      </c>
      <c r="O204" s="19" t="s">
        <v>12</v>
      </c>
      <c r="P204" s="19" t="s">
        <v>13</v>
      </c>
      <c r="Q204" s="19" t="s">
        <v>14</v>
      </c>
      <c r="R204" s="19" t="s">
        <v>15</v>
      </c>
      <c r="S204" s="19">
        <v>362528</v>
      </c>
      <c r="T204" s="77">
        <v>8664</v>
      </c>
      <c r="U204" s="20">
        <v>353864</v>
      </c>
    </row>
    <row r="205" spans="1:21">
      <c r="A205" s="5">
        <v>69938</v>
      </c>
      <c r="B205" s="5" t="s">
        <v>16</v>
      </c>
      <c r="C205" s="5" t="s">
        <v>22</v>
      </c>
      <c r="D205" s="5" t="s">
        <v>30</v>
      </c>
      <c r="E205" s="5" t="s">
        <v>13</v>
      </c>
      <c r="F205" s="5" t="s">
        <v>28</v>
      </c>
      <c r="G205" s="5" t="s">
        <v>15</v>
      </c>
      <c r="H205" s="5">
        <v>121177</v>
      </c>
      <c r="I205" s="5">
        <v>2529</v>
      </c>
      <c r="J205" s="6">
        <f t="shared" si="3"/>
        <v>118648</v>
      </c>
      <c r="L205" s="21">
        <v>167884</v>
      </c>
      <c r="M205" s="22" t="s">
        <v>10</v>
      </c>
      <c r="N205" s="22" t="s">
        <v>27</v>
      </c>
      <c r="O205" s="22" t="s">
        <v>12</v>
      </c>
      <c r="P205" s="22" t="s">
        <v>13</v>
      </c>
      <c r="Q205" s="22" t="s">
        <v>14</v>
      </c>
      <c r="R205" s="22" t="s">
        <v>24</v>
      </c>
      <c r="S205" s="22">
        <v>63677</v>
      </c>
      <c r="T205" s="78">
        <v>2524</v>
      </c>
      <c r="U205" s="23">
        <v>61153</v>
      </c>
    </row>
    <row r="206" spans="1:21">
      <c r="A206" s="5">
        <v>118908</v>
      </c>
      <c r="B206" s="5" t="s">
        <v>10</v>
      </c>
      <c r="C206" s="5" t="s">
        <v>27</v>
      </c>
      <c r="D206" s="5" t="s">
        <v>12</v>
      </c>
      <c r="E206" s="5" t="s">
        <v>13</v>
      </c>
      <c r="F206" s="5" t="s">
        <v>14</v>
      </c>
      <c r="G206" s="5" t="s">
        <v>15</v>
      </c>
      <c r="H206" s="5">
        <v>73607</v>
      </c>
      <c r="I206" s="5">
        <v>4883</v>
      </c>
      <c r="J206" s="6">
        <f t="shared" si="3"/>
        <v>68724</v>
      </c>
      <c r="L206" s="18">
        <v>86176</v>
      </c>
      <c r="M206" s="19" t="s">
        <v>10</v>
      </c>
      <c r="N206" s="19" t="s">
        <v>20</v>
      </c>
      <c r="O206" s="19" t="s">
        <v>32</v>
      </c>
      <c r="P206" s="19" t="s">
        <v>13</v>
      </c>
      <c r="Q206" s="19" t="s">
        <v>14</v>
      </c>
      <c r="R206" s="19" t="s">
        <v>15</v>
      </c>
      <c r="S206" s="19">
        <v>24043</v>
      </c>
      <c r="T206" s="77">
        <v>344</v>
      </c>
      <c r="U206" s="20">
        <v>23699</v>
      </c>
    </row>
    <row r="207" spans="1:21">
      <c r="A207" s="5">
        <v>97908</v>
      </c>
      <c r="B207" s="5" t="s">
        <v>16</v>
      </c>
      <c r="C207" s="5" t="s">
        <v>34</v>
      </c>
      <c r="D207" s="5" t="s">
        <v>26</v>
      </c>
      <c r="E207" s="5" t="s">
        <v>13</v>
      </c>
      <c r="F207" s="5" t="s">
        <v>14</v>
      </c>
      <c r="G207" s="5" t="s">
        <v>24</v>
      </c>
      <c r="H207" s="5">
        <v>42603</v>
      </c>
      <c r="I207" s="5">
        <v>1519</v>
      </c>
      <c r="J207" s="6">
        <f t="shared" si="3"/>
        <v>41084</v>
      </c>
      <c r="L207" s="21">
        <v>208917</v>
      </c>
      <c r="M207" s="22" t="s">
        <v>10</v>
      </c>
      <c r="N207" s="22" t="s">
        <v>20</v>
      </c>
      <c r="O207" s="22" t="s">
        <v>32</v>
      </c>
      <c r="P207" s="22" t="s">
        <v>13</v>
      </c>
      <c r="Q207" s="22" t="s">
        <v>14</v>
      </c>
      <c r="R207" s="22" t="s">
        <v>15</v>
      </c>
      <c r="S207" s="22">
        <v>18083</v>
      </c>
      <c r="T207" s="78">
        <v>0</v>
      </c>
      <c r="U207" s="23">
        <v>18083</v>
      </c>
    </row>
    <row r="208" spans="1:21">
      <c r="A208" s="5">
        <v>64352</v>
      </c>
      <c r="B208" s="5" t="s">
        <v>10</v>
      </c>
      <c r="C208" s="5" t="s">
        <v>27</v>
      </c>
      <c r="D208" s="5" t="s">
        <v>12</v>
      </c>
      <c r="E208" s="5" t="s">
        <v>13</v>
      </c>
      <c r="F208" s="5" t="s">
        <v>28</v>
      </c>
      <c r="G208" s="5" t="s">
        <v>15</v>
      </c>
      <c r="H208" s="5">
        <v>67294</v>
      </c>
      <c r="I208" s="5">
        <v>2081</v>
      </c>
      <c r="J208" s="6">
        <f t="shared" si="3"/>
        <v>65213</v>
      </c>
      <c r="L208" s="18">
        <v>118722</v>
      </c>
      <c r="M208" s="19" t="s">
        <v>10</v>
      </c>
      <c r="N208" s="19" t="s">
        <v>31</v>
      </c>
      <c r="O208" s="19" t="s">
        <v>26</v>
      </c>
      <c r="P208" s="19" t="s">
        <v>19</v>
      </c>
      <c r="Q208" s="19" t="s">
        <v>14</v>
      </c>
      <c r="R208" s="19" t="s">
        <v>24</v>
      </c>
      <c r="S208" s="19">
        <v>21621</v>
      </c>
      <c r="T208" s="77">
        <v>388</v>
      </c>
      <c r="U208" s="20">
        <v>21233</v>
      </c>
    </row>
    <row r="209" spans="1:21">
      <c r="A209" s="5">
        <v>213263</v>
      </c>
      <c r="B209" s="5" t="s">
        <v>16</v>
      </c>
      <c r="C209" s="5" t="s">
        <v>34</v>
      </c>
      <c r="D209" s="5" t="s">
        <v>32</v>
      </c>
      <c r="E209" s="5" t="s">
        <v>13</v>
      </c>
      <c r="F209" s="5" t="s">
        <v>14</v>
      </c>
      <c r="G209" s="5" t="s">
        <v>15</v>
      </c>
      <c r="H209" s="5">
        <v>134744</v>
      </c>
      <c r="I209" s="5">
        <v>391</v>
      </c>
      <c r="J209" s="6">
        <f t="shared" si="3"/>
        <v>134353</v>
      </c>
      <c r="L209" s="21">
        <v>93846</v>
      </c>
      <c r="M209" s="22" t="s">
        <v>10</v>
      </c>
      <c r="N209" s="22" t="s">
        <v>39</v>
      </c>
      <c r="O209" s="22" t="s">
        <v>23</v>
      </c>
      <c r="P209" s="22" t="s">
        <v>13</v>
      </c>
      <c r="Q209" s="22" t="s">
        <v>14</v>
      </c>
      <c r="R209" s="22" t="s">
        <v>15</v>
      </c>
      <c r="S209" s="22">
        <v>45731</v>
      </c>
      <c r="T209" s="78">
        <v>243</v>
      </c>
      <c r="U209" s="23">
        <v>45488</v>
      </c>
    </row>
    <row r="210" spans="1:21">
      <c r="A210" s="5">
        <v>129487</v>
      </c>
      <c r="B210" s="5" t="s">
        <v>10</v>
      </c>
      <c r="C210" s="5" t="s">
        <v>22</v>
      </c>
      <c r="D210" s="5" t="s">
        <v>23</v>
      </c>
      <c r="E210" s="5" t="s">
        <v>13</v>
      </c>
      <c r="F210" s="5" t="s">
        <v>14</v>
      </c>
      <c r="G210" s="5" t="s">
        <v>24</v>
      </c>
      <c r="H210" s="5">
        <v>75608</v>
      </c>
      <c r="I210" s="5">
        <v>0</v>
      </c>
      <c r="J210" s="6">
        <f t="shared" si="3"/>
        <v>75608</v>
      </c>
      <c r="L210" s="18">
        <v>20849</v>
      </c>
      <c r="M210" s="19" t="s">
        <v>16</v>
      </c>
      <c r="N210" s="19" t="s">
        <v>11</v>
      </c>
      <c r="O210" s="19" t="s">
        <v>32</v>
      </c>
      <c r="P210" s="19" t="s">
        <v>13</v>
      </c>
      <c r="Q210" s="19" t="s">
        <v>14</v>
      </c>
      <c r="R210" s="19" t="s">
        <v>24</v>
      </c>
      <c r="S210" s="19">
        <v>-989</v>
      </c>
      <c r="T210" s="77">
        <v>0</v>
      </c>
      <c r="U210" s="20">
        <v>-989</v>
      </c>
    </row>
    <row r="211" spans="1:21">
      <c r="A211" s="5">
        <v>152928</v>
      </c>
      <c r="B211" s="5" t="s">
        <v>10</v>
      </c>
      <c r="C211" s="5" t="s">
        <v>27</v>
      </c>
      <c r="D211" s="5" t="s">
        <v>21</v>
      </c>
      <c r="E211" s="5" t="s">
        <v>19</v>
      </c>
      <c r="F211" s="5" t="s">
        <v>14</v>
      </c>
      <c r="G211" s="5" t="s">
        <v>24</v>
      </c>
      <c r="H211" s="5">
        <v>36783</v>
      </c>
      <c r="I211" s="5">
        <v>1746</v>
      </c>
      <c r="J211" s="6">
        <f t="shared" si="3"/>
        <v>35037</v>
      </c>
      <c r="L211" s="21">
        <v>28219</v>
      </c>
      <c r="M211" s="22" t="s">
        <v>10</v>
      </c>
      <c r="N211" s="22" t="s">
        <v>35</v>
      </c>
      <c r="O211" s="22" t="s">
        <v>36</v>
      </c>
      <c r="P211" s="22" t="s">
        <v>13</v>
      </c>
      <c r="Q211" s="22" t="s">
        <v>14</v>
      </c>
      <c r="R211" s="22" t="s">
        <v>24</v>
      </c>
      <c r="S211" s="22">
        <v>66338</v>
      </c>
      <c r="T211" s="78">
        <v>883</v>
      </c>
      <c r="U211" s="23">
        <v>65455</v>
      </c>
    </row>
    <row r="212" spans="1:21">
      <c r="A212" s="5">
        <v>182469</v>
      </c>
      <c r="B212" s="5" t="s">
        <v>16</v>
      </c>
      <c r="C212" s="5" t="s">
        <v>20</v>
      </c>
      <c r="D212" s="5" t="s">
        <v>32</v>
      </c>
      <c r="E212" s="5" t="s">
        <v>19</v>
      </c>
      <c r="F212" s="5" t="s">
        <v>14</v>
      </c>
      <c r="G212" s="5" t="s">
        <v>15</v>
      </c>
      <c r="H212" s="5">
        <v>16680</v>
      </c>
      <c r="I212" s="5">
        <v>0</v>
      </c>
      <c r="J212" s="6">
        <f t="shared" si="3"/>
        <v>16680</v>
      </c>
      <c r="L212" s="18">
        <v>151465</v>
      </c>
      <c r="M212" s="19" t="s">
        <v>10</v>
      </c>
      <c r="N212" s="19" t="s">
        <v>11</v>
      </c>
      <c r="O212" s="19" t="s">
        <v>26</v>
      </c>
      <c r="P212" s="19" t="s">
        <v>13</v>
      </c>
      <c r="Q212" s="19" t="s">
        <v>14</v>
      </c>
      <c r="R212" s="19" t="s">
        <v>24</v>
      </c>
      <c r="S212" s="19">
        <v>63322</v>
      </c>
      <c r="T212" s="77">
        <v>252</v>
      </c>
      <c r="U212" s="20">
        <v>63070</v>
      </c>
    </row>
    <row r="213" spans="1:21">
      <c r="A213" s="5">
        <v>172630</v>
      </c>
      <c r="B213" s="5" t="s">
        <v>10</v>
      </c>
      <c r="C213" s="5" t="s">
        <v>17</v>
      </c>
      <c r="D213" s="5" t="s">
        <v>26</v>
      </c>
      <c r="E213" s="5" t="s">
        <v>19</v>
      </c>
      <c r="F213" s="5" t="s">
        <v>14</v>
      </c>
      <c r="G213" s="5" t="s">
        <v>24</v>
      </c>
      <c r="H213" s="5">
        <v>24423</v>
      </c>
      <c r="I213" s="5">
        <v>324</v>
      </c>
      <c r="J213" s="6">
        <f t="shared" si="3"/>
        <v>24099</v>
      </c>
      <c r="L213" s="21">
        <v>63809</v>
      </c>
      <c r="M213" s="22" t="s">
        <v>10</v>
      </c>
      <c r="N213" s="22" t="s">
        <v>27</v>
      </c>
      <c r="O213" s="22" t="s">
        <v>26</v>
      </c>
      <c r="P213" s="22" t="s">
        <v>19</v>
      </c>
      <c r="Q213" s="22" t="s">
        <v>14</v>
      </c>
      <c r="R213" s="22" t="s">
        <v>24</v>
      </c>
      <c r="S213" s="22">
        <v>19786</v>
      </c>
      <c r="T213" s="78">
        <v>338</v>
      </c>
      <c r="U213" s="23">
        <v>19448</v>
      </c>
    </row>
    <row r="214" spans="1:21">
      <c r="A214" s="5">
        <v>58333</v>
      </c>
      <c r="B214" s="5" t="s">
        <v>16</v>
      </c>
      <c r="C214" s="5" t="s">
        <v>20</v>
      </c>
      <c r="D214" s="5" t="s">
        <v>32</v>
      </c>
      <c r="E214" s="5" t="s">
        <v>13</v>
      </c>
      <c r="F214" s="5" t="s">
        <v>14</v>
      </c>
      <c r="G214" s="5" t="s">
        <v>15</v>
      </c>
      <c r="H214" s="5">
        <v>23195</v>
      </c>
      <c r="I214" s="5">
        <v>1969</v>
      </c>
      <c r="J214" s="6">
        <f t="shared" si="3"/>
        <v>21226</v>
      </c>
      <c r="L214" s="18">
        <v>46731</v>
      </c>
      <c r="M214" s="19" t="s">
        <v>16</v>
      </c>
      <c r="N214" s="19" t="s">
        <v>37</v>
      </c>
      <c r="O214" s="19" t="s">
        <v>33</v>
      </c>
      <c r="P214" s="19" t="s">
        <v>13</v>
      </c>
      <c r="Q214" s="19" t="s">
        <v>14</v>
      </c>
      <c r="R214" s="19" t="s">
        <v>15</v>
      </c>
      <c r="S214" s="19">
        <v>46660</v>
      </c>
      <c r="T214" s="77">
        <v>963</v>
      </c>
      <c r="U214" s="20">
        <v>45697</v>
      </c>
    </row>
    <row r="215" spans="1:21">
      <c r="A215" s="5">
        <v>151788</v>
      </c>
      <c r="B215" s="5" t="s">
        <v>16</v>
      </c>
      <c r="C215" s="5" t="s">
        <v>22</v>
      </c>
      <c r="D215" s="5" t="s">
        <v>12</v>
      </c>
      <c r="E215" s="5" t="s">
        <v>19</v>
      </c>
      <c r="F215" s="5" t="s">
        <v>28</v>
      </c>
      <c r="G215" s="5" t="s">
        <v>15</v>
      </c>
      <c r="H215" s="5">
        <v>57058</v>
      </c>
      <c r="I215" s="5">
        <v>377</v>
      </c>
      <c r="J215" s="6">
        <f t="shared" si="3"/>
        <v>56681</v>
      </c>
      <c r="L215" s="21">
        <v>252311</v>
      </c>
      <c r="M215" s="22" t="s">
        <v>10</v>
      </c>
      <c r="N215" s="22" t="s">
        <v>17</v>
      </c>
      <c r="O215" s="22" t="s">
        <v>30</v>
      </c>
      <c r="P215" s="22" t="s">
        <v>19</v>
      </c>
      <c r="Q215" s="22" t="s">
        <v>14</v>
      </c>
      <c r="R215" s="22" t="s">
        <v>15</v>
      </c>
      <c r="S215" s="22">
        <v>23868</v>
      </c>
      <c r="T215" s="78">
        <v>0</v>
      </c>
      <c r="U215" s="23">
        <v>23868</v>
      </c>
    </row>
    <row r="216" spans="1:21">
      <c r="A216" s="5">
        <v>68466</v>
      </c>
      <c r="B216" s="5" t="s">
        <v>16</v>
      </c>
      <c r="C216" s="5" t="s">
        <v>27</v>
      </c>
      <c r="D216" s="5" t="s">
        <v>21</v>
      </c>
      <c r="E216" s="5" t="s">
        <v>13</v>
      </c>
      <c r="F216" s="5" t="s">
        <v>14</v>
      </c>
      <c r="G216" s="5" t="s">
        <v>15</v>
      </c>
      <c r="H216" s="5">
        <v>68293</v>
      </c>
      <c r="I216" s="5">
        <v>763</v>
      </c>
      <c r="J216" s="6">
        <f t="shared" si="3"/>
        <v>67530</v>
      </c>
      <c r="L216" s="18">
        <v>222043</v>
      </c>
      <c r="M216" s="19" t="s">
        <v>16</v>
      </c>
      <c r="N216" s="19" t="s">
        <v>25</v>
      </c>
      <c r="O216" s="19" t="s">
        <v>33</v>
      </c>
      <c r="P216" s="19" t="s">
        <v>13</v>
      </c>
      <c r="Q216" s="19" t="s">
        <v>14</v>
      </c>
      <c r="R216" s="19" t="s">
        <v>15</v>
      </c>
      <c r="S216" s="19">
        <v>43868</v>
      </c>
      <c r="T216" s="77">
        <v>471</v>
      </c>
      <c r="U216" s="20">
        <v>43397</v>
      </c>
    </row>
    <row r="217" spans="1:21">
      <c r="A217" s="5">
        <v>59619</v>
      </c>
      <c r="B217" s="5" t="s">
        <v>10</v>
      </c>
      <c r="C217" s="5" t="s">
        <v>27</v>
      </c>
      <c r="D217" s="5" t="s">
        <v>23</v>
      </c>
      <c r="E217" s="5" t="s">
        <v>13</v>
      </c>
      <c r="F217" s="5" t="s">
        <v>28</v>
      </c>
      <c r="G217" s="5" t="s">
        <v>15</v>
      </c>
      <c r="H217" s="5">
        <v>31422</v>
      </c>
      <c r="I217" s="5">
        <v>3236</v>
      </c>
      <c r="J217" s="6">
        <f t="shared" si="3"/>
        <v>28186</v>
      </c>
      <c r="L217" s="21">
        <v>13408</v>
      </c>
      <c r="M217" s="22" t="s">
        <v>16</v>
      </c>
      <c r="N217" s="22" t="s">
        <v>34</v>
      </c>
      <c r="O217" s="22" t="s">
        <v>36</v>
      </c>
      <c r="P217" s="22" t="s">
        <v>13</v>
      </c>
      <c r="Q217" s="22" t="s">
        <v>14</v>
      </c>
      <c r="R217" s="22" t="s">
        <v>24</v>
      </c>
      <c r="S217" s="22">
        <v>19340</v>
      </c>
      <c r="T217" s="78">
        <v>4583</v>
      </c>
      <c r="U217" s="23">
        <v>14757</v>
      </c>
    </row>
    <row r="218" spans="1:21">
      <c r="A218" s="5">
        <v>170732</v>
      </c>
      <c r="B218" s="5" t="s">
        <v>10</v>
      </c>
      <c r="C218" s="5" t="s">
        <v>22</v>
      </c>
      <c r="D218" s="5" t="s">
        <v>26</v>
      </c>
      <c r="E218" s="5" t="s">
        <v>19</v>
      </c>
      <c r="F218" s="5" t="s">
        <v>14</v>
      </c>
      <c r="G218" s="5" t="s">
        <v>24</v>
      </c>
      <c r="H218" s="5">
        <v>24596</v>
      </c>
      <c r="I218" s="5">
        <v>591</v>
      </c>
      <c r="J218" s="6">
        <f t="shared" si="3"/>
        <v>24005</v>
      </c>
      <c r="L218" s="18">
        <v>208936</v>
      </c>
      <c r="M218" s="19" t="s">
        <v>10</v>
      </c>
      <c r="N218" s="19" t="s">
        <v>38</v>
      </c>
      <c r="O218" s="19" t="s">
        <v>12</v>
      </c>
      <c r="P218" s="19" t="s">
        <v>13</v>
      </c>
      <c r="Q218" s="19" t="s">
        <v>14</v>
      </c>
      <c r="R218" s="19" t="s">
        <v>15</v>
      </c>
      <c r="S218" s="19">
        <v>76777</v>
      </c>
      <c r="T218" s="77">
        <v>877</v>
      </c>
      <c r="U218" s="20">
        <v>75900</v>
      </c>
    </row>
    <row r="219" spans="1:21">
      <c r="A219" s="5">
        <v>100854</v>
      </c>
      <c r="B219" s="5" t="s">
        <v>10</v>
      </c>
      <c r="C219" s="5" t="s">
        <v>11</v>
      </c>
      <c r="D219" s="5" t="s">
        <v>26</v>
      </c>
      <c r="E219" s="5" t="s">
        <v>13</v>
      </c>
      <c r="F219" s="5" t="s">
        <v>28</v>
      </c>
      <c r="G219" s="5" t="s">
        <v>24</v>
      </c>
      <c r="H219" s="5">
        <v>117377</v>
      </c>
      <c r="I219" s="5">
        <v>14157</v>
      </c>
      <c r="J219" s="6">
        <f t="shared" si="3"/>
        <v>103220</v>
      </c>
      <c r="L219" s="21">
        <v>79718</v>
      </c>
      <c r="M219" s="22" t="s">
        <v>16</v>
      </c>
      <c r="N219" s="22" t="s">
        <v>38</v>
      </c>
      <c r="O219" s="22" t="s">
        <v>30</v>
      </c>
      <c r="P219" s="22" t="s">
        <v>19</v>
      </c>
      <c r="Q219" s="22" t="s">
        <v>14</v>
      </c>
      <c r="R219" s="22" t="s">
        <v>15</v>
      </c>
      <c r="S219" s="22">
        <v>170613</v>
      </c>
      <c r="T219" s="78">
        <v>9240</v>
      </c>
      <c r="U219" s="23">
        <v>161373</v>
      </c>
    </row>
    <row r="220" spans="1:21">
      <c r="A220" s="5">
        <v>221288</v>
      </c>
      <c r="B220" s="5" t="s">
        <v>10</v>
      </c>
      <c r="C220" s="5" t="s">
        <v>25</v>
      </c>
      <c r="D220" s="5" t="s">
        <v>32</v>
      </c>
      <c r="E220" s="5" t="s">
        <v>19</v>
      </c>
      <c r="F220" s="5" t="s">
        <v>14</v>
      </c>
      <c r="G220" s="5" t="s">
        <v>24</v>
      </c>
      <c r="H220" s="5">
        <v>61329</v>
      </c>
      <c r="I220" s="5">
        <v>0</v>
      </c>
      <c r="J220" s="6">
        <f t="shared" si="3"/>
        <v>61329</v>
      </c>
      <c r="L220" s="18">
        <v>22739</v>
      </c>
      <c r="M220" s="19" t="s">
        <v>16</v>
      </c>
      <c r="N220" s="19" t="s">
        <v>11</v>
      </c>
      <c r="O220" s="19" t="s">
        <v>18</v>
      </c>
      <c r="P220" s="19" t="s">
        <v>13</v>
      </c>
      <c r="Q220" s="19" t="s">
        <v>14</v>
      </c>
      <c r="R220" s="19" t="s">
        <v>15</v>
      </c>
      <c r="S220" s="19">
        <v>39073</v>
      </c>
      <c r="T220" s="77">
        <v>135</v>
      </c>
      <c r="U220" s="20">
        <v>38938</v>
      </c>
    </row>
    <row r="221" spans="1:21">
      <c r="A221" s="5">
        <v>84313</v>
      </c>
      <c r="B221" s="5" t="s">
        <v>10</v>
      </c>
      <c r="C221" s="5" t="s">
        <v>34</v>
      </c>
      <c r="D221" s="5" t="s">
        <v>30</v>
      </c>
      <c r="E221" s="5" t="s">
        <v>13</v>
      </c>
      <c r="F221" s="5" t="s">
        <v>28</v>
      </c>
      <c r="G221" s="5" t="s">
        <v>24</v>
      </c>
      <c r="H221" s="5">
        <v>53672</v>
      </c>
      <c r="I221" s="5">
        <v>1883</v>
      </c>
      <c r="J221" s="6">
        <f t="shared" si="3"/>
        <v>51789</v>
      </c>
      <c r="L221" s="21">
        <v>255004</v>
      </c>
      <c r="M221" s="22" t="s">
        <v>10</v>
      </c>
      <c r="N221" s="22" t="s">
        <v>17</v>
      </c>
      <c r="O221" s="22" t="s">
        <v>21</v>
      </c>
      <c r="P221" s="22" t="s">
        <v>19</v>
      </c>
      <c r="Q221" s="22" t="s">
        <v>14</v>
      </c>
      <c r="R221" s="22" t="s">
        <v>24</v>
      </c>
      <c r="S221" s="22">
        <v>22825</v>
      </c>
      <c r="T221" s="78">
        <v>269</v>
      </c>
      <c r="U221" s="23">
        <v>22556</v>
      </c>
    </row>
    <row r="222" spans="1:21">
      <c r="A222" s="5">
        <v>215456</v>
      </c>
      <c r="B222" s="5" t="s">
        <v>16</v>
      </c>
      <c r="C222" s="5" t="s">
        <v>38</v>
      </c>
      <c r="D222" s="5" t="s">
        <v>12</v>
      </c>
      <c r="E222" s="5" t="s">
        <v>13</v>
      </c>
      <c r="F222" s="5" t="s">
        <v>14</v>
      </c>
      <c r="G222" s="5" t="s">
        <v>15</v>
      </c>
      <c r="H222" s="5">
        <v>18519</v>
      </c>
      <c r="I222" s="5">
        <v>156</v>
      </c>
      <c r="J222" s="6">
        <f t="shared" si="3"/>
        <v>18363</v>
      </c>
      <c r="L222" s="18">
        <v>15439</v>
      </c>
      <c r="M222" s="19" t="s">
        <v>10</v>
      </c>
      <c r="N222" s="19" t="s">
        <v>11</v>
      </c>
      <c r="O222" s="19" t="s">
        <v>23</v>
      </c>
      <c r="P222" s="19" t="s">
        <v>13</v>
      </c>
      <c r="Q222" s="19" t="s">
        <v>14</v>
      </c>
      <c r="R222" s="19" t="s">
        <v>24</v>
      </c>
      <c r="S222" s="19">
        <v>68022</v>
      </c>
      <c r="T222" s="77">
        <v>553</v>
      </c>
      <c r="U222" s="20">
        <v>67469</v>
      </c>
    </row>
    <row r="223" spans="1:21">
      <c r="A223" s="5">
        <v>49336</v>
      </c>
      <c r="B223" s="5" t="s">
        <v>16</v>
      </c>
      <c r="C223" s="5" t="s">
        <v>38</v>
      </c>
      <c r="D223" s="5" t="s">
        <v>33</v>
      </c>
      <c r="E223" s="5" t="s">
        <v>13</v>
      </c>
      <c r="F223" s="5" t="s">
        <v>14</v>
      </c>
      <c r="G223" s="5" t="s">
        <v>15</v>
      </c>
      <c r="H223" s="5">
        <v>28742</v>
      </c>
      <c r="I223" s="5">
        <v>413</v>
      </c>
      <c r="J223" s="6">
        <f t="shared" si="3"/>
        <v>28329</v>
      </c>
      <c r="L223" s="21">
        <v>246317</v>
      </c>
      <c r="M223" s="22" t="s">
        <v>16</v>
      </c>
      <c r="N223" s="22" t="s">
        <v>17</v>
      </c>
      <c r="O223" s="22" t="s">
        <v>18</v>
      </c>
      <c r="P223" s="22" t="s">
        <v>19</v>
      </c>
      <c r="Q223" s="22" t="s">
        <v>14</v>
      </c>
      <c r="R223" s="22" t="s">
        <v>15</v>
      </c>
      <c r="S223" s="22">
        <v>15649</v>
      </c>
      <c r="T223" s="78">
        <v>130</v>
      </c>
      <c r="U223" s="23">
        <v>15519</v>
      </c>
    </row>
    <row r="224" spans="1:21">
      <c r="A224" s="5">
        <v>129080</v>
      </c>
      <c r="B224" s="5" t="s">
        <v>10</v>
      </c>
      <c r="C224" s="5" t="s">
        <v>22</v>
      </c>
      <c r="D224" s="5" t="s">
        <v>12</v>
      </c>
      <c r="E224" s="5" t="s">
        <v>19</v>
      </c>
      <c r="F224" s="5" t="s">
        <v>14</v>
      </c>
      <c r="G224" s="5" t="s">
        <v>24</v>
      </c>
      <c r="H224" s="5">
        <v>65113</v>
      </c>
      <c r="I224" s="5">
        <v>1011</v>
      </c>
      <c r="J224" s="6">
        <f t="shared" si="3"/>
        <v>64102</v>
      </c>
      <c r="L224" s="18">
        <v>138220</v>
      </c>
      <c r="M224" s="19" t="s">
        <v>16</v>
      </c>
      <c r="N224" s="19" t="s">
        <v>25</v>
      </c>
      <c r="O224" s="19" t="s">
        <v>23</v>
      </c>
      <c r="P224" s="19" t="s">
        <v>19</v>
      </c>
      <c r="Q224" s="19" t="s">
        <v>14</v>
      </c>
      <c r="R224" s="19" t="s">
        <v>15</v>
      </c>
      <c r="S224" s="19">
        <v>50117</v>
      </c>
      <c r="T224" s="77">
        <v>1579</v>
      </c>
      <c r="U224" s="20">
        <v>48538</v>
      </c>
    </row>
    <row r="225" spans="1:21">
      <c r="A225" s="5">
        <v>72566</v>
      </c>
      <c r="B225" s="5" t="s">
        <v>10</v>
      </c>
      <c r="C225" s="5" t="s">
        <v>27</v>
      </c>
      <c r="D225" s="5" t="s">
        <v>12</v>
      </c>
      <c r="E225" s="5" t="s">
        <v>13</v>
      </c>
      <c r="F225" s="5" t="s">
        <v>14</v>
      </c>
      <c r="G225" s="5" t="s">
        <v>15</v>
      </c>
      <c r="H225" s="5">
        <v>112561</v>
      </c>
      <c r="I225" s="5">
        <v>16892</v>
      </c>
      <c r="J225" s="6">
        <f t="shared" si="3"/>
        <v>95669</v>
      </c>
      <c r="L225" s="21">
        <v>14608</v>
      </c>
      <c r="M225" s="22" t="s">
        <v>16</v>
      </c>
      <c r="N225" s="22" t="s">
        <v>39</v>
      </c>
      <c r="O225" s="22" t="s">
        <v>32</v>
      </c>
      <c r="P225" s="22" t="s">
        <v>13</v>
      </c>
      <c r="Q225" s="22" t="s">
        <v>14</v>
      </c>
      <c r="R225" s="22" t="s">
        <v>15</v>
      </c>
      <c r="S225" s="22">
        <v>10032</v>
      </c>
      <c r="T225" s="78">
        <v>1311</v>
      </c>
      <c r="U225" s="23">
        <v>8721</v>
      </c>
    </row>
    <row r="226" spans="1:21">
      <c r="A226" s="5">
        <v>15105</v>
      </c>
      <c r="B226" s="5" t="s">
        <v>16</v>
      </c>
      <c r="C226" s="5" t="s">
        <v>37</v>
      </c>
      <c r="D226" s="5" t="s">
        <v>33</v>
      </c>
      <c r="E226" s="5" t="s">
        <v>19</v>
      </c>
      <c r="F226" s="5" t="s">
        <v>14</v>
      </c>
      <c r="G226" s="5" t="s">
        <v>15</v>
      </c>
      <c r="H226" s="5">
        <v>49107</v>
      </c>
      <c r="I226" s="5">
        <v>457</v>
      </c>
      <c r="J226" s="6">
        <f t="shared" si="3"/>
        <v>48650</v>
      </c>
      <c r="L226" s="18">
        <v>176137</v>
      </c>
      <c r="M226" s="19" t="s">
        <v>16</v>
      </c>
      <c r="N226" s="19" t="s">
        <v>25</v>
      </c>
      <c r="O226" s="19" t="s">
        <v>33</v>
      </c>
      <c r="P226" s="19" t="s">
        <v>13</v>
      </c>
      <c r="Q226" s="19" t="s">
        <v>14</v>
      </c>
      <c r="R226" s="19" t="s">
        <v>15</v>
      </c>
      <c r="S226" s="19">
        <v>145393</v>
      </c>
      <c r="T226" s="77">
        <v>3046</v>
      </c>
      <c r="U226" s="20">
        <v>142347</v>
      </c>
    </row>
    <row r="227" spans="1:21">
      <c r="A227" s="5">
        <v>147591</v>
      </c>
      <c r="B227" s="5" t="s">
        <v>16</v>
      </c>
      <c r="C227" s="5" t="s">
        <v>17</v>
      </c>
      <c r="D227" s="5" t="s">
        <v>36</v>
      </c>
      <c r="E227" s="5" t="s">
        <v>19</v>
      </c>
      <c r="F227" s="5" t="s">
        <v>14</v>
      </c>
      <c r="G227" s="5" t="s">
        <v>24</v>
      </c>
      <c r="H227" s="5">
        <v>36653</v>
      </c>
      <c r="I227" s="5">
        <v>4968</v>
      </c>
      <c r="J227" s="6">
        <f t="shared" si="3"/>
        <v>31685</v>
      </c>
      <c r="L227" s="21">
        <v>93869</v>
      </c>
      <c r="M227" s="22" t="s">
        <v>10</v>
      </c>
      <c r="N227" s="22" t="s">
        <v>20</v>
      </c>
      <c r="O227" s="22" t="s">
        <v>32</v>
      </c>
      <c r="P227" s="22" t="s">
        <v>13</v>
      </c>
      <c r="Q227" s="22" t="s">
        <v>14</v>
      </c>
      <c r="R227" s="22" t="s">
        <v>15</v>
      </c>
      <c r="S227" s="22">
        <v>1530</v>
      </c>
      <c r="T227" s="78">
        <v>0</v>
      </c>
      <c r="U227" s="23">
        <v>1530</v>
      </c>
    </row>
    <row r="228" spans="1:21">
      <c r="A228" s="5">
        <v>27917</v>
      </c>
      <c r="B228" s="5" t="s">
        <v>16</v>
      </c>
      <c r="C228" s="5" t="s">
        <v>37</v>
      </c>
      <c r="D228" s="5" t="s">
        <v>30</v>
      </c>
      <c r="E228" s="5" t="s">
        <v>13</v>
      </c>
      <c r="F228" s="5" t="s">
        <v>14</v>
      </c>
      <c r="G228" s="5" t="s">
        <v>15</v>
      </c>
      <c r="H228" s="5">
        <v>22172</v>
      </c>
      <c r="I228" s="5">
        <v>384</v>
      </c>
      <c r="J228" s="6">
        <f t="shared" si="3"/>
        <v>21788</v>
      </c>
      <c r="L228" s="18">
        <v>122150</v>
      </c>
      <c r="M228" s="19" t="s">
        <v>16</v>
      </c>
      <c r="N228" s="19" t="s">
        <v>25</v>
      </c>
      <c r="O228" s="19" t="s">
        <v>30</v>
      </c>
      <c r="P228" s="19" t="s">
        <v>19</v>
      </c>
      <c r="Q228" s="19" t="s">
        <v>14</v>
      </c>
      <c r="R228" s="19" t="s">
        <v>15</v>
      </c>
      <c r="S228" s="19">
        <v>45494</v>
      </c>
      <c r="T228" s="77">
        <v>2619</v>
      </c>
      <c r="U228" s="20">
        <v>42875</v>
      </c>
    </row>
    <row r="229" spans="1:21">
      <c r="A229" s="5">
        <v>181976</v>
      </c>
      <c r="B229" s="5" t="s">
        <v>10</v>
      </c>
      <c r="C229" s="5" t="s">
        <v>38</v>
      </c>
      <c r="D229" s="5" t="s">
        <v>23</v>
      </c>
      <c r="E229" s="5" t="s">
        <v>13</v>
      </c>
      <c r="F229" s="5" t="s">
        <v>14</v>
      </c>
      <c r="G229" s="5" t="s">
        <v>15</v>
      </c>
      <c r="H229" s="5">
        <v>108891</v>
      </c>
      <c r="I229" s="5">
        <v>323</v>
      </c>
      <c r="J229" s="6">
        <f t="shared" si="3"/>
        <v>108568</v>
      </c>
      <c r="L229" s="21">
        <v>214004</v>
      </c>
      <c r="M229" s="22" t="s">
        <v>16</v>
      </c>
      <c r="N229" s="22" t="s">
        <v>38</v>
      </c>
      <c r="O229" s="22" t="s">
        <v>21</v>
      </c>
      <c r="P229" s="22" t="s">
        <v>19</v>
      </c>
      <c r="Q229" s="22" t="s">
        <v>14</v>
      </c>
      <c r="R229" s="22" t="s">
        <v>24</v>
      </c>
      <c r="S229" s="22">
        <v>33927</v>
      </c>
      <c r="T229" s="78">
        <v>625</v>
      </c>
      <c r="U229" s="23">
        <v>33302</v>
      </c>
    </row>
    <row r="230" spans="1:21">
      <c r="A230" s="5">
        <v>231834</v>
      </c>
      <c r="B230" s="5" t="s">
        <v>16</v>
      </c>
      <c r="C230" s="5" t="s">
        <v>17</v>
      </c>
      <c r="D230" s="5" t="s">
        <v>18</v>
      </c>
      <c r="E230" s="5" t="s">
        <v>19</v>
      </c>
      <c r="F230" s="5" t="s">
        <v>28</v>
      </c>
      <c r="G230" s="5" t="s">
        <v>24</v>
      </c>
      <c r="H230" s="5">
        <v>17201</v>
      </c>
      <c r="I230" s="5">
        <v>0</v>
      </c>
      <c r="J230" s="6">
        <f t="shared" si="3"/>
        <v>17201</v>
      </c>
      <c r="L230" s="18">
        <v>212726</v>
      </c>
      <c r="M230" s="19" t="s">
        <v>16</v>
      </c>
      <c r="N230" s="19" t="s">
        <v>34</v>
      </c>
      <c r="O230" s="19" t="s">
        <v>30</v>
      </c>
      <c r="P230" s="19" t="s">
        <v>13</v>
      </c>
      <c r="Q230" s="19" t="s">
        <v>14</v>
      </c>
      <c r="R230" s="19" t="s">
        <v>15</v>
      </c>
      <c r="S230" s="19">
        <v>40478</v>
      </c>
      <c r="T230" s="77">
        <v>1196</v>
      </c>
      <c r="U230" s="20">
        <v>39282</v>
      </c>
    </row>
    <row r="231" spans="1:21">
      <c r="A231" s="5">
        <v>77396</v>
      </c>
      <c r="B231" s="5" t="s">
        <v>16</v>
      </c>
      <c r="C231" s="5" t="s">
        <v>35</v>
      </c>
      <c r="D231" s="5" t="s">
        <v>30</v>
      </c>
      <c r="E231" s="5" t="s">
        <v>13</v>
      </c>
      <c r="F231" s="5" t="s">
        <v>14</v>
      </c>
      <c r="G231" s="5" t="s">
        <v>15</v>
      </c>
      <c r="H231" s="5">
        <v>75441</v>
      </c>
      <c r="I231" s="5">
        <v>3</v>
      </c>
      <c r="J231" s="6">
        <f t="shared" si="3"/>
        <v>75438</v>
      </c>
      <c r="L231" s="21">
        <v>138196</v>
      </c>
      <c r="M231" s="22" t="s">
        <v>10</v>
      </c>
      <c r="N231" s="22" t="s">
        <v>22</v>
      </c>
      <c r="O231" s="22" t="s">
        <v>32</v>
      </c>
      <c r="P231" s="22" t="s">
        <v>13</v>
      </c>
      <c r="Q231" s="22" t="s">
        <v>14</v>
      </c>
      <c r="R231" s="22" t="s">
        <v>24</v>
      </c>
      <c r="S231" s="22">
        <v>48598</v>
      </c>
      <c r="T231" s="78">
        <v>89</v>
      </c>
      <c r="U231" s="23">
        <v>48509</v>
      </c>
    </row>
    <row r="232" spans="1:21">
      <c r="A232" s="5">
        <v>225301</v>
      </c>
      <c r="B232" s="5" t="s">
        <v>10</v>
      </c>
      <c r="C232" s="5" t="s">
        <v>17</v>
      </c>
      <c r="D232" s="5" t="s">
        <v>23</v>
      </c>
      <c r="E232" s="5" t="s">
        <v>19</v>
      </c>
      <c r="F232" s="5" t="s">
        <v>14</v>
      </c>
      <c r="G232" s="5" t="s">
        <v>24</v>
      </c>
      <c r="H232" s="5">
        <v>58779</v>
      </c>
      <c r="I232" s="5">
        <v>6053</v>
      </c>
      <c r="J232" s="6">
        <f t="shared" si="3"/>
        <v>52726</v>
      </c>
      <c r="L232" s="18">
        <v>197142</v>
      </c>
      <c r="M232" s="19" t="s">
        <v>10</v>
      </c>
      <c r="N232" s="19" t="s">
        <v>11</v>
      </c>
      <c r="O232" s="19" t="s">
        <v>29</v>
      </c>
      <c r="P232" s="19" t="s">
        <v>13</v>
      </c>
      <c r="Q232" s="19" t="s">
        <v>14</v>
      </c>
      <c r="R232" s="19" t="s">
        <v>15</v>
      </c>
      <c r="S232" s="19">
        <v>64041</v>
      </c>
      <c r="T232" s="77">
        <v>479</v>
      </c>
      <c r="U232" s="20">
        <v>63562</v>
      </c>
    </row>
    <row r="233" spans="1:21">
      <c r="A233" s="5">
        <v>246298</v>
      </c>
      <c r="B233" s="5" t="s">
        <v>10</v>
      </c>
      <c r="C233" s="5" t="s">
        <v>17</v>
      </c>
      <c r="D233" s="5" t="s">
        <v>36</v>
      </c>
      <c r="E233" s="5" t="s">
        <v>19</v>
      </c>
      <c r="F233" s="5" t="s">
        <v>14</v>
      </c>
      <c r="G233" s="5" t="s">
        <v>24</v>
      </c>
      <c r="H233" s="5">
        <v>63738</v>
      </c>
      <c r="I233" s="5">
        <v>277</v>
      </c>
      <c r="J233" s="6">
        <f t="shared" si="3"/>
        <v>63461</v>
      </c>
      <c r="L233" s="21">
        <v>16982</v>
      </c>
      <c r="M233" s="22" t="s">
        <v>16</v>
      </c>
      <c r="N233" s="22" t="s">
        <v>11</v>
      </c>
      <c r="O233" s="22" t="s">
        <v>36</v>
      </c>
      <c r="P233" s="22" t="s">
        <v>13</v>
      </c>
      <c r="Q233" s="22" t="s">
        <v>14</v>
      </c>
      <c r="R233" s="22" t="s">
        <v>24</v>
      </c>
      <c r="S233" s="22">
        <v>278</v>
      </c>
      <c r="T233" s="78">
        <v>0</v>
      </c>
      <c r="U233" s="23">
        <v>278</v>
      </c>
    </row>
    <row r="234" spans="1:21">
      <c r="A234" s="5">
        <v>199986</v>
      </c>
      <c r="B234" s="5" t="s">
        <v>10</v>
      </c>
      <c r="C234" s="5" t="s">
        <v>39</v>
      </c>
      <c r="D234" s="5" t="s">
        <v>12</v>
      </c>
      <c r="E234" s="5" t="s">
        <v>13</v>
      </c>
      <c r="F234" s="5" t="s">
        <v>14</v>
      </c>
      <c r="G234" s="5" t="s">
        <v>15</v>
      </c>
      <c r="H234" s="5">
        <v>41728</v>
      </c>
      <c r="I234" s="5">
        <v>4823</v>
      </c>
      <c r="J234" s="6">
        <f t="shared" si="3"/>
        <v>36905</v>
      </c>
      <c r="L234" s="18">
        <v>195385</v>
      </c>
      <c r="M234" s="19" t="s">
        <v>10</v>
      </c>
      <c r="N234" s="19" t="s">
        <v>11</v>
      </c>
      <c r="O234" s="19" t="s">
        <v>29</v>
      </c>
      <c r="P234" s="19" t="s">
        <v>13</v>
      </c>
      <c r="Q234" s="19" t="s">
        <v>14</v>
      </c>
      <c r="R234" s="19" t="s">
        <v>15</v>
      </c>
      <c r="S234" s="19">
        <v>107092</v>
      </c>
      <c r="T234" s="77">
        <v>9015</v>
      </c>
      <c r="U234" s="20">
        <v>98077</v>
      </c>
    </row>
    <row r="235" spans="1:21">
      <c r="A235" s="5">
        <v>217366</v>
      </c>
      <c r="B235" s="5" t="s">
        <v>16</v>
      </c>
      <c r="C235" s="5" t="s">
        <v>38</v>
      </c>
      <c r="D235" s="5" t="s">
        <v>33</v>
      </c>
      <c r="E235" s="5" t="s">
        <v>19</v>
      </c>
      <c r="F235" s="5" t="s">
        <v>14</v>
      </c>
      <c r="G235" s="5" t="s">
        <v>15</v>
      </c>
      <c r="H235" s="5">
        <v>78487</v>
      </c>
      <c r="I235" s="5">
        <v>9548</v>
      </c>
      <c r="J235" s="6">
        <f t="shared" si="3"/>
        <v>68939</v>
      </c>
      <c r="L235" s="21">
        <v>93997</v>
      </c>
      <c r="M235" s="22" t="s">
        <v>16</v>
      </c>
      <c r="N235" s="22" t="s">
        <v>38</v>
      </c>
      <c r="O235" s="22" t="s">
        <v>32</v>
      </c>
      <c r="P235" s="22" t="s">
        <v>13</v>
      </c>
      <c r="Q235" s="22" t="s">
        <v>14</v>
      </c>
      <c r="R235" s="22" t="s">
        <v>15</v>
      </c>
      <c r="S235" s="22">
        <v>3202</v>
      </c>
      <c r="T235" s="78">
        <v>1089</v>
      </c>
      <c r="U235" s="23">
        <v>2113</v>
      </c>
    </row>
    <row r="236" spans="1:21">
      <c r="A236" s="5">
        <v>242141</v>
      </c>
      <c r="B236" s="5" t="s">
        <v>16</v>
      </c>
      <c r="C236" s="5" t="s">
        <v>22</v>
      </c>
      <c r="D236" s="5" t="s">
        <v>30</v>
      </c>
      <c r="E236" s="5" t="s">
        <v>19</v>
      </c>
      <c r="F236" s="5" t="s">
        <v>28</v>
      </c>
      <c r="G236" s="5" t="s">
        <v>24</v>
      </c>
      <c r="H236" s="5">
        <v>69216</v>
      </c>
      <c r="I236" s="5">
        <v>1182</v>
      </c>
      <c r="J236" s="6">
        <f t="shared" si="3"/>
        <v>68034</v>
      </c>
      <c r="L236" s="18">
        <v>95481</v>
      </c>
      <c r="M236" s="19" t="s">
        <v>16</v>
      </c>
      <c r="N236" s="19" t="s">
        <v>37</v>
      </c>
      <c r="O236" s="19" t="s">
        <v>30</v>
      </c>
      <c r="P236" s="19" t="s">
        <v>13</v>
      </c>
      <c r="Q236" s="19" t="s">
        <v>14</v>
      </c>
      <c r="R236" s="19" t="s">
        <v>15</v>
      </c>
      <c r="S236" s="19">
        <v>45498</v>
      </c>
      <c r="T236" s="77">
        <v>3331</v>
      </c>
      <c r="U236" s="20">
        <v>42167</v>
      </c>
    </row>
    <row r="237" spans="1:21">
      <c r="A237" s="5">
        <v>97468</v>
      </c>
      <c r="B237" s="5" t="s">
        <v>16</v>
      </c>
      <c r="C237" s="5" t="s">
        <v>34</v>
      </c>
      <c r="D237" s="5" t="s">
        <v>33</v>
      </c>
      <c r="E237" s="5" t="s">
        <v>13</v>
      </c>
      <c r="F237" s="5" t="s">
        <v>14</v>
      </c>
      <c r="G237" s="5" t="s">
        <v>15</v>
      </c>
      <c r="H237" s="5">
        <v>74018</v>
      </c>
      <c r="I237" s="5">
        <v>6829</v>
      </c>
      <c r="J237" s="6">
        <f t="shared" si="3"/>
        <v>67189</v>
      </c>
      <c r="L237" s="21">
        <v>96643</v>
      </c>
      <c r="M237" s="22" t="s">
        <v>10</v>
      </c>
      <c r="N237" s="22" t="s">
        <v>34</v>
      </c>
      <c r="O237" s="22" t="s">
        <v>32</v>
      </c>
      <c r="P237" s="22" t="s">
        <v>13</v>
      </c>
      <c r="Q237" s="22" t="s">
        <v>14</v>
      </c>
      <c r="R237" s="22" t="s">
        <v>15</v>
      </c>
      <c r="S237" s="22">
        <v>68615</v>
      </c>
      <c r="T237" s="78">
        <v>129</v>
      </c>
      <c r="U237" s="23">
        <v>68486</v>
      </c>
    </row>
    <row r="238" spans="1:21">
      <c r="A238" s="5">
        <v>85569</v>
      </c>
      <c r="B238" s="5" t="s">
        <v>16</v>
      </c>
      <c r="C238" s="5" t="s">
        <v>34</v>
      </c>
      <c r="D238" s="5" t="s">
        <v>30</v>
      </c>
      <c r="E238" s="5" t="s">
        <v>13</v>
      </c>
      <c r="F238" s="5" t="s">
        <v>28</v>
      </c>
      <c r="G238" s="5" t="s">
        <v>15</v>
      </c>
      <c r="H238" s="5">
        <v>41702</v>
      </c>
      <c r="I238" s="5">
        <v>553</v>
      </c>
      <c r="J238" s="6">
        <f t="shared" si="3"/>
        <v>41149</v>
      </c>
      <c r="L238" s="18">
        <v>89401</v>
      </c>
      <c r="M238" s="19" t="s">
        <v>16</v>
      </c>
      <c r="N238" s="19" t="s">
        <v>37</v>
      </c>
      <c r="O238" s="19" t="s">
        <v>30</v>
      </c>
      <c r="P238" s="19" t="s">
        <v>19</v>
      </c>
      <c r="Q238" s="19" t="s">
        <v>14</v>
      </c>
      <c r="R238" s="19" t="s">
        <v>24</v>
      </c>
      <c r="S238" s="19">
        <v>31488</v>
      </c>
      <c r="T238" s="77">
        <v>1881</v>
      </c>
      <c r="U238" s="20">
        <v>29607</v>
      </c>
    </row>
    <row r="239" spans="1:21">
      <c r="A239" s="5">
        <v>155266</v>
      </c>
      <c r="B239" s="5" t="s">
        <v>16</v>
      </c>
      <c r="C239" s="5" t="s">
        <v>17</v>
      </c>
      <c r="D239" s="5" t="s">
        <v>26</v>
      </c>
      <c r="E239" s="5" t="s">
        <v>19</v>
      </c>
      <c r="F239" s="5" t="s">
        <v>28</v>
      </c>
      <c r="G239" s="5" t="s">
        <v>24</v>
      </c>
      <c r="H239" s="5">
        <v>15157</v>
      </c>
      <c r="I239" s="5">
        <v>249</v>
      </c>
      <c r="J239" s="6">
        <f t="shared" si="3"/>
        <v>14908</v>
      </c>
      <c r="L239" s="21">
        <v>257573</v>
      </c>
      <c r="M239" s="22" t="s">
        <v>10</v>
      </c>
      <c r="N239" s="22" t="s">
        <v>35</v>
      </c>
      <c r="O239" s="22" t="s">
        <v>33</v>
      </c>
      <c r="P239" s="22" t="s">
        <v>19</v>
      </c>
      <c r="Q239" s="22" t="s">
        <v>14</v>
      </c>
      <c r="R239" s="22" t="s">
        <v>24</v>
      </c>
      <c r="S239" s="22">
        <v>38450</v>
      </c>
      <c r="T239" s="78">
        <v>3238</v>
      </c>
      <c r="U239" s="23">
        <v>35212</v>
      </c>
    </row>
    <row r="240" spans="1:21">
      <c r="A240" s="5">
        <v>124361</v>
      </c>
      <c r="B240" s="5" t="s">
        <v>10</v>
      </c>
      <c r="C240" s="5" t="s">
        <v>35</v>
      </c>
      <c r="D240" s="5" t="s">
        <v>30</v>
      </c>
      <c r="E240" s="5" t="s">
        <v>13</v>
      </c>
      <c r="F240" s="5" t="s">
        <v>28</v>
      </c>
      <c r="G240" s="5" t="s">
        <v>24</v>
      </c>
      <c r="H240" s="5">
        <v>3053</v>
      </c>
      <c r="I240" s="5">
        <v>0</v>
      </c>
      <c r="J240" s="6">
        <f t="shared" si="3"/>
        <v>3053</v>
      </c>
      <c r="L240" s="18">
        <v>178658</v>
      </c>
      <c r="M240" s="19" t="s">
        <v>10</v>
      </c>
      <c r="N240" s="19" t="s">
        <v>17</v>
      </c>
      <c r="O240" s="19" t="s">
        <v>18</v>
      </c>
      <c r="P240" s="19" t="s">
        <v>19</v>
      </c>
      <c r="Q240" s="19" t="s">
        <v>14</v>
      </c>
      <c r="R240" s="19" t="s">
        <v>24</v>
      </c>
      <c r="S240" s="19">
        <v>41728</v>
      </c>
      <c r="T240" s="77">
        <v>1119</v>
      </c>
      <c r="U240" s="20">
        <v>40609</v>
      </c>
    </row>
    <row r="241" spans="1:21">
      <c r="A241" s="5">
        <v>126252</v>
      </c>
      <c r="B241" s="5" t="s">
        <v>10</v>
      </c>
      <c r="C241" s="5" t="s">
        <v>27</v>
      </c>
      <c r="D241" s="5" t="s">
        <v>29</v>
      </c>
      <c r="E241" s="5" t="s">
        <v>19</v>
      </c>
      <c r="F241" s="5" t="s">
        <v>14</v>
      </c>
      <c r="G241" s="5" t="s">
        <v>24</v>
      </c>
      <c r="H241" s="5">
        <v>63393</v>
      </c>
      <c r="I241" s="5">
        <v>322</v>
      </c>
      <c r="J241" s="6">
        <f t="shared" si="3"/>
        <v>63071</v>
      </c>
      <c r="L241" s="21">
        <v>5070</v>
      </c>
      <c r="M241" s="22" t="s">
        <v>16</v>
      </c>
      <c r="N241" s="22" t="s">
        <v>37</v>
      </c>
      <c r="O241" s="22" t="s">
        <v>23</v>
      </c>
      <c r="P241" s="22" t="s">
        <v>13</v>
      </c>
      <c r="Q241" s="22" t="s">
        <v>14</v>
      </c>
      <c r="R241" s="22" t="s">
        <v>24</v>
      </c>
      <c r="S241" s="22">
        <v>15171</v>
      </c>
      <c r="T241" s="78">
        <v>1358</v>
      </c>
      <c r="U241" s="23">
        <v>13813</v>
      </c>
    </row>
    <row r="242" spans="1:21">
      <c r="A242" s="5">
        <v>5768</v>
      </c>
      <c r="B242" s="5" t="s">
        <v>16</v>
      </c>
      <c r="C242" s="5" t="s">
        <v>20</v>
      </c>
      <c r="D242" s="5" t="s">
        <v>32</v>
      </c>
      <c r="E242" s="5" t="s">
        <v>19</v>
      </c>
      <c r="F242" s="5" t="s">
        <v>28</v>
      </c>
      <c r="G242" s="5" t="s">
        <v>24</v>
      </c>
      <c r="H242" s="5">
        <v>586</v>
      </c>
      <c r="I242" s="5">
        <v>0</v>
      </c>
      <c r="J242" s="6">
        <f t="shared" si="3"/>
        <v>586</v>
      </c>
      <c r="L242" s="18">
        <v>48077</v>
      </c>
      <c r="M242" s="19" t="s">
        <v>16</v>
      </c>
      <c r="N242" s="19" t="s">
        <v>34</v>
      </c>
      <c r="O242" s="19" t="s">
        <v>36</v>
      </c>
      <c r="P242" s="19" t="s">
        <v>13</v>
      </c>
      <c r="Q242" s="19" t="s">
        <v>14</v>
      </c>
      <c r="R242" s="19" t="s">
        <v>24</v>
      </c>
      <c r="S242" s="19">
        <v>74453</v>
      </c>
      <c r="T242" s="77">
        <v>689</v>
      </c>
      <c r="U242" s="20">
        <v>73764</v>
      </c>
    </row>
    <row r="243" spans="1:21">
      <c r="A243" s="5">
        <v>129168</v>
      </c>
      <c r="B243" s="5" t="s">
        <v>10</v>
      </c>
      <c r="C243" s="5" t="s">
        <v>22</v>
      </c>
      <c r="D243" s="5" t="s">
        <v>29</v>
      </c>
      <c r="E243" s="5" t="s">
        <v>13</v>
      </c>
      <c r="F243" s="5" t="s">
        <v>14</v>
      </c>
      <c r="G243" s="5" t="s">
        <v>15</v>
      </c>
      <c r="H243" s="5">
        <v>103123</v>
      </c>
      <c r="I243" s="5">
        <v>2704</v>
      </c>
      <c r="J243" s="6">
        <f t="shared" si="3"/>
        <v>100419</v>
      </c>
      <c r="L243" s="21">
        <v>54288</v>
      </c>
      <c r="M243" s="22" t="s">
        <v>10</v>
      </c>
      <c r="N243" s="22" t="s">
        <v>35</v>
      </c>
      <c r="O243" s="22" t="s">
        <v>30</v>
      </c>
      <c r="P243" s="22" t="s">
        <v>13</v>
      </c>
      <c r="Q243" s="22" t="s">
        <v>14</v>
      </c>
      <c r="R243" s="22" t="s">
        <v>15</v>
      </c>
      <c r="S243" s="22">
        <v>80271</v>
      </c>
      <c r="T243" s="78">
        <v>1491</v>
      </c>
      <c r="U243" s="23">
        <v>78780</v>
      </c>
    </row>
    <row r="244" spans="1:21">
      <c r="A244" s="5">
        <v>97558</v>
      </c>
      <c r="B244" s="5" t="s">
        <v>10</v>
      </c>
      <c r="C244" s="5" t="s">
        <v>38</v>
      </c>
      <c r="D244" s="5" t="s">
        <v>29</v>
      </c>
      <c r="E244" s="5" t="s">
        <v>13</v>
      </c>
      <c r="F244" s="5" t="s">
        <v>14</v>
      </c>
      <c r="G244" s="5" t="s">
        <v>15</v>
      </c>
      <c r="H244" s="5">
        <v>74064</v>
      </c>
      <c r="I244" s="5">
        <v>833</v>
      </c>
      <c r="J244" s="6">
        <f t="shared" si="3"/>
        <v>73231</v>
      </c>
      <c r="L244" s="18">
        <v>184551</v>
      </c>
      <c r="M244" s="19" t="s">
        <v>16</v>
      </c>
      <c r="N244" s="19" t="s">
        <v>34</v>
      </c>
      <c r="O244" s="19" t="s">
        <v>32</v>
      </c>
      <c r="P244" s="19" t="s">
        <v>13</v>
      </c>
      <c r="Q244" s="19" t="s">
        <v>14</v>
      </c>
      <c r="R244" s="19" t="s">
        <v>24</v>
      </c>
      <c r="S244" s="19">
        <v>2629</v>
      </c>
      <c r="T244" s="77">
        <v>0</v>
      </c>
      <c r="U244" s="20">
        <v>2629</v>
      </c>
    </row>
    <row r="245" spans="1:21">
      <c r="A245" s="5">
        <v>34646</v>
      </c>
      <c r="B245" s="5" t="s">
        <v>16</v>
      </c>
      <c r="C245" s="5" t="s">
        <v>34</v>
      </c>
      <c r="D245" s="5" t="s">
        <v>26</v>
      </c>
      <c r="E245" s="5" t="s">
        <v>19</v>
      </c>
      <c r="F245" s="5" t="s">
        <v>14</v>
      </c>
      <c r="G245" s="5" t="s">
        <v>24</v>
      </c>
      <c r="H245" s="5">
        <v>38693</v>
      </c>
      <c r="I245" s="5">
        <v>736</v>
      </c>
      <c r="J245" s="6">
        <f t="shared" si="3"/>
        <v>37957</v>
      </c>
      <c r="L245" s="21">
        <v>7022</v>
      </c>
      <c r="M245" s="22" t="s">
        <v>10</v>
      </c>
      <c r="N245" s="22" t="s">
        <v>20</v>
      </c>
      <c r="O245" s="22" t="s">
        <v>32</v>
      </c>
      <c r="P245" s="22" t="s">
        <v>13</v>
      </c>
      <c r="Q245" s="22" t="s">
        <v>14</v>
      </c>
      <c r="R245" s="22" t="s">
        <v>15</v>
      </c>
      <c r="S245" s="22">
        <v>130322</v>
      </c>
      <c r="T245" s="78">
        <v>211</v>
      </c>
      <c r="U245" s="23">
        <v>130111</v>
      </c>
    </row>
    <row r="246" spans="1:21">
      <c r="A246" s="5">
        <v>170803</v>
      </c>
      <c r="B246" s="5" t="s">
        <v>10</v>
      </c>
      <c r="C246" s="5" t="s">
        <v>17</v>
      </c>
      <c r="D246" s="5" t="s">
        <v>26</v>
      </c>
      <c r="E246" s="5" t="s">
        <v>19</v>
      </c>
      <c r="F246" s="5" t="s">
        <v>14</v>
      </c>
      <c r="G246" s="5" t="s">
        <v>24</v>
      </c>
      <c r="H246" s="5">
        <v>8702</v>
      </c>
      <c r="I246" s="5">
        <v>0</v>
      </c>
      <c r="J246" s="6">
        <f t="shared" si="3"/>
        <v>8702</v>
      </c>
      <c r="L246" s="18">
        <v>95674</v>
      </c>
      <c r="M246" s="19" t="s">
        <v>16</v>
      </c>
      <c r="N246" s="19" t="s">
        <v>37</v>
      </c>
      <c r="O246" s="19" t="s">
        <v>33</v>
      </c>
      <c r="P246" s="19" t="s">
        <v>13</v>
      </c>
      <c r="Q246" s="19" t="s">
        <v>14</v>
      </c>
      <c r="R246" s="19" t="s">
        <v>15</v>
      </c>
      <c r="S246" s="19">
        <v>42586</v>
      </c>
      <c r="T246" s="77">
        <v>0</v>
      </c>
      <c r="U246" s="20">
        <v>42586</v>
      </c>
    </row>
    <row r="247" spans="1:21">
      <c r="A247" s="5">
        <v>89982</v>
      </c>
      <c r="B247" s="5" t="s">
        <v>10</v>
      </c>
      <c r="C247" s="5" t="s">
        <v>37</v>
      </c>
      <c r="D247" s="5" t="s">
        <v>29</v>
      </c>
      <c r="E247" s="5" t="s">
        <v>13</v>
      </c>
      <c r="F247" s="5" t="s">
        <v>28</v>
      </c>
      <c r="G247" s="5" t="s">
        <v>15</v>
      </c>
      <c r="H247" s="5">
        <v>41147</v>
      </c>
      <c r="I247" s="5">
        <v>500</v>
      </c>
      <c r="J247" s="6">
        <f t="shared" si="3"/>
        <v>40647</v>
      </c>
      <c r="L247" s="21">
        <v>15144</v>
      </c>
      <c r="M247" s="22" t="s">
        <v>16</v>
      </c>
      <c r="N247" s="22" t="s">
        <v>11</v>
      </c>
      <c r="O247" s="22" t="s">
        <v>36</v>
      </c>
      <c r="P247" s="22" t="s">
        <v>19</v>
      </c>
      <c r="Q247" s="22" t="s">
        <v>14</v>
      </c>
      <c r="R247" s="22" t="s">
        <v>24</v>
      </c>
      <c r="S247" s="22">
        <v>77766</v>
      </c>
      <c r="T247" s="78">
        <v>3966</v>
      </c>
      <c r="U247" s="23">
        <v>73800</v>
      </c>
    </row>
    <row r="248" spans="1:21">
      <c r="A248" s="5">
        <v>204823</v>
      </c>
      <c r="B248" s="5" t="s">
        <v>16</v>
      </c>
      <c r="C248" s="5" t="s">
        <v>34</v>
      </c>
      <c r="D248" s="5" t="s">
        <v>33</v>
      </c>
      <c r="E248" s="5" t="s">
        <v>13</v>
      </c>
      <c r="F248" s="5" t="s">
        <v>14</v>
      </c>
      <c r="G248" s="5" t="s">
        <v>15</v>
      </c>
      <c r="H248" s="5">
        <v>72696</v>
      </c>
      <c r="I248" s="5">
        <v>1176</v>
      </c>
      <c r="J248" s="6">
        <f t="shared" si="3"/>
        <v>71520</v>
      </c>
      <c r="L248" s="18">
        <v>228842</v>
      </c>
      <c r="M248" s="19" t="s">
        <v>10</v>
      </c>
      <c r="N248" s="19" t="s">
        <v>22</v>
      </c>
      <c r="O248" s="19" t="s">
        <v>23</v>
      </c>
      <c r="P248" s="19" t="s">
        <v>19</v>
      </c>
      <c r="Q248" s="19" t="s">
        <v>14</v>
      </c>
      <c r="R248" s="19" t="s">
        <v>24</v>
      </c>
      <c r="S248" s="19">
        <v>76166</v>
      </c>
      <c r="T248" s="77">
        <v>1318</v>
      </c>
      <c r="U248" s="20">
        <v>74848</v>
      </c>
    </row>
    <row r="249" spans="1:21">
      <c r="A249" s="5">
        <v>1111</v>
      </c>
      <c r="B249" s="5" t="s">
        <v>16</v>
      </c>
      <c r="C249" s="5" t="s">
        <v>20</v>
      </c>
      <c r="D249" s="5" t="s">
        <v>32</v>
      </c>
      <c r="E249" s="5" t="s">
        <v>19</v>
      </c>
      <c r="F249" s="5" t="s">
        <v>28</v>
      </c>
      <c r="G249" s="5" t="s">
        <v>24</v>
      </c>
      <c r="H249" s="5">
        <v>222</v>
      </c>
      <c r="I249" s="5">
        <v>0</v>
      </c>
      <c r="J249" s="6">
        <f t="shared" si="3"/>
        <v>222</v>
      </c>
      <c r="L249" s="21">
        <v>25262</v>
      </c>
      <c r="M249" s="22" t="s">
        <v>10</v>
      </c>
      <c r="N249" s="22" t="s">
        <v>35</v>
      </c>
      <c r="O249" s="22" t="s">
        <v>18</v>
      </c>
      <c r="P249" s="22" t="s">
        <v>19</v>
      </c>
      <c r="Q249" s="22" t="s">
        <v>14</v>
      </c>
      <c r="R249" s="22" t="s">
        <v>24</v>
      </c>
      <c r="S249" s="22">
        <v>75128</v>
      </c>
      <c r="T249" s="78">
        <v>5039</v>
      </c>
      <c r="U249" s="23">
        <v>70089</v>
      </c>
    </row>
    <row r="250" spans="1:21">
      <c r="A250" s="5">
        <v>145524</v>
      </c>
      <c r="B250" s="5" t="s">
        <v>16</v>
      </c>
      <c r="C250" s="5" t="s">
        <v>22</v>
      </c>
      <c r="D250" s="5" t="s">
        <v>30</v>
      </c>
      <c r="E250" s="5" t="s">
        <v>13</v>
      </c>
      <c r="F250" s="5" t="s">
        <v>14</v>
      </c>
      <c r="G250" s="5" t="s">
        <v>15</v>
      </c>
      <c r="H250" s="5">
        <v>19880</v>
      </c>
      <c r="I250" s="5">
        <v>425</v>
      </c>
      <c r="J250" s="6">
        <f t="shared" si="3"/>
        <v>19455</v>
      </c>
      <c r="L250" s="18">
        <v>51196</v>
      </c>
      <c r="M250" s="19" t="s">
        <v>10</v>
      </c>
      <c r="N250" s="19" t="s">
        <v>35</v>
      </c>
      <c r="O250" s="19" t="s">
        <v>18</v>
      </c>
      <c r="P250" s="19" t="s">
        <v>13</v>
      </c>
      <c r="Q250" s="19" t="s">
        <v>14</v>
      </c>
      <c r="R250" s="19" t="s">
        <v>24</v>
      </c>
      <c r="S250" s="19">
        <v>78897</v>
      </c>
      <c r="T250" s="77">
        <v>27267</v>
      </c>
      <c r="U250" s="20">
        <v>51630</v>
      </c>
    </row>
    <row r="251" spans="1:21">
      <c r="A251" s="5">
        <v>160653</v>
      </c>
      <c r="B251" s="5" t="s">
        <v>16</v>
      </c>
      <c r="C251" s="5" t="s">
        <v>22</v>
      </c>
      <c r="D251" s="5" t="s">
        <v>33</v>
      </c>
      <c r="E251" s="5" t="s">
        <v>13</v>
      </c>
      <c r="F251" s="5" t="s">
        <v>14</v>
      </c>
      <c r="G251" s="5" t="s">
        <v>15</v>
      </c>
      <c r="H251" s="5">
        <v>8754</v>
      </c>
      <c r="I251" s="5">
        <v>277</v>
      </c>
      <c r="J251" s="6">
        <f t="shared" si="3"/>
        <v>8477</v>
      </c>
      <c r="L251" s="21">
        <v>224954</v>
      </c>
      <c r="M251" s="22" t="s">
        <v>16</v>
      </c>
      <c r="N251" s="22" t="s">
        <v>25</v>
      </c>
      <c r="O251" s="22" t="s">
        <v>21</v>
      </c>
      <c r="P251" s="22" t="s">
        <v>19</v>
      </c>
      <c r="Q251" s="22" t="s">
        <v>14</v>
      </c>
      <c r="R251" s="22" t="s">
        <v>24</v>
      </c>
      <c r="S251" s="22">
        <v>67510</v>
      </c>
      <c r="T251" s="78">
        <v>328</v>
      </c>
      <c r="U251" s="23">
        <v>67182</v>
      </c>
    </row>
    <row r="252" spans="1:21">
      <c r="A252" s="5">
        <v>155562</v>
      </c>
      <c r="B252" s="5" t="s">
        <v>16</v>
      </c>
      <c r="C252" s="5" t="s">
        <v>25</v>
      </c>
      <c r="D252" s="5" t="s">
        <v>30</v>
      </c>
      <c r="E252" s="5" t="s">
        <v>19</v>
      </c>
      <c r="F252" s="5" t="s">
        <v>14</v>
      </c>
      <c r="G252" s="5" t="s">
        <v>24</v>
      </c>
      <c r="H252" s="5">
        <v>53738</v>
      </c>
      <c r="I252" s="5">
        <v>2279</v>
      </c>
      <c r="J252" s="6">
        <f t="shared" si="3"/>
        <v>51459</v>
      </c>
      <c r="L252" s="18">
        <v>215569</v>
      </c>
      <c r="M252" s="19" t="s">
        <v>10</v>
      </c>
      <c r="N252" s="19" t="s">
        <v>38</v>
      </c>
      <c r="O252" s="19" t="s">
        <v>26</v>
      </c>
      <c r="P252" s="19" t="s">
        <v>13</v>
      </c>
      <c r="Q252" s="19" t="s">
        <v>14</v>
      </c>
      <c r="R252" s="19" t="s">
        <v>24</v>
      </c>
      <c r="S252" s="19">
        <v>43561</v>
      </c>
      <c r="T252" s="77">
        <v>1110</v>
      </c>
      <c r="U252" s="20">
        <v>42451</v>
      </c>
    </row>
    <row r="253" spans="1:21">
      <c r="A253" s="5">
        <v>189908</v>
      </c>
      <c r="B253" s="5" t="s">
        <v>16</v>
      </c>
      <c r="C253" s="5" t="s">
        <v>37</v>
      </c>
      <c r="D253" s="5" t="s">
        <v>33</v>
      </c>
      <c r="E253" s="5" t="s">
        <v>13</v>
      </c>
      <c r="F253" s="5" t="s">
        <v>28</v>
      </c>
      <c r="G253" s="5" t="s">
        <v>15</v>
      </c>
      <c r="H253" s="5">
        <v>49797</v>
      </c>
      <c r="I253" s="5">
        <v>1748</v>
      </c>
      <c r="J253" s="6">
        <f t="shared" si="3"/>
        <v>48049</v>
      </c>
      <c r="L253" s="21">
        <v>97324</v>
      </c>
      <c r="M253" s="22" t="s">
        <v>16</v>
      </c>
      <c r="N253" s="22" t="s">
        <v>38</v>
      </c>
      <c r="O253" s="22" t="s">
        <v>12</v>
      </c>
      <c r="P253" s="22" t="s">
        <v>13</v>
      </c>
      <c r="Q253" s="22" t="s">
        <v>14</v>
      </c>
      <c r="R253" s="22" t="s">
        <v>15</v>
      </c>
      <c r="S253" s="22">
        <v>69530</v>
      </c>
      <c r="T253" s="78">
        <v>1666</v>
      </c>
      <c r="U253" s="23">
        <v>67864</v>
      </c>
    </row>
    <row r="254" spans="1:21">
      <c r="A254" s="5">
        <v>248679</v>
      </c>
      <c r="B254" s="5" t="s">
        <v>16</v>
      </c>
      <c r="C254" s="5" t="s">
        <v>17</v>
      </c>
      <c r="D254" s="5" t="s">
        <v>26</v>
      </c>
      <c r="E254" s="5" t="s">
        <v>19</v>
      </c>
      <c r="F254" s="5" t="s">
        <v>14</v>
      </c>
      <c r="G254" s="5" t="s">
        <v>24</v>
      </c>
      <c r="H254" s="5">
        <v>17061</v>
      </c>
      <c r="I254" s="5">
        <v>629</v>
      </c>
      <c r="J254" s="6">
        <f t="shared" si="3"/>
        <v>16432</v>
      </c>
      <c r="L254" s="18">
        <v>9440</v>
      </c>
      <c r="M254" s="19" t="s">
        <v>16</v>
      </c>
      <c r="N254" s="19" t="s">
        <v>20</v>
      </c>
      <c r="O254" s="19" t="s">
        <v>32</v>
      </c>
      <c r="P254" s="19" t="s">
        <v>13</v>
      </c>
      <c r="Q254" s="19" t="s">
        <v>14</v>
      </c>
      <c r="R254" s="19" t="s">
        <v>15</v>
      </c>
      <c r="S254" s="19">
        <v>138540</v>
      </c>
      <c r="T254" s="77">
        <v>0</v>
      </c>
      <c r="U254" s="20">
        <v>138540</v>
      </c>
    </row>
    <row r="255" spans="1:21">
      <c r="A255" s="5">
        <v>255464</v>
      </c>
      <c r="B255" s="5" t="s">
        <v>10</v>
      </c>
      <c r="C255" s="5" t="s">
        <v>25</v>
      </c>
      <c r="D255" s="5" t="s">
        <v>23</v>
      </c>
      <c r="E255" s="5" t="s">
        <v>19</v>
      </c>
      <c r="F255" s="5" t="s">
        <v>14</v>
      </c>
      <c r="G255" s="5" t="s">
        <v>24</v>
      </c>
      <c r="H255" s="5">
        <v>53378</v>
      </c>
      <c r="I255" s="5">
        <v>1391</v>
      </c>
      <c r="J255" s="6">
        <f t="shared" si="3"/>
        <v>51987</v>
      </c>
      <c r="L255" s="21">
        <v>57702</v>
      </c>
      <c r="M255" s="22" t="s">
        <v>10</v>
      </c>
      <c r="N255" s="22" t="s">
        <v>27</v>
      </c>
      <c r="O255" s="22" t="s">
        <v>12</v>
      </c>
      <c r="P255" s="22" t="s">
        <v>13</v>
      </c>
      <c r="Q255" s="22" t="s">
        <v>14</v>
      </c>
      <c r="R255" s="22" t="s">
        <v>15</v>
      </c>
      <c r="S255" s="22">
        <v>49108</v>
      </c>
      <c r="T255" s="78">
        <v>526</v>
      </c>
      <c r="U255" s="23">
        <v>48582</v>
      </c>
    </row>
    <row r="256" spans="1:21">
      <c r="A256" s="5">
        <v>55612</v>
      </c>
      <c r="B256" s="5" t="s">
        <v>10</v>
      </c>
      <c r="C256" s="5" t="s">
        <v>11</v>
      </c>
      <c r="D256" s="5" t="s">
        <v>26</v>
      </c>
      <c r="E256" s="5" t="s">
        <v>19</v>
      </c>
      <c r="F256" s="5" t="s">
        <v>14</v>
      </c>
      <c r="G256" s="5" t="s">
        <v>24</v>
      </c>
      <c r="H256" s="5">
        <v>36553</v>
      </c>
      <c r="I256" s="5">
        <v>327</v>
      </c>
      <c r="J256" s="6">
        <f t="shared" si="3"/>
        <v>36226</v>
      </c>
      <c r="L256" s="18">
        <v>29172</v>
      </c>
      <c r="M256" s="19" t="s">
        <v>10</v>
      </c>
      <c r="N256" s="19" t="s">
        <v>11</v>
      </c>
      <c r="O256" s="19" t="s">
        <v>23</v>
      </c>
      <c r="P256" s="19" t="s">
        <v>13</v>
      </c>
      <c r="Q256" s="19" t="s">
        <v>14</v>
      </c>
      <c r="R256" s="19" t="s">
        <v>15</v>
      </c>
      <c r="S256" s="19">
        <v>59928</v>
      </c>
      <c r="T256" s="77">
        <v>8756</v>
      </c>
      <c r="U256" s="20">
        <v>51172</v>
      </c>
    </row>
    <row r="257" spans="1:21">
      <c r="A257" s="5">
        <v>106980</v>
      </c>
      <c r="B257" s="5" t="s">
        <v>10</v>
      </c>
      <c r="C257" s="5" t="s">
        <v>25</v>
      </c>
      <c r="D257" s="5" t="s">
        <v>23</v>
      </c>
      <c r="E257" s="5" t="s">
        <v>13</v>
      </c>
      <c r="F257" s="5" t="s">
        <v>14</v>
      </c>
      <c r="G257" s="5" t="s">
        <v>24</v>
      </c>
      <c r="H257" s="5">
        <v>92204</v>
      </c>
      <c r="I257" s="5">
        <v>0</v>
      </c>
      <c r="J257" s="6">
        <f t="shared" si="3"/>
        <v>92204</v>
      </c>
      <c r="L257" s="21">
        <v>30658</v>
      </c>
      <c r="M257" s="22" t="s">
        <v>16</v>
      </c>
      <c r="N257" s="22" t="s">
        <v>35</v>
      </c>
      <c r="O257" s="22" t="s">
        <v>36</v>
      </c>
      <c r="P257" s="22" t="s">
        <v>13</v>
      </c>
      <c r="Q257" s="22" t="s">
        <v>14</v>
      </c>
      <c r="R257" s="22" t="s">
        <v>24</v>
      </c>
      <c r="S257" s="22">
        <v>11159</v>
      </c>
      <c r="T257" s="78">
        <v>725</v>
      </c>
      <c r="U257" s="23">
        <v>10434</v>
      </c>
    </row>
    <row r="258" spans="1:21">
      <c r="A258" s="5">
        <v>211071</v>
      </c>
      <c r="B258" s="5" t="s">
        <v>16</v>
      </c>
      <c r="C258" s="5" t="s">
        <v>34</v>
      </c>
      <c r="D258" s="5" t="s">
        <v>32</v>
      </c>
      <c r="E258" s="5" t="s">
        <v>13</v>
      </c>
      <c r="F258" s="5" t="s">
        <v>14</v>
      </c>
      <c r="G258" s="5" t="s">
        <v>15</v>
      </c>
      <c r="H258" s="5">
        <v>46032</v>
      </c>
      <c r="I258" s="5">
        <v>0</v>
      </c>
      <c r="J258" s="6">
        <f t="shared" ref="J258:J321" si="4">H258-I258</f>
        <v>46032</v>
      </c>
      <c r="L258" s="18">
        <v>192430</v>
      </c>
      <c r="M258" s="19" t="s">
        <v>16</v>
      </c>
      <c r="N258" s="19" t="s">
        <v>20</v>
      </c>
      <c r="O258" s="19" t="s">
        <v>32</v>
      </c>
      <c r="P258" s="19" t="s">
        <v>19</v>
      </c>
      <c r="Q258" s="19" t="s">
        <v>14</v>
      </c>
      <c r="R258" s="19" t="s">
        <v>24</v>
      </c>
      <c r="S258" s="19">
        <v>58984</v>
      </c>
      <c r="T258" s="77">
        <v>232</v>
      </c>
      <c r="U258" s="20">
        <v>58752</v>
      </c>
    </row>
    <row r="259" spans="1:21">
      <c r="A259" s="5">
        <v>199778</v>
      </c>
      <c r="B259" s="5" t="s">
        <v>16</v>
      </c>
      <c r="C259" s="5" t="s">
        <v>37</v>
      </c>
      <c r="D259" s="5" t="s">
        <v>12</v>
      </c>
      <c r="E259" s="5" t="s">
        <v>13</v>
      </c>
      <c r="F259" s="5" t="s">
        <v>28</v>
      </c>
      <c r="G259" s="5" t="s">
        <v>15</v>
      </c>
      <c r="H259" s="5">
        <v>164860</v>
      </c>
      <c r="I259" s="5">
        <v>1078</v>
      </c>
      <c r="J259" s="6">
        <f t="shared" si="4"/>
        <v>163782</v>
      </c>
      <c r="L259" s="21">
        <v>169428</v>
      </c>
      <c r="M259" s="22" t="s">
        <v>10</v>
      </c>
      <c r="N259" s="22" t="s">
        <v>25</v>
      </c>
      <c r="O259" s="22" t="s">
        <v>30</v>
      </c>
      <c r="P259" s="22" t="s">
        <v>13</v>
      </c>
      <c r="Q259" s="22" t="s">
        <v>14</v>
      </c>
      <c r="R259" s="22" t="s">
        <v>15</v>
      </c>
      <c r="S259" s="22">
        <v>91953</v>
      </c>
      <c r="T259" s="78">
        <v>7294</v>
      </c>
      <c r="U259" s="23">
        <v>84659</v>
      </c>
    </row>
    <row r="260" spans="1:21">
      <c r="A260" s="5">
        <v>108475</v>
      </c>
      <c r="B260" s="5" t="s">
        <v>10</v>
      </c>
      <c r="C260" s="5" t="s">
        <v>25</v>
      </c>
      <c r="D260" s="5" t="s">
        <v>29</v>
      </c>
      <c r="E260" s="5" t="s">
        <v>19</v>
      </c>
      <c r="F260" s="5" t="s">
        <v>28</v>
      </c>
      <c r="G260" s="5" t="s">
        <v>24</v>
      </c>
      <c r="H260" s="5">
        <v>20390</v>
      </c>
      <c r="I260" s="5">
        <v>3838</v>
      </c>
      <c r="J260" s="6">
        <f t="shared" si="4"/>
        <v>16552</v>
      </c>
      <c r="L260" s="18">
        <v>10903</v>
      </c>
      <c r="M260" s="19" t="s">
        <v>10</v>
      </c>
      <c r="N260" s="19" t="s">
        <v>34</v>
      </c>
      <c r="O260" s="19" t="s">
        <v>29</v>
      </c>
      <c r="P260" s="19" t="s">
        <v>19</v>
      </c>
      <c r="Q260" s="19" t="s">
        <v>14</v>
      </c>
      <c r="R260" s="19" t="s">
        <v>15</v>
      </c>
      <c r="S260" s="19">
        <v>106104</v>
      </c>
      <c r="T260" s="77">
        <v>6908</v>
      </c>
      <c r="U260" s="20">
        <v>99196</v>
      </c>
    </row>
    <row r="261" spans="1:21">
      <c r="A261" s="5">
        <v>190176</v>
      </c>
      <c r="B261" s="5" t="s">
        <v>10</v>
      </c>
      <c r="C261" s="5" t="s">
        <v>20</v>
      </c>
      <c r="D261" s="5" t="s">
        <v>32</v>
      </c>
      <c r="E261" s="5" t="s">
        <v>19</v>
      </c>
      <c r="F261" s="5" t="s">
        <v>28</v>
      </c>
      <c r="G261" s="5" t="s">
        <v>24</v>
      </c>
      <c r="H261" s="5">
        <v>411</v>
      </c>
      <c r="I261" s="5">
        <v>0</v>
      </c>
      <c r="J261" s="6">
        <f t="shared" si="4"/>
        <v>411</v>
      </c>
      <c r="L261" s="21">
        <v>134946</v>
      </c>
      <c r="M261" s="22" t="s">
        <v>16</v>
      </c>
      <c r="N261" s="22" t="s">
        <v>27</v>
      </c>
      <c r="O261" s="22" t="s">
        <v>18</v>
      </c>
      <c r="P261" s="22" t="s">
        <v>19</v>
      </c>
      <c r="Q261" s="22" t="s">
        <v>14</v>
      </c>
      <c r="R261" s="22" t="s">
        <v>24</v>
      </c>
      <c r="S261" s="22">
        <v>15205</v>
      </c>
      <c r="T261" s="78">
        <v>674</v>
      </c>
      <c r="U261" s="23">
        <v>14531</v>
      </c>
    </row>
    <row r="262" spans="1:21">
      <c r="A262" s="5">
        <v>52074</v>
      </c>
      <c r="B262" s="5" t="s">
        <v>10</v>
      </c>
      <c r="C262" s="5" t="s">
        <v>35</v>
      </c>
      <c r="D262" s="5" t="s">
        <v>12</v>
      </c>
      <c r="E262" s="5" t="s">
        <v>13</v>
      </c>
      <c r="F262" s="5" t="s">
        <v>14</v>
      </c>
      <c r="G262" s="5" t="s">
        <v>15</v>
      </c>
      <c r="H262" s="5">
        <v>362528</v>
      </c>
      <c r="I262" s="5">
        <v>8664</v>
      </c>
      <c r="J262" s="6">
        <f t="shared" si="4"/>
        <v>353864</v>
      </c>
      <c r="L262" s="18">
        <v>5440</v>
      </c>
      <c r="M262" s="19" t="s">
        <v>16</v>
      </c>
      <c r="N262" s="19" t="s">
        <v>20</v>
      </c>
      <c r="O262" s="19" t="s">
        <v>32</v>
      </c>
      <c r="P262" s="19" t="s">
        <v>13</v>
      </c>
      <c r="Q262" s="19" t="s">
        <v>14</v>
      </c>
      <c r="R262" s="19" t="s">
        <v>15</v>
      </c>
      <c r="S262" s="19">
        <v>41210</v>
      </c>
      <c r="T262" s="77">
        <v>0</v>
      </c>
      <c r="U262" s="20">
        <v>41210</v>
      </c>
    </row>
    <row r="263" spans="1:21">
      <c r="A263" s="5">
        <v>178274</v>
      </c>
      <c r="B263" s="5" t="s">
        <v>16</v>
      </c>
      <c r="C263" s="5" t="s">
        <v>27</v>
      </c>
      <c r="D263" s="5" t="s">
        <v>12</v>
      </c>
      <c r="E263" s="5" t="s">
        <v>13</v>
      </c>
      <c r="F263" s="5" t="s">
        <v>28</v>
      </c>
      <c r="G263" s="5" t="s">
        <v>15</v>
      </c>
      <c r="H263" s="5">
        <v>84012</v>
      </c>
      <c r="I263" s="5">
        <v>414</v>
      </c>
      <c r="J263" s="6">
        <f t="shared" si="4"/>
        <v>83598</v>
      </c>
      <c r="L263" s="21">
        <v>245387</v>
      </c>
      <c r="M263" s="22" t="s">
        <v>16</v>
      </c>
      <c r="N263" s="22" t="s">
        <v>35</v>
      </c>
      <c r="O263" s="22" t="s">
        <v>30</v>
      </c>
      <c r="P263" s="22" t="s">
        <v>13</v>
      </c>
      <c r="Q263" s="22" t="s">
        <v>14</v>
      </c>
      <c r="R263" s="22" t="s">
        <v>15</v>
      </c>
      <c r="S263" s="22">
        <v>177747</v>
      </c>
      <c r="T263" s="78">
        <v>9284</v>
      </c>
      <c r="U263" s="23">
        <v>168463</v>
      </c>
    </row>
    <row r="264" spans="1:21">
      <c r="A264" s="5">
        <v>180373</v>
      </c>
      <c r="B264" s="5" t="s">
        <v>16</v>
      </c>
      <c r="C264" s="5" t="s">
        <v>31</v>
      </c>
      <c r="D264" s="5" t="s">
        <v>18</v>
      </c>
      <c r="E264" s="5" t="s">
        <v>19</v>
      </c>
      <c r="F264" s="5" t="s">
        <v>28</v>
      </c>
      <c r="G264" s="5" t="s">
        <v>24</v>
      </c>
      <c r="H264" s="5">
        <v>11932</v>
      </c>
      <c r="I264" s="5">
        <v>47</v>
      </c>
      <c r="J264" s="6">
        <f t="shared" si="4"/>
        <v>11885</v>
      </c>
      <c r="L264" s="18">
        <v>97118</v>
      </c>
      <c r="M264" s="19" t="s">
        <v>16</v>
      </c>
      <c r="N264" s="19" t="s">
        <v>34</v>
      </c>
      <c r="O264" s="19" t="s">
        <v>36</v>
      </c>
      <c r="P264" s="19" t="s">
        <v>13</v>
      </c>
      <c r="Q264" s="19" t="s">
        <v>14</v>
      </c>
      <c r="R264" s="19" t="s">
        <v>24</v>
      </c>
      <c r="S264" s="19">
        <v>26670</v>
      </c>
      <c r="T264" s="77">
        <v>253</v>
      </c>
      <c r="U264" s="20">
        <v>26417</v>
      </c>
    </row>
    <row r="265" spans="1:21">
      <c r="A265" s="5">
        <v>119636</v>
      </c>
      <c r="B265" s="5" t="s">
        <v>10</v>
      </c>
      <c r="C265" s="5" t="s">
        <v>27</v>
      </c>
      <c r="D265" s="5" t="s">
        <v>23</v>
      </c>
      <c r="E265" s="5" t="s">
        <v>19</v>
      </c>
      <c r="F265" s="5" t="s">
        <v>28</v>
      </c>
      <c r="G265" s="5" t="s">
        <v>15</v>
      </c>
      <c r="H265" s="5">
        <v>87820</v>
      </c>
      <c r="I265" s="5">
        <v>0</v>
      </c>
      <c r="J265" s="6">
        <f t="shared" si="4"/>
        <v>87820</v>
      </c>
      <c r="L265" s="21">
        <v>71915</v>
      </c>
      <c r="M265" s="22" t="s">
        <v>16</v>
      </c>
      <c r="N265" s="22" t="s">
        <v>34</v>
      </c>
      <c r="O265" s="22" t="s">
        <v>32</v>
      </c>
      <c r="P265" s="22" t="s">
        <v>19</v>
      </c>
      <c r="Q265" s="22" t="s">
        <v>14</v>
      </c>
      <c r="R265" s="22" t="s">
        <v>24</v>
      </c>
      <c r="S265" s="22">
        <v>6392</v>
      </c>
      <c r="T265" s="78">
        <v>0</v>
      </c>
      <c r="U265" s="23">
        <v>6392</v>
      </c>
    </row>
    <row r="266" spans="1:21">
      <c r="A266" s="5">
        <v>167884</v>
      </c>
      <c r="B266" s="5" t="s">
        <v>10</v>
      </c>
      <c r="C266" s="5" t="s">
        <v>27</v>
      </c>
      <c r="D266" s="5" t="s">
        <v>12</v>
      </c>
      <c r="E266" s="5" t="s">
        <v>13</v>
      </c>
      <c r="F266" s="5" t="s">
        <v>14</v>
      </c>
      <c r="G266" s="5" t="s">
        <v>24</v>
      </c>
      <c r="H266" s="5">
        <v>63677</v>
      </c>
      <c r="I266" s="5">
        <v>2524</v>
      </c>
      <c r="J266" s="6">
        <f t="shared" si="4"/>
        <v>61153</v>
      </c>
      <c r="L266" s="18">
        <v>84842</v>
      </c>
      <c r="M266" s="19" t="s">
        <v>10</v>
      </c>
      <c r="N266" s="19" t="s">
        <v>11</v>
      </c>
      <c r="O266" s="19" t="s">
        <v>33</v>
      </c>
      <c r="P266" s="19" t="s">
        <v>19</v>
      </c>
      <c r="Q266" s="19" t="s">
        <v>14</v>
      </c>
      <c r="R266" s="19" t="s">
        <v>24</v>
      </c>
      <c r="S266" s="19">
        <v>64042</v>
      </c>
      <c r="T266" s="77">
        <v>454</v>
      </c>
      <c r="U266" s="20">
        <v>63588</v>
      </c>
    </row>
    <row r="267" spans="1:21">
      <c r="A267" s="5">
        <v>197204</v>
      </c>
      <c r="B267" s="5" t="s">
        <v>10</v>
      </c>
      <c r="C267" s="5" t="s">
        <v>34</v>
      </c>
      <c r="D267" s="5" t="s">
        <v>29</v>
      </c>
      <c r="E267" s="5" t="s">
        <v>13</v>
      </c>
      <c r="F267" s="5" t="s">
        <v>28</v>
      </c>
      <c r="G267" s="5" t="s">
        <v>24</v>
      </c>
      <c r="H267" s="5">
        <v>41408</v>
      </c>
      <c r="I267" s="5">
        <v>403</v>
      </c>
      <c r="J267" s="6">
        <f t="shared" si="4"/>
        <v>41005</v>
      </c>
      <c r="L267" s="21">
        <v>70130</v>
      </c>
      <c r="M267" s="22" t="s">
        <v>16</v>
      </c>
      <c r="N267" s="22" t="s">
        <v>34</v>
      </c>
      <c r="O267" s="22" t="s">
        <v>36</v>
      </c>
      <c r="P267" s="22" t="s">
        <v>19</v>
      </c>
      <c r="Q267" s="22" t="s">
        <v>14</v>
      </c>
      <c r="R267" s="22" t="s">
        <v>15</v>
      </c>
      <c r="S267" s="22">
        <v>59677</v>
      </c>
      <c r="T267" s="78">
        <v>347</v>
      </c>
      <c r="U267" s="23">
        <v>59330</v>
      </c>
    </row>
    <row r="268" spans="1:21">
      <c r="A268" s="5">
        <v>109440</v>
      </c>
      <c r="B268" s="5" t="s">
        <v>10</v>
      </c>
      <c r="C268" s="5" t="s">
        <v>22</v>
      </c>
      <c r="D268" s="5" t="s">
        <v>36</v>
      </c>
      <c r="E268" s="5" t="s">
        <v>19</v>
      </c>
      <c r="F268" s="5" t="s">
        <v>28</v>
      </c>
      <c r="G268" s="5" t="s">
        <v>24</v>
      </c>
      <c r="H268" s="5">
        <v>687</v>
      </c>
      <c r="I268" s="5">
        <v>0</v>
      </c>
      <c r="J268" s="6">
        <f t="shared" si="4"/>
        <v>687</v>
      </c>
      <c r="L268" s="18">
        <v>7084</v>
      </c>
      <c r="M268" s="19" t="s">
        <v>16</v>
      </c>
      <c r="N268" s="19" t="s">
        <v>20</v>
      </c>
      <c r="O268" s="19" t="s">
        <v>32</v>
      </c>
      <c r="P268" s="19" t="s">
        <v>19</v>
      </c>
      <c r="Q268" s="19" t="s">
        <v>14</v>
      </c>
      <c r="R268" s="19" t="s">
        <v>24</v>
      </c>
      <c r="S268" s="19">
        <v>121759</v>
      </c>
      <c r="T268" s="77">
        <v>678</v>
      </c>
      <c r="U268" s="20">
        <v>121081</v>
      </c>
    </row>
    <row r="269" spans="1:21">
      <c r="A269" s="5">
        <v>86176</v>
      </c>
      <c r="B269" s="5" t="s">
        <v>10</v>
      </c>
      <c r="C269" s="5" t="s">
        <v>20</v>
      </c>
      <c r="D269" s="5" t="s">
        <v>32</v>
      </c>
      <c r="E269" s="5" t="s">
        <v>13</v>
      </c>
      <c r="F269" s="5" t="s">
        <v>14</v>
      </c>
      <c r="G269" s="5" t="s">
        <v>15</v>
      </c>
      <c r="H269" s="5">
        <v>24043</v>
      </c>
      <c r="I269" s="5">
        <v>344</v>
      </c>
      <c r="J269" s="6">
        <f t="shared" si="4"/>
        <v>23699</v>
      </c>
      <c r="L269" s="21">
        <v>218811</v>
      </c>
      <c r="M269" s="22" t="s">
        <v>16</v>
      </c>
      <c r="N269" s="22" t="s">
        <v>34</v>
      </c>
      <c r="O269" s="22" t="s">
        <v>36</v>
      </c>
      <c r="P269" s="22" t="s">
        <v>13</v>
      </c>
      <c r="Q269" s="22" t="s">
        <v>14</v>
      </c>
      <c r="R269" s="22" t="s">
        <v>15</v>
      </c>
      <c r="S269" s="22">
        <v>50248</v>
      </c>
      <c r="T269" s="78">
        <v>735</v>
      </c>
      <c r="U269" s="23">
        <v>49513</v>
      </c>
    </row>
    <row r="270" spans="1:21">
      <c r="A270" s="5">
        <v>208917</v>
      </c>
      <c r="B270" s="5" t="s">
        <v>10</v>
      </c>
      <c r="C270" s="5" t="s">
        <v>20</v>
      </c>
      <c r="D270" s="5" t="s">
        <v>32</v>
      </c>
      <c r="E270" s="5" t="s">
        <v>13</v>
      </c>
      <c r="F270" s="5" t="s">
        <v>14</v>
      </c>
      <c r="G270" s="5" t="s">
        <v>15</v>
      </c>
      <c r="H270" s="5">
        <v>18083</v>
      </c>
      <c r="I270" s="5">
        <v>0</v>
      </c>
      <c r="J270" s="6">
        <f t="shared" si="4"/>
        <v>18083</v>
      </c>
      <c r="L270" s="18">
        <v>61612</v>
      </c>
      <c r="M270" s="19" t="s">
        <v>16</v>
      </c>
      <c r="N270" s="19" t="s">
        <v>27</v>
      </c>
      <c r="O270" s="19" t="s">
        <v>30</v>
      </c>
      <c r="P270" s="19" t="s">
        <v>13</v>
      </c>
      <c r="Q270" s="19" t="s">
        <v>14</v>
      </c>
      <c r="R270" s="19" t="s">
        <v>15</v>
      </c>
      <c r="S270" s="19">
        <v>81260</v>
      </c>
      <c r="T270" s="77">
        <v>3698</v>
      </c>
      <c r="U270" s="20">
        <v>77562</v>
      </c>
    </row>
    <row r="271" spans="1:21">
      <c r="A271" s="5">
        <v>118722</v>
      </c>
      <c r="B271" s="5" t="s">
        <v>10</v>
      </c>
      <c r="C271" s="5" t="s">
        <v>31</v>
      </c>
      <c r="D271" s="5" t="s">
        <v>26</v>
      </c>
      <c r="E271" s="5" t="s">
        <v>19</v>
      </c>
      <c r="F271" s="5" t="s">
        <v>14</v>
      </c>
      <c r="G271" s="5" t="s">
        <v>24</v>
      </c>
      <c r="H271" s="5">
        <v>21621</v>
      </c>
      <c r="I271" s="5">
        <v>388</v>
      </c>
      <c r="J271" s="6">
        <f t="shared" si="4"/>
        <v>21233</v>
      </c>
      <c r="L271" s="21">
        <v>81720</v>
      </c>
      <c r="M271" s="22" t="s">
        <v>16</v>
      </c>
      <c r="N271" s="22" t="s">
        <v>20</v>
      </c>
      <c r="O271" s="22" t="s">
        <v>32</v>
      </c>
      <c r="P271" s="22" t="s">
        <v>19</v>
      </c>
      <c r="Q271" s="22" t="s">
        <v>14</v>
      </c>
      <c r="R271" s="22" t="s">
        <v>24</v>
      </c>
      <c r="S271" s="22">
        <v>308266</v>
      </c>
      <c r="T271" s="78">
        <v>154</v>
      </c>
      <c r="U271" s="23">
        <v>308112</v>
      </c>
    </row>
    <row r="272" spans="1:21">
      <c r="A272" s="5">
        <v>93846</v>
      </c>
      <c r="B272" s="5" t="s">
        <v>10</v>
      </c>
      <c r="C272" s="5" t="s">
        <v>39</v>
      </c>
      <c r="D272" s="5" t="s">
        <v>23</v>
      </c>
      <c r="E272" s="5" t="s">
        <v>13</v>
      </c>
      <c r="F272" s="5" t="s">
        <v>14</v>
      </c>
      <c r="G272" s="5" t="s">
        <v>15</v>
      </c>
      <c r="H272" s="5">
        <v>45731</v>
      </c>
      <c r="I272" s="5">
        <v>243</v>
      </c>
      <c r="J272" s="6">
        <f t="shared" si="4"/>
        <v>45488</v>
      </c>
      <c r="L272" s="18">
        <v>22716</v>
      </c>
      <c r="M272" s="19" t="s">
        <v>10</v>
      </c>
      <c r="N272" s="19" t="s">
        <v>11</v>
      </c>
      <c r="O272" s="19" t="s">
        <v>26</v>
      </c>
      <c r="P272" s="19" t="s">
        <v>19</v>
      </c>
      <c r="Q272" s="19" t="s">
        <v>14</v>
      </c>
      <c r="R272" s="19" t="s">
        <v>24</v>
      </c>
      <c r="S272" s="19">
        <v>94643</v>
      </c>
      <c r="T272" s="77">
        <v>799</v>
      </c>
      <c r="U272" s="20">
        <v>93844</v>
      </c>
    </row>
    <row r="273" spans="1:21">
      <c r="A273" s="5">
        <v>20849</v>
      </c>
      <c r="B273" s="5" t="s">
        <v>16</v>
      </c>
      <c r="C273" s="5" t="s">
        <v>11</v>
      </c>
      <c r="D273" s="5" t="s">
        <v>32</v>
      </c>
      <c r="E273" s="5" t="s">
        <v>13</v>
      </c>
      <c r="F273" s="5" t="s">
        <v>14</v>
      </c>
      <c r="G273" s="5" t="s">
        <v>24</v>
      </c>
      <c r="H273" s="5">
        <v>-989</v>
      </c>
      <c r="I273" s="5">
        <v>0</v>
      </c>
      <c r="J273" s="6">
        <f t="shared" si="4"/>
        <v>-989</v>
      </c>
      <c r="L273" s="21">
        <v>191020</v>
      </c>
      <c r="M273" s="22" t="s">
        <v>10</v>
      </c>
      <c r="N273" s="22" t="s">
        <v>39</v>
      </c>
      <c r="O273" s="22" t="s">
        <v>32</v>
      </c>
      <c r="P273" s="22" t="s">
        <v>13</v>
      </c>
      <c r="Q273" s="22" t="s">
        <v>14</v>
      </c>
      <c r="R273" s="22" t="s">
        <v>15</v>
      </c>
      <c r="S273" s="22">
        <v>14091</v>
      </c>
      <c r="T273" s="78">
        <v>0</v>
      </c>
      <c r="U273" s="23">
        <v>14091</v>
      </c>
    </row>
    <row r="274" spans="1:21">
      <c r="A274" s="5">
        <v>28219</v>
      </c>
      <c r="B274" s="5" t="s">
        <v>10</v>
      </c>
      <c r="C274" s="5" t="s">
        <v>35</v>
      </c>
      <c r="D274" s="5" t="s">
        <v>36</v>
      </c>
      <c r="E274" s="5" t="s">
        <v>13</v>
      </c>
      <c r="F274" s="5" t="s">
        <v>14</v>
      </c>
      <c r="G274" s="5" t="s">
        <v>24</v>
      </c>
      <c r="H274" s="5">
        <v>66338</v>
      </c>
      <c r="I274" s="5">
        <v>883</v>
      </c>
      <c r="J274" s="6">
        <f t="shared" si="4"/>
        <v>65455</v>
      </c>
      <c r="L274" s="18">
        <v>216782</v>
      </c>
      <c r="M274" s="19" t="s">
        <v>10</v>
      </c>
      <c r="N274" s="19" t="s">
        <v>34</v>
      </c>
      <c r="O274" s="19" t="s">
        <v>23</v>
      </c>
      <c r="P274" s="19" t="s">
        <v>19</v>
      </c>
      <c r="Q274" s="19" t="s">
        <v>14</v>
      </c>
      <c r="R274" s="19" t="s">
        <v>15</v>
      </c>
      <c r="S274" s="19">
        <v>37766</v>
      </c>
      <c r="T274" s="77">
        <v>2634</v>
      </c>
      <c r="U274" s="20">
        <v>35132</v>
      </c>
    </row>
    <row r="275" spans="1:21">
      <c r="A275" s="5">
        <v>151465</v>
      </c>
      <c r="B275" s="5" t="s">
        <v>10</v>
      </c>
      <c r="C275" s="5" t="s">
        <v>11</v>
      </c>
      <c r="D275" s="5" t="s">
        <v>26</v>
      </c>
      <c r="E275" s="5" t="s">
        <v>13</v>
      </c>
      <c r="F275" s="5" t="s">
        <v>14</v>
      </c>
      <c r="G275" s="5" t="s">
        <v>24</v>
      </c>
      <c r="H275" s="5">
        <v>63322</v>
      </c>
      <c r="I275" s="5">
        <v>252</v>
      </c>
      <c r="J275" s="6">
        <f t="shared" si="4"/>
        <v>63070</v>
      </c>
      <c r="L275" s="21">
        <v>189241</v>
      </c>
      <c r="M275" s="22" t="s">
        <v>10</v>
      </c>
      <c r="N275" s="22" t="s">
        <v>37</v>
      </c>
      <c r="O275" s="22" t="s">
        <v>29</v>
      </c>
      <c r="P275" s="22" t="s">
        <v>13</v>
      </c>
      <c r="Q275" s="22" t="s">
        <v>14</v>
      </c>
      <c r="R275" s="22" t="s">
        <v>15</v>
      </c>
      <c r="S275" s="22">
        <v>91854</v>
      </c>
      <c r="T275" s="78">
        <v>573</v>
      </c>
      <c r="U275" s="23">
        <v>91281</v>
      </c>
    </row>
    <row r="276" spans="1:21">
      <c r="A276" s="5">
        <v>63809</v>
      </c>
      <c r="B276" s="5" t="s">
        <v>10</v>
      </c>
      <c r="C276" s="5" t="s">
        <v>27</v>
      </c>
      <c r="D276" s="5" t="s">
        <v>26</v>
      </c>
      <c r="E276" s="5" t="s">
        <v>19</v>
      </c>
      <c r="F276" s="5" t="s">
        <v>14</v>
      </c>
      <c r="G276" s="5" t="s">
        <v>24</v>
      </c>
      <c r="H276" s="5">
        <v>19786</v>
      </c>
      <c r="I276" s="5">
        <v>338</v>
      </c>
      <c r="J276" s="6">
        <f t="shared" si="4"/>
        <v>19448</v>
      </c>
      <c r="L276" s="18">
        <v>139376</v>
      </c>
      <c r="M276" s="19" t="s">
        <v>16</v>
      </c>
      <c r="N276" s="19" t="s">
        <v>35</v>
      </c>
      <c r="O276" s="19" t="s">
        <v>21</v>
      </c>
      <c r="P276" s="19" t="s">
        <v>19</v>
      </c>
      <c r="Q276" s="19" t="s">
        <v>14</v>
      </c>
      <c r="R276" s="19" t="s">
        <v>15</v>
      </c>
      <c r="S276" s="19">
        <v>101018</v>
      </c>
      <c r="T276" s="77">
        <v>7032</v>
      </c>
      <c r="U276" s="20">
        <v>93986</v>
      </c>
    </row>
    <row r="277" spans="1:21">
      <c r="A277" s="5">
        <v>46731</v>
      </c>
      <c r="B277" s="5" t="s">
        <v>16</v>
      </c>
      <c r="C277" s="5" t="s">
        <v>37</v>
      </c>
      <c r="D277" s="5" t="s">
        <v>33</v>
      </c>
      <c r="E277" s="5" t="s">
        <v>13</v>
      </c>
      <c r="F277" s="5" t="s">
        <v>14</v>
      </c>
      <c r="G277" s="5" t="s">
        <v>15</v>
      </c>
      <c r="H277" s="5">
        <v>46660</v>
      </c>
      <c r="I277" s="5">
        <v>963</v>
      </c>
      <c r="J277" s="6">
        <f t="shared" si="4"/>
        <v>45697</v>
      </c>
      <c r="L277" s="21">
        <v>183710</v>
      </c>
      <c r="M277" s="22" t="s">
        <v>16</v>
      </c>
      <c r="N277" s="22" t="s">
        <v>37</v>
      </c>
      <c r="O277" s="22" t="s">
        <v>30</v>
      </c>
      <c r="P277" s="22" t="s">
        <v>13</v>
      </c>
      <c r="Q277" s="22" t="s">
        <v>14</v>
      </c>
      <c r="R277" s="22" t="s">
        <v>15</v>
      </c>
      <c r="S277" s="22">
        <v>88363</v>
      </c>
      <c r="T277" s="78">
        <v>2264</v>
      </c>
      <c r="U277" s="23">
        <v>86099</v>
      </c>
    </row>
    <row r="278" spans="1:21">
      <c r="A278" s="5">
        <v>57607</v>
      </c>
      <c r="B278" s="5" t="s">
        <v>10</v>
      </c>
      <c r="C278" s="5" t="s">
        <v>34</v>
      </c>
      <c r="D278" s="5" t="s">
        <v>32</v>
      </c>
      <c r="E278" s="5" t="s">
        <v>13</v>
      </c>
      <c r="F278" s="5" t="s">
        <v>28</v>
      </c>
      <c r="G278" s="5" t="s">
        <v>15</v>
      </c>
      <c r="H278" s="5">
        <v>115874</v>
      </c>
      <c r="I278" s="5">
        <v>1715</v>
      </c>
      <c r="J278" s="6">
        <f t="shared" si="4"/>
        <v>114159</v>
      </c>
      <c r="L278" s="18">
        <v>135276</v>
      </c>
      <c r="M278" s="19" t="s">
        <v>16</v>
      </c>
      <c r="N278" s="19" t="s">
        <v>27</v>
      </c>
      <c r="O278" s="19" t="s">
        <v>30</v>
      </c>
      <c r="P278" s="19" t="s">
        <v>13</v>
      </c>
      <c r="Q278" s="19" t="s">
        <v>14</v>
      </c>
      <c r="R278" s="19" t="s">
        <v>15</v>
      </c>
      <c r="S278" s="19">
        <v>125755</v>
      </c>
      <c r="T278" s="77">
        <v>7855</v>
      </c>
      <c r="U278" s="20">
        <v>117900</v>
      </c>
    </row>
    <row r="279" spans="1:21">
      <c r="A279" s="5">
        <v>252311</v>
      </c>
      <c r="B279" s="5" t="s">
        <v>10</v>
      </c>
      <c r="C279" s="5" t="s">
        <v>17</v>
      </c>
      <c r="D279" s="5" t="s">
        <v>30</v>
      </c>
      <c r="E279" s="5" t="s">
        <v>19</v>
      </c>
      <c r="F279" s="5" t="s">
        <v>14</v>
      </c>
      <c r="G279" s="5" t="s">
        <v>15</v>
      </c>
      <c r="H279" s="5">
        <v>23868</v>
      </c>
      <c r="I279" s="5">
        <v>0</v>
      </c>
      <c r="J279" s="6">
        <f t="shared" si="4"/>
        <v>23868</v>
      </c>
      <c r="L279" s="21">
        <v>21306</v>
      </c>
      <c r="M279" s="22" t="s">
        <v>16</v>
      </c>
      <c r="N279" s="22" t="s">
        <v>11</v>
      </c>
      <c r="O279" s="22" t="s">
        <v>30</v>
      </c>
      <c r="P279" s="22" t="s">
        <v>19</v>
      </c>
      <c r="Q279" s="22" t="s">
        <v>14</v>
      </c>
      <c r="R279" s="22" t="s">
        <v>15</v>
      </c>
      <c r="S279" s="22">
        <v>102712</v>
      </c>
      <c r="T279" s="78">
        <v>5118</v>
      </c>
      <c r="U279" s="23">
        <v>97594</v>
      </c>
    </row>
    <row r="280" spans="1:21">
      <c r="A280" s="5">
        <v>222043</v>
      </c>
      <c r="B280" s="5" t="s">
        <v>16</v>
      </c>
      <c r="C280" s="5" t="s">
        <v>25</v>
      </c>
      <c r="D280" s="5" t="s">
        <v>33</v>
      </c>
      <c r="E280" s="5" t="s">
        <v>13</v>
      </c>
      <c r="F280" s="5" t="s">
        <v>14</v>
      </c>
      <c r="G280" s="5" t="s">
        <v>15</v>
      </c>
      <c r="H280" s="5">
        <v>43868</v>
      </c>
      <c r="I280" s="5">
        <v>471</v>
      </c>
      <c r="J280" s="6">
        <f t="shared" si="4"/>
        <v>43397</v>
      </c>
      <c r="L280" s="18">
        <v>179834</v>
      </c>
      <c r="M280" s="19" t="s">
        <v>16</v>
      </c>
      <c r="N280" s="19" t="s">
        <v>17</v>
      </c>
      <c r="O280" s="19" t="s">
        <v>33</v>
      </c>
      <c r="P280" s="19" t="s">
        <v>19</v>
      </c>
      <c r="Q280" s="19" t="s">
        <v>14</v>
      </c>
      <c r="R280" s="19" t="s">
        <v>24</v>
      </c>
      <c r="S280" s="19">
        <v>62999</v>
      </c>
      <c r="T280" s="77">
        <v>503</v>
      </c>
      <c r="U280" s="20">
        <v>62496</v>
      </c>
    </row>
    <row r="281" spans="1:21">
      <c r="A281" s="5">
        <v>78939</v>
      </c>
      <c r="B281" s="5" t="s">
        <v>16</v>
      </c>
      <c r="C281" s="5" t="s">
        <v>20</v>
      </c>
      <c r="D281" s="5" t="s">
        <v>32</v>
      </c>
      <c r="E281" s="5" t="s">
        <v>13</v>
      </c>
      <c r="F281" s="5" t="s">
        <v>28</v>
      </c>
      <c r="G281" s="5" t="s">
        <v>15</v>
      </c>
      <c r="H281" s="5">
        <v>10966</v>
      </c>
      <c r="I281" s="5">
        <v>0</v>
      </c>
      <c r="J281" s="6">
        <f t="shared" si="4"/>
        <v>10966</v>
      </c>
      <c r="L281" s="21">
        <v>19161</v>
      </c>
      <c r="M281" s="22" t="s">
        <v>16</v>
      </c>
      <c r="N281" s="22" t="s">
        <v>11</v>
      </c>
      <c r="O281" s="22" t="s">
        <v>26</v>
      </c>
      <c r="P281" s="22" t="s">
        <v>13</v>
      </c>
      <c r="Q281" s="22" t="s">
        <v>14</v>
      </c>
      <c r="R281" s="22" t="s">
        <v>15</v>
      </c>
      <c r="S281" s="22">
        <v>37744</v>
      </c>
      <c r="T281" s="78">
        <v>2773</v>
      </c>
      <c r="U281" s="23">
        <v>34971</v>
      </c>
    </row>
    <row r="282" spans="1:21">
      <c r="A282" s="5">
        <v>128173</v>
      </c>
      <c r="B282" s="5" t="s">
        <v>16</v>
      </c>
      <c r="C282" s="5" t="s">
        <v>22</v>
      </c>
      <c r="D282" s="5" t="s">
        <v>30</v>
      </c>
      <c r="E282" s="5" t="s">
        <v>13</v>
      </c>
      <c r="F282" s="5" t="s">
        <v>28</v>
      </c>
      <c r="G282" s="5" t="s">
        <v>15</v>
      </c>
      <c r="H282" s="5">
        <v>75468</v>
      </c>
      <c r="I282" s="5">
        <v>12</v>
      </c>
      <c r="J282" s="6">
        <f t="shared" si="4"/>
        <v>75456</v>
      </c>
      <c r="L282" s="18">
        <v>212937</v>
      </c>
      <c r="M282" s="19" t="s">
        <v>16</v>
      </c>
      <c r="N282" s="19" t="s">
        <v>38</v>
      </c>
      <c r="O282" s="19" t="s">
        <v>32</v>
      </c>
      <c r="P282" s="19" t="s">
        <v>13</v>
      </c>
      <c r="Q282" s="19" t="s">
        <v>14</v>
      </c>
      <c r="R282" s="19" t="s">
        <v>15</v>
      </c>
      <c r="S282" s="19">
        <v>1011</v>
      </c>
      <c r="T282" s="77">
        <v>0</v>
      </c>
      <c r="U282" s="20">
        <v>1011</v>
      </c>
    </row>
    <row r="283" spans="1:21">
      <c r="A283" s="5">
        <v>13408</v>
      </c>
      <c r="B283" s="5" t="s">
        <v>16</v>
      </c>
      <c r="C283" s="5" t="s">
        <v>34</v>
      </c>
      <c r="D283" s="5" t="s">
        <v>36</v>
      </c>
      <c r="E283" s="5" t="s">
        <v>13</v>
      </c>
      <c r="F283" s="5" t="s">
        <v>14</v>
      </c>
      <c r="G283" s="5" t="s">
        <v>24</v>
      </c>
      <c r="H283" s="5">
        <v>19340</v>
      </c>
      <c r="I283" s="5">
        <v>4583</v>
      </c>
      <c r="J283" s="6">
        <f t="shared" si="4"/>
        <v>14757</v>
      </c>
      <c r="L283" s="21">
        <v>197479</v>
      </c>
      <c r="M283" s="22" t="s">
        <v>10</v>
      </c>
      <c r="N283" s="22" t="s">
        <v>37</v>
      </c>
      <c r="O283" s="22" t="s">
        <v>32</v>
      </c>
      <c r="P283" s="22" t="s">
        <v>19</v>
      </c>
      <c r="Q283" s="22" t="s">
        <v>14</v>
      </c>
      <c r="R283" s="22" t="s">
        <v>24</v>
      </c>
      <c r="S283" s="22">
        <v>23655</v>
      </c>
      <c r="T283" s="78">
        <v>4700</v>
      </c>
      <c r="U283" s="23">
        <v>18955</v>
      </c>
    </row>
    <row r="284" spans="1:21">
      <c r="A284" s="5">
        <v>176095</v>
      </c>
      <c r="B284" s="5" t="s">
        <v>16</v>
      </c>
      <c r="C284" s="5" t="s">
        <v>22</v>
      </c>
      <c r="D284" s="5" t="s">
        <v>30</v>
      </c>
      <c r="E284" s="5" t="s">
        <v>13</v>
      </c>
      <c r="F284" s="5" t="s">
        <v>28</v>
      </c>
      <c r="G284" s="5" t="s">
        <v>15</v>
      </c>
      <c r="H284" s="5">
        <v>204515</v>
      </c>
      <c r="I284" s="5">
        <v>3131</v>
      </c>
      <c r="J284" s="6">
        <f t="shared" si="4"/>
        <v>201384</v>
      </c>
      <c r="L284" s="18">
        <v>32705</v>
      </c>
      <c r="M284" s="19" t="s">
        <v>10</v>
      </c>
      <c r="N284" s="19" t="s">
        <v>11</v>
      </c>
      <c r="O284" s="19" t="s">
        <v>12</v>
      </c>
      <c r="P284" s="19" t="s">
        <v>13</v>
      </c>
      <c r="Q284" s="19" t="s">
        <v>14</v>
      </c>
      <c r="R284" s="19" t="s">
        <v>15</v>
      </c>
      <c r="S284" s="19">
        <v>488320</v>
      </c>
      <c r="T284" s="77">
        <v>1768</v>
      </c>
      <c r="U284" s="20">
        <v>486552</v>
      </c>
    </row>
    <row r="285" spans="1:21">
      <c r="A285" s="5">
        <v>208936</v>
      </c>
      <c r="B285" s="5" t="s">
        <v>10</v>
      </c>
      <c r="C285" s="5" t="s">
        <v>38</v>
      </c>
      <c r="D285" s="5" t="s">
        <v>12</v>
      </c>
      <c r="E285" s="5" t="s">
        <v>13</v>
      </c>
      <c r="F285" s="5" t="s">
        <v>14</v>
      </c>
      <c r="G285" s="5" t="s">
        <v>15</v>
      </c>
      <c r="H285" s="5">
        <v>76777</v>
      </c>
      <c r="I285" s="5">
        <v>877</v>
      </c>
      <c r="J285" s="6">
        <f t="shared" si="4"/>
        <v>75900</v>
      </c>
      <c r="L285" s="21">
        <v>142772</v>
      </c>
      <c r="M285" s="22" t="s">
        <v>10</v>
      </c>
      <c r="N285" s="22" t="s">
        <v>27</v>
      </c>
      <c r="O285" s="22" t="s">
        <v>21</v>
      </c>
      <c r="P285" s="22" t="s">
        <v>19</v>
      </c>
      <c r="Q285" s="22" t="s">
        <v>14</v>
      </c>
      <c r="R285" s="22" t="s">
        <v>24</v>
      </c>
      <c r="S285" s="22">
        <v>39860</v>
      </c>
      <c r="T285" s="78">
        <v>182</v>
      </c>
      <c r="U285" s="23">
        <v>39678</v>
      </c>
    </row>
    <row r="286" spans="1:21">
      <c r="A286" s="5">
        <v>226207</v>
      </c>
      <c r="B286" s="5" t="s">
        <v>16</v>
      </c>
      <c r="C286" s="5" t="s">
        <v>25</v>
      </c>
      <c r="D286" s="5" t="s">
        <v>18</v>
      </c>
      <c r="E286" s="5" t="s">
        <v>19</v>
      </c>
      <c r="F286" s="5" t="s">
        <v>28</v>
      </c>
      <c r="G286" s="5" t="s">
        <v>24</v>
      </c>
      <c r="H286" s="5">
        <v>22865</v>
      </c>
      <c r="I286" s="5">
        <v>1045</v>
      </c>
      <c r="J286" s="6">
        <f t="shared" si="4"/>
        <v>21820</v>
      </c>
      <c r="L286" s="18">
        <v>185174</v>
      </c>
      <c r="M286" s="19" t="s">
        <v>10</v>
      </c>
      <c r="N286" s="19" t="s">
        <v>34</v>
      </c>
      <c r="O286" s="19" t="s">
        <v>30</v>
      </c>
      <c r="P286" s="19" t="s">
        <v>13</v>
      </c>
      <c r="Q286" s="19" t="s">
        <v>14</v>
      </c>
      <c r="R286" s="19" t="s">
        <v>15</v>
      </c>
      <c r="S286" s="19">
        <v>151110</v>
      </c>
      <c r="T286" s="77">
        <v>2173</v>
      </c>
      <c r="U286" s="20">
        <v>148937</v>
      </c>
    </row>
    <row r="287" spans="1:21">
      <c r="A287" s="5">
        <v>79718</v>
      </c>
      <c r="B287" s="5" t="s">
        <v>16</v>
      </c>
      <c r="C287" s="5" t="s">
        <v>38</v>
      </c>
      <c r="D287" s="5" t="s">
        <v>30</v>
      </c>
      <c r="E287" s="5" t="s">
        <v>19</v>
      </c>
      <c r="F287" s="5" t="s">
        <v>14</v>
      </c>
      <c r="G287" s="5" t="s">
        <v>15</v>
      </c>
      <c r="H287" s="5">
        <v>170613</v>
      </c>
      <c r="I287" s="5">
        <v>9240</v>
      </c>
      <c r="J287" s="6">
        <f t="shared" si="4"/>
        <v>161373</v>
      </c>
      <c r="L287" s="21">
        <v>147525</v>
      </c>
      <c r="M287" s="22" t="s">
        <v>10</v>
      </c>
      <c r="N287" s="22" t="s">
        <v>34</v>
      </c>
      <c r="O287" s="22" t="s">
        <v>12</v>
      </c>
      <c r="P287" s="22" t="s">
        <v>13</v>
      </c>
      <c r="Q287" s="22" t="s">
        <v>14</v>
      </c>
      <c r="R287" s="22" t="s">
        <v>15</v>
      </c>
      <c r="S287" s="22">
        <v>308194</v>
      </c>
      <c r="T287" s="78">
        <v>1506</v>
      </c>
      <c r="U287" s="23">
        <v>306688</v>
      </c>
    </row>
    <row r="288" spans="1:21">
      <c r="A288" s="5">
        <v>22739</v>
      </c>
      <c r="B288" s="5" t="s">
        <v>16</v>
      </c>
      <c r="C288" s="5" t="s">
        <v>11</v>
      </c>
      <c r="D288" s="5" t="s">
        <v>18</v>
      </c>
      <c r="E288" s="5" t="s">
        <v>13</v>
      </c>
      <c r="F288" s="5" t="s">
        <v>14</v>
      </c>
      <c r="G288" s="5" t="s">
        <v>15</v>
      </c>
      <c r="H288" s="5">
        <v>39073</v>
      </c>
      <c r="I288" s="5">
        <v>135</v>
      </c>
      <c r="J288" s="6">
        <f t="shared" si="4"/>
        <v>38938</v>
      </c>
      <c r="L288" s="18">
        <v>39222</v>
      </c>
      <c r="M288" s="19" t="s">
        <v>10</v>
      </c>
      <c r="N288" s="19" t="s">
        <v>35</v>
      </c>
      <c r="O288" s="19" t="s">
        <v>23</v>
      </c>
      <c r="P288" s="19" t="s">
        <v>19</v>
      </c>
      <c r="Q288" s="19" t="s">
        <v>14</v>
      </c>
      <c r="R288" s="19" t="s">
        <v>15</v>
      </c>
      <c r="S288" s="19">
        <v>181275</v>
      </c>
      <c r="T288" s="77">
        <v>25183</v>
      </c>
      <c r="U288" s="20">
        <v>156092</v>
      </c>
    </row>
    <row r="289" spans="1:21">
      <c r="A289" s="5">
        <v>255004</v>
      </c>
      <c r="B289" s="5" t="s">
        <v>10</v>
      </c>
      <c r="C289" s="5" t="s">
        <v>17</v>
      </c>
      <c r="D289" s="5" t="s">
        <v>21</v>
      </c>
      <c r="E289" s="5" t="s">
        <v>19</v>
      </c>
      <c r="F289" s="5" t="s">
        <v>14</v>
      </c>
      <c r="G289" s="5" t="s">
        <v>24</v>
      </c>
      <c r="H289" s="5">
        <v>22825</v>
      </c>
      <c r="I289" s="5">
        <v>269</v>
      </c>
      <c r="J289" s="6">
        <f t="shared" si="4"/>
        <v>22556</v>
      </c>
      <c r="L289" s="21">
        <v>136594</v>
      </c>
      <c r="M289" s="22" t="s">
        <v>10</v>
      </c>
      <c r="N289" s="22" t="s">
        <v>34</v>
      </c>
      <c r="O289" s="22" t="s">
        <v>23</v>
      </c>
      <c r="P289" s="22" t="s">
        <v>13</v>
      </c>
      <c r="Q289" s="22" t="s">
        <v>14</v>
      </c>
      <c r="R289" s="22" t="s">
        <v>15</v>
      </c>
      <c r="S289" s="22">
        <v>41389</v>
      </c>
      <c r="T289" s="78">
        <v>2307</v>
      </c>
      <c r="U289" s="23">
        <v>39082</v>
      </c>
    </row>
    <row r="290" spans="1:21">
      <c r="A290" s="5">
        <v>15439</v>
      </c>
      <c r="B290" s="5" t="s">
        <v>10</v>
      </c>
      <c r="C290" s="5" t="s">
        <v>11</v>
      </c>
      <c r="D290" s="5" t="s">
        <v>23</v>
      </c>
      <c r="E290" s="5" t="s">
        <v>13</v>
      </c>
      <c r="F290" s="5" t="s">
        <v>14</v>
      </c>
      <c r="G290" s="5" t="s">
        <v>24</v>
      </c>
      <c r="H290" s="5">
        <v>68022</v>
      </c>
      <c r="I290" s="5">
        <v>553</v>
      </c>
      <c r="J290" s="6">
        <f t="shared" si="4"/>
        <v>67469</v>
      </c>
      <c r="L290" s="18">
        <v>209290</v>
      </c>
      <c r="M290" s="19" t="s">
        <v>16</v>
      </c>
      <c r="N290" s="19" t="s">
        <v>38</v>
      </c>
      <c r="O290" s="19" t="s">
        <v>12</v>
      </c>
      <c r="P290" s="19" t="s">
        <v>13</v>
      </c>
      <c r="Q290" s="19" t="s">
        <v>14</v>
      </c>
      <c r="R290" s="19" t="s">
        <v>15</v>
      </c>
      <c r="S290" s="19">
        <v>87181</v>
      </c>
      <c r="T290" s="77">
        <v>0</v>
      </c>
      <c r="U290" s="20">
        <v>87181</v>
      </c>
    </row>
    <row r="291" spans="1:21">
      <c r="A291" s="5">
        <v>246317</v>
      </c>
      <c r="B291" s="5" t="s">
        <v>16</v>
      </c>
      <c r="C291" s="5" t="s">
        <v>17</v>
      </c>
      <c r="D291" s="5" t="s">
        <v>18</v>
      </c>
      <c r="E291" s="5" t="s">
        <v>19</v>
      </c>
      <c r="F291" s="5" t="s">
        <v>14</v>
      </c>
      <c r="G291" s="5" t="s">
        <v>15</v>
      </c>
      <c r="H291" s="5">
        <v>15649</v>
      </c>
      <c r="I291" s="5">
        <v>130</v>
      </c>
      <c r="J291" s="6">
        <f t="shared" si="4"/>
        <v>15519</v>
      </c>
      <c r="L291" s="21">
        <v>200944</v>
      </c>
      <c r="M291" s="22" t="s">
        <v>16</v>
      </c>
      <c r="N291" s="22" t="s">
        <v>38</v>
      </c>
      <c r="O291" s="22" t="s">
        <v>21</v>
      </c>
      <c r="P291" s="22" t="s">
        <v>19</v>
      </c>
      <c r="Q291" s="22" t="s">
        <v>14</v>
      </c>
      <c r="R291" s="22" t="s">
        <v>15</v>
      </c>
      <c r="S291" s="22">
        <v>38618</v>
      </c>
      <c r="T291" s="78">
        <v>5701</v>
      </c>
      <c r="U291" s="23">
        <v>32917</v>
      </c>
    </row>
    <row r="292" spans="1:21">
      <c r="A292" s="5">
        <v>30618</v>
      </c>
      <c r="B292" s="5" t="s">
        <v>10</v>
      </c>
      <c r="C292" s="5" t="s">
        <v>11</v>
      </c>
      <c r="D292" s="5" t="s">
        <v>29</v>
      </c>
      <c r="E292" s="5" t="s">
        <v>19</v>
      </c>
      <c r="F292" s="5" t="s">
        <v>28</v>
      </c>
      <c r="G292" s="5" t="s">
        <v>24</v>
      </c>
      <c r="H292" s="5">
        <v>14902</v>
      </c>
      <c r="I292" s="5">
        <v>71</v>
      </c>
      <c r="J292" s="6">
        <f t="shared" si="4"/>
        <v>14831</v>
      </c>
      <c r="L292" s="18">
        <v>173364</v>
      </c>
      <c r="M292" s="19" t="s">
        <v>10</v>
      </c>
      <c r="N292" s="19" t="s">
        <v>27</v>
      </c>
      <c r="O292" s="19" t="s">
        <v>30</v>
      </c>
      <c r="P292" s="19" t="s">
        <v>13</v>
      </c>
      <c r="Q292" s="19" t="s">
        <v>14</v>
      </c>
      <c r="R292" s="19" t="s">
        <v>24</v>
      </c>
      <c r="S292" s="19">
        <v>108263</v>
      </c>
      <c r="T292" s="77">
        <v>967</v>
      </c>
      <c r="U292" s="20">
        <v>107296</v>
      </c>
    </row>
    <row r="293" spans="1:21">
      <c r="A293" s="5">
        <v>138220</v>
      </c>
      <c r="B293" s="5" t="s">
        <v>16</v>
      </c>
      <c r="C293" s="5" t="s">
        <v>25</v>
      </c>
      <c r="D293" s="5" t="s">
        <v>23</v>
      </c>
      <c r="E293" s="5" t="s">
        <v>19</v>
      </c>
      <c r="F293" s="5" t="s">
        <v>14</v>
      </c>
      <c r="G293" s="5" t="s">
        <v>15</v>
      </c>
      <c r="H293" s="5">
        <v>50117</v>
      </c>
      <c r="I293" s="5">
        <v>1579</v>
      </c>
      <c r="J293" s="6">
        <f t="shared" si="4"/>
        <v>48538</v>
      </c>
      <c r="L293" s="21">
        <v>49303</v>
      </c>
      <c r="M293" s="22" t="s">
        <v>10</v>
      </c>
      <c r="N293" s="22" t="s">
        <v>35</v>
      </c>
      <c r="O293" s="22" t="s">
        <v>36</v>
      </c>
      <c r="P293" s="22" t="s">
        <v>13</v>
      </c>
      <c r="Q293" s="22" t="s">
        <v>14</v>
      </c>
      <c r="R293" s="22" t="s">
        <v>15</v>
      </c>
      <c r="S293" s="22">
        <v>69036</v>
      </c>
      <c r="T293" s="78">
        <v>25466</v>
      </c>
      <c r="U293" s="23">
        <v>43570</v>
      </c>
    </row>
    <row r="294" spans="1:21">
      <c r="A294" s="5">
        <v>14608</v>
      </c>
      <c r="B294" s="5" t="s">
        <v>16</v>
      </c>
      <c r="C294" s="5" t="s">
        <v>39</v>
      </c>
      <c r="D294" s="5" t="s">
        <v>32</v>
      </c>
      <c r="E294" s="5" t="s">
        <v>13</v>
      </c>
      <c r="F294" s="5" t="s">
        <v>14</v>
      </c>
      <c r="G294" s="5" t="s">
        <v>15</v>
      </c>
      <c r="H294" s="5">
        <v>10032</v>
      </c>
      <c r="I294" s="5">
        <v>1311</v>
      </c>
      <c r="J294" s="6">
        <f t="shared" si="4"/>
        <v>8721</v>
      </c>
      <c r="L294" s="18">
        <v>96878</v>
      </c>
      <c r="M294" s="19" t="s">
        <v>10</v>
      </c>
      <c r="N294" s="19" t="s">
        <v>37</v>
      </c>
      <c r="O294" s="19" t="s">
        <v>12</v>
      </c>
      <c r="P294" s="19" t="s">
        <v>13</v>
      </c>
      <c r="Q294" s="19" t="s">
        <v>14</v>
      </c>
      <c r="R294" s="19" t="s">
        <v>15</v>
      </c>
      <c r="S294" s="19">
        <v>74892</v>
      </c>
      <c r="T294" s="77">
        <v>495</v>
      </c>
      <c r="U294" s="20">
        <v>74397</v>
      </c>
    </row>
    <row r="295" spans="1:21">
      <c r="A295" s="5">
        <v>176137</v>
      </c>
      <c r="B295" s="5" t="s">
        <v>16</v>
      </c>
      <c r="C295" s="5" t="s">
        <v>25</v>
      </c>
      <c r="D295" s="5" t="s">
        <v>33</v>
      </c>
      <c r="E295" s="5" t="s">
        <v>13</v>
      </c>
      <c r="F295" s="5" t="s">
        <v>14</v>
      </c>
      <c r="G295" s="5" t="s">
        <v>15</v>
      </c>
      <c r="H295" s="5">
        <v>145393</v>
      </c>
      <c r="I295" s="5">
        <v>3046</v>
      </c>
      <c r="J295" s="6">
        <f t="shared" si="4"/>
        <v>142347</v>
      </c>
      <c r="L295" s="21">
        <v>228761</v>
      </c>
      <c r="M295" s="22" t="s">
        <v>10</v>
      </c>
      <c r="N295" s="22" t="s">
        <v>17</v>
      </c>
      <c r="O295" s="22" t="s">
        <v>18</v>
      </c>
      <c r="P295" s="22" t="s">
        <v>19</v>
      </c>
      <c r="Q295" s="22" t="s">
        <v>14</v>
      </c>
      <c r="R295" s="22" t="s">
        <v>15</v>
      </c>
      <c r="S295" s="22">
        <v>96112</v>
      </c>
      <c r="T295" s="78">
        <v>5788</v>
      </c>
      <c r="U295" s="23">
        <v>90324</v>
      </c>
    </row>
    <row r="296" spans="1:21">
      <c r="A296" s="5">
        <v>93869</v>
      </c>
      <c r="B296" s="5" t="s">
        <v>10</v>
      </c>
      <c r="C296" s="5" t="s">
        <v>20</v>
      </c>
      <c r="D296" s="5" t="s">
        <v>32</v>
      </c>
      <c r="E296" s="5" t="s">
        <v>13</v>
      </c>
      <c r="F296" s="5" t="s">
        <v>14</v>
      </c>
      <c r="G296" s="5" t="s">
        <v>15</v>
      </c>
      <c r="H296" s="5">
        <v>1530</v>
      </c>
      <c r="I296" s="5">
        <v>0</v>
      </c>
      <c r="J296" s="6">
        <f t="shared" si="4"/>
        <v>1530</v>
      </c>
      <c r="L296" s="18">
        <v>186395</v>
      </c>
      <c r="M296" s="19" t="s">
        <v>16</v>
      </c>
      <c r="N296" s="19" t="s">
        <v>38</v>
      </c>
      <c r="O296" s="19" t="s">
        <v>33</v>
      </c>
      <c r="P296" s="19" t="s">
        <v>13</v>
      </c>
      <c r="Q296" s="19" t="s">
        <v>14</v>
      </c>
      <c r="R296" s="19" t="s">
        <v>15</v>
      </c>
      <c r="S296" s="19">
        <v>91742</v>
      </c>
      <c r="T296" s="77">
        <v>2148</v>
      </c>
      <c r="U296" s="20">
        <v>89594</v>
      </c>
    </row>
    <row r="297" spans="1:21">
      <c r="A297" s="5">
        <v>122150</v>
      </c>
      <c r="B297" s="5" t="s">
        <v>16</v>
      </c>
      <c r="C297" s="5" t="s">
        <v>25</v>
      </c>
      <c r="D297" s="5" t="s">
        <v>30</v>
      </c>
      <c r="E297" s="5" t="s">
        <v>19</v>
      </c>
      <c r="F297" s="5" t="s">
        <v>14</v>
      </c>
      <c r="G297" s="5" t="s">
        <v>15</v>
      </c>
      <c r="H297" s="5">
        <v>45494</v>
      </c>
      <c r="I297" s="5">
        <v>2619</v>
      </c>
      <c r="J297" s="6">
        <f t="shared" si="4"/>
        <v>42875</v>
      </c>
      <c r="L297" s="21">
        <v>2128</v>
      </c>
      <c r="M297" s="22" t="s">
        <v>10</v>
      </c>
      <c r="N297" s="22" t="s">
        <v>39</v>
      </c>
      <c r="O297" s="22" t="s">
        <v>12</v>
      </c>
      <c r="P297" s="22" t="s">
        <v>13</v>
      </c>
      <c r="Q297" s="22" t="s">
        <v>14</v>
      </c>
      <c r="R297" s="22" t="s">
        <v>15</v>
      </c>
      <c r="S297" s="22">
        <v>28828</v>
      </c>
      <c r="T297" s="78">
        <v>352</v>
      </c>
      <c r="U297" s="23">
        <v>28476</v>
      </c>
    </row>
    <row r="298" spans="1:21">
      <c r="A298" s="5">
        <v>214004</v>
      </c>
      <c r="B298" s="5" t="s">
        <v>16</v>
      </c>
      <c r="C298" s="5" t="s">
        <v>38</v>
      </c>
      <c r="D298" s="5" t="s">
        <v>21</v>
      </c>
      <c r="E298" s="5" t="s">
        <v>19</v>
      </c>
      <c r="F298" s="5" t="s">
        <v>14</v>
      </c>
      <c r="G298" s="5" t="s">
        <v>24</v>
      </c>
      <c r="H298" s="5">
        <v>33927</v>
      </c>
      <c r="I298" s="5">
        <v>625</v>
      </c>
      <c r="J298" s="6">
        <f t="shared" si="4"/>
        <v>33302</v>
      </c>
      <c r="L298" s="18">
        <v>89037</v>
      </c>
      <c r="M298" s="19" t="s">
        <v>10</v>
      </c>
      <c r="N298" s="19" t="s">
        <v>37</v>
      </c>
      <c r="O298" s="19" t="s">
        <v>30</v>
      </c>
      <c r="P298" s="19" t="s">
        <v>13</v>
      </c>
      <c r="Q298" s="19" t="s">
        <v>14</v>
      </c>
      <c r="R298" s="19" t="s">
        <v>15</v>
      </c>
      <c r="S298" s="19">
        <v>64806</v>
      </c>
      <c r="T298" s="77">
        <v>1159</v>
      </c>
      <c r="U298" s="20">
        <v>63647</v>
      </c>
    </row>
    <row r="299" spans="1:21">
      <c r="A299" s="5">
        <v>212726</v>
      </c>
      <c r="B299" s="5" t="s">
        <v>16</v>
      </c>
      <c r="C299" s="5" t="s">
        <v>34</v>
      </c>
      <c r="D299" s="5" t="s">
        <v>30</v>
      </c>
      <c r="E299" s="5" t="s">
        <v>13</v>
      </c>
      <c r="F299" s="5" t="s">
        <v>14</v>
      </c>
      <c r="G299" s="5" t="s">
        <v>15</v>
      </c>
      <c r="H299" s="5">
        <v>40478</v>
      </c>
      <c r="I299" s="5">
        <v>1196</v>
      </c>
      <c r="J299" s="6">
        <f t="shared" si="4"/>
        <v>39282</v>
      </c>
      <c r="L299" s="21">
        <v>73845</v>
      </c>
      <c r="M299" s="22" t="s">
        <v>16</v>
      </c>
      <c r="N299" s="22" t="s">
        <v>11</v>
      </c>
      <c r="O299" s="22" t="s">
        <v>18</v>
      </c>
      <c r="P299" s="22" t="s">
        <v>19</v>
      </c>
      <c r="Q299" s="22" t="s">
        <v>14</v>
      </c>
      <c r="R299" s="22" t="s">
        <v>24</v>
      </c>
      <c r="S299" s="22">
        <v>72218</v>
      </c>
      <c r="T299" s="78">
        <v>1140</v>
      </c>
      <c r="U299" s="23">
        <v>71078</v>
      </c>
    </row>
    <row r="300" spans="1:21">
      <c r="A300" s="5">
        <v>138196</v>
      </c>
      <c r="B300" s="5" t="s">
        <v>10</v>
      </c>
      <c r="C300" s="5" t="s">
        <v>22</v>
      </c>
      <c r="D300" s="5" t="s">
        <v>32</v>
      </c>
      <c r="E300" s="5" t="s">
        <v>13</v>
      </c>
      <c r="F300" s="5" t="s">
        <v>14</v>
      </c>
      <c r="G300" s="5" t="s">
        <v>24</v>
      </c>
      <c r="H300" s="5">
        <v>48598</v>
      </c>
      <c r="I300" s="5">
        <v>89</v>
      </c>
      <c r="J300" s="6">
        <f t="shared" si="4"/>
        <v>48509</v>
      </c>
      <c r="L300" s="18">
        <v>105731</v>
      </c>
      <c r="M300" s="19" t="s">
        <v>10</v>
      </c>
      <c r="N300" s="19" t="s">
        <v>22</v>
      </c>
      <c r="O300" s="19" t="s">
        <v>23</v>
      </c>
      <c r="P300" s="19" t="s">
        <v>13</v>
      </c>
      <c r="Q300" s="19" t="s">
        <v>14</v>
      </c>
      <c r="R300" s="19" t="s">
        <v>15</v>
      </c>
      <c r="S300" s="19">
        <v>85896</v>
      </c>
      <c r="T300" s="77">
        <v>6278</v>
      </c>
      <c r="U300" s="20">
        <v>79618</v>
      </c>
    </row>
    <row r="301" spans="1:21">
      <c r="A301" s="5">
        <v>197142</v>
      </c>
      <c r="B301" s="5" t="s">
        <v>10</v>
      </c>
      <c r="C301" s="5" t="s">
        <v>11</v>
      </c>
      <c r="D301" s="5" t="s">
        <v>29</v>
      </c>
      <c r="E301" s="5" t="s">
        <v>13</v>
      </c>
      <c r="F301" s="5" t="s">
        <v>14</v>
      </c>
      <c r="G301" s="5" t="s">
        <v>15</v>
      </c>
      <c r="H301" s="5">
        <v>64041</v>
      </c>
      <c r="I301" s="5">
        <v>479</v>
      </c>
      <c r="J301" s="6">
        <f t="shared" si="4"/>
        <v>63562</v>
      </c>
      <c r="L301" s="21">
        <v>185676</v>
      </c>
      <c r="M301" s="22" t="s">
        <v>10</v>
      </c>
      <c r="N301" s="22" t="s">
        <v>37</v>
      </c>
      <c r="O301" s="22" t="s">
        <v>12</v>
      </c>
      <c r="P301" s="22" t="s">
        <v>13</v>
      </c>
      <c r="Q301" s="22" t="s">
        <v>14</v>
      </c>
      <c r="R301" s="22" t="s">
        <v>15</v>
      </c>
      <c r="S301" s="22">
        <v>51113</v>
      </c>
      <c r="T301" s="78">
        <v>1575</v>
      </c>
      <c r="U301" s="23">
        <v>49538</v>
      </c>
    </row>
    <row r="302" spans="1:21">
      <c r="A302" s="5">
        <v>16982</v>
      </c>
      <c r="B302" s="5" t="s">
        <v>16</v>
      </c>
      <c r="C302" s="5" t="s">
        <v>11</v>
      </c>
      <c r="D302" s="5" t="s">
        <v>36</v>
      </c>
      <c r="E302" s="5" t="s">
        <v>13</v>
      </c>
      <c r="F302" s="5" t="s">
        <v>14</v>
      </c>
      <c r="G302" s="5" t="s">
        <v>24</v>
      </c>
      <c r="H302" s="5">
        <v>278</v>
      </c>
      <c r="I302" s="5">
        <v>0</v>
      </c>
      <c r="J302" s="6">
        <f t="shared" si="4"/>
        <v>278</v>
      </c>
      <c r="L302" s="18">
        <v>150676</v>
      </c>
      <c r="M302" s="19" t="s">
        <v>10</v>
      </c>
      <c r="N302" s="19" t="s">
        <v>27</v>
      </c>
      <c r="O302" s="19" t="s">
        <v>23</v>
      </c>
      <c r="P302" s="19" t="s">
        <v>13</v>
      </c>
      <c r="Q302" s="19" t="s">
        <v>14</v>
      </c>
      <c r="R302" s="19" t="s">
        <v>24</v>
      </c>
      <c r="S302" s="19">
        <v>50304</v>
      </c>
      <c r="T302" s="77">
        <v>8420</v>
      </c>
      <c r="U302" s="20">
        <v>41884</v>
      </c>
    </row>
    <row r="303" spans="1:21">
      <c r="A303" s="5">
        <v>195385</v>
      </c>
      <c r="B303" s="5" t="s">
        <v>10</v>
      </c>
      <c r="C303" s="5" t="s">
        <v>11</v>
      </c>
      <c r="D303" s="5" t="s">
        <v>29</v>
      </c>
      <c r="E303" s="5" t="s">
        <v>13</v>
      </c>
      <c r="F303" s="5" t="s">
        <v>14</v>
      </c>
      <c r="G303" s="5" t="s">
        <v>15</v>
      </c>
      <c r="H303" s="5">
        <v>107092</v>
      </c>
      <c r="I303" s="5">
        <v>9015</v>
      </c>
      <c r="J303" s="6">
        <f t="shared" si="4"/>
        <v>98077</v>
      </c>
      <c r="L303" s="21">
        <v>209389</v>
      </c>
      <c r="M303" s="22" t="s">
        <v>10</v>
      </c>
      <c r="N303" s="22" t="s">
        <v>38</v>
      </c>
      <c r="O303" s="22" t="s">
        <v>32</v>
      </c>
      <c r="P303" s="22" t="s">
        <v>13</v>
      </c>
      <c r="Q303" s="22" t="s">
        <v>14</v>
      </c>
      <c r="R303" s="22" t="s">
        <v>15</v>
      </c>
      <c r="S303" s="22">
        <v>15571</v>
      </c>
      <c r="T303" s="78">
        <v>1705</v>
      </c>
      <c r="U303" s="23">
        <v>13866</v>
      </c>
    </row>
    <row r="304" spans="1:21">
      <c r="A304" s="5">
        <v>93997</v>
      </c>
      <c r="B304" s="5" t="s">
        <v>16</v>
      </c>
      <c r="C304" s="5" t="s">
        <v>38</v>
      </c>
      <c r="D304" s="5" t="s">
        <v>32</v>
      </c>
      <c r="E304" s="5" t="s">
        <v>13</v>
      </c>
      <c r="F304" s="5" t="s">
        <v>14</v>
      </c>
      <c r="G304" s="5" t="s">
        <v>15</v>
      </c>
      <c r="H304" s="5">
        <v>3202</v>
      </c>
      <c r="I304" s="5">
        <v>1089</v>
      </c>
      <c r="J304" s="6">
        <f t="shared" si="4"/>
        <v>2113</v>
      </c>
      <c r="L304" s="18">
        <v>143332</v>
      </c>
      <c r="M304" s="19" t="s">
        <v>10</v>
      </c>
      <c r="N304" s="19" t="s">
        <v>22</v>
      </c>
      <c r="O304" s="19" t="s">
        <v>12</v>
      </c>
      <c r="P304" s="19" t="s">
        <v>13</v>
      </c>
      <c r="Q304" s="19" t="s">
        <v>14</v>
      </c>
      <c r="R304" s="19" t="s">
        <v>15</v>
      </c>
      <c r="S304" s="19">
        <v>81769</v>
      </c>
      <c r="T304" s="77">
        <v>2726</v>
      </c>
      <c r="U304" s="20">
        <v>79043</v>
      </c>
    </row>
    <row r="305" spans="1:21">
      <c r="A305" s="5">
        <v>95481</v>
      </c>
      <c r="B305" s="5" t="s">
        <v>16</v>
      </c>
      <c r="C305" s="5" t="s">
        <v>37</v>
      </c>
      <c r="D305" s="5" t="s">
        <v>30</v>
      </c>
      <c r="E305" s="5" t="s">
        <v>13</v>
      </c>
      <c r="F305" s="5" t="s">
        <v>14</v>
      </c>
      <c r="G305" s="5" t="s">
        <v>15</v>
      </c>
      <c r="H305" s="5">
        <v>45498</v>
      </c>
      <c r="I305" s="5">
        <v>3331</v>
      </c>
      <c r="J305" s="6">
        <f t="shared" si="4"/>
        <v>42167</v>
      </c>
      <c r="L305" s="21">
        <v>194148</v>
      </c>
      <c r="M305" s="22" t="s">
        <v>16</v>
      </c>
      <c r="N305" s="22" t="s">
        <v>34</v>
      </c>
      <c r="O305" s="22" t="s">
        <v>26</v>
      </c>
      <c r="P305" s="22" t="s">
        <v>19</v>
      </c>
      <c r="Q305" s="22" t="s">
        <v>14</v>
      </c>
      <c r="R305" s="22" t="s">
        <v>24</v>
      </c>
      <c r="S305" s="22">
        <v>19039</v>
      </c>
      <c r="T305" s="78">
        <v>678</v>
      </c>
      <c r="U305" s="23">
        <v>18361</v>
      </c>
    </row>
    <row r="306" spans="1:21">
      <c r="A306" s="5">
        <v>96643</v>
      </c>
      <c r="B306" s="5" t="s">
        <v>10</v>
      </c>
      <c r="C306" s="5" t="s">
        <v>34</v>
      </c>
      <c r="D306" s="5" t="s">
        <v>32</v>
      </c>
      <c r="E306" s="5" t="s">
        <v>13</v>
      </c>
      <c r="F306" s="5" t="s">
        <v>14</v>
      </c>
      <c r="G306" s="5" t="s">
        <v>15</v>
      </c>
      <c r="H306" s="5">
        <v>68615</v>
      </c>
      <c r="I306" s="5">
        <v>129</v>
      </c>
      <c r="J306" s="6">
        <f t="shared" si="4"/>
        <v>68486</v>
      </c>
      <c r="L306" s="18">
        <v>165016</v>
      </c>
      <c r="M306" s="19" t="s">
        <v>16</v>
      </c>
      <c r="N306" s="19" t="s">
        <v>17</v>
      </c>
      <c r="O306" s="19" t="s">
        <v>21</v>
      </c>
      <c r="P306" s="19" t="s">
        <v>19</v>
      </c>
      <c r="Q306" s="19" t="s">
        <v>14</v>
      </c>
      <c r="R306" s="19" t="s">
        <v>24</v>
      </c>
      <c r="S306" s="19">
        <v>31289</v>
      </c>
      <c r="T306" s="77">
        <v>308</v>
      </c>
      <c r="U306" s="20">
        <v>30981</v>
      </c>
    </row>
    <row r="307" spans="1:21">
      <c r="A307" s="5">
        <v>89401</v>
      </c>
      <c r="B307" s="5" t="s">
        <v>16</v>
      </c>
      <c r="C307" s="5" t="s">
        <v>37</v>
      </c>
      <c r="D307" s="5" t="s">
        <v>30</v>
      </c>
      <c r="E307" s="5" t="s">
        <v>19</v>
      </c>
      <c r="F307" s="5" t="s">
        <v>14</v>
      </c>
      <c r="G307" s="5" t="s">
        <v>24</v>
      </c>
      <c r="H307" s="5">
        <v>31488</v>
      </c>
      <c r="I307" s="5">
        <v>1881</v>
      </c>
      <c r="J307" s="6">
        <f t="shared" si="4"/>
        <v>29607</v>
      </c>
      <c r="L307" s="21">
        <v>57633</v>
      </c>
      <c r="M307" s="22" t="s">
        <v>16</v>
      </c>
      <c r="N307" s="22" t="s">
        <v>11</v>
      </c>
      <c r="O307" s="22" t="s">
        <v>36</v>
      </c>
      <c r="P307" s="22" t="s">
        <v>13</v>
      </c>
      <c r="Q307" s="22" t="s">
        <v>14</v>
      </c>
      <c r="R307" s="22" t="s">
        <v>24</v>
      </c>
      <c r="S307" s="22">
        <v>12492</v>
      </c>
      <c r="T307" s="78">
        <v>47</v>
      </c>
      <c r="U307" s="23">
        <v>12445</v>
      </c>
    </row>
    <row r="308" spans="1:21">
      <c r="A308" s="5">
        <v>257573</v>
      </c>
      <c r="B308" s="5" t="s">
        <v>10</v>
      </c>
      <c r="C308" s="5" t="s">
        <v>35</v>
      </c>
      <c r="D308" s="5" t="s">
        <v>33</v>
      </c>
      <c r="E308" s="5" t="s">
        <v>19</v>
      </c>
      <c r="F308" s="5" t="s">
        <v>14</v>
      </c>
      <c r="G308" s="5" t="s">
        <v>24</v>
      </c>
      <c r="H308" s="5">
        <v>38450</v>
      </c>
      <c r="I308" s="5">
        <v>3238</v>
      </c>
      <c r="J308" s="6">
        <f t="shared" si="4"/>
        <v>35212</v>
      </c>
      <c r="L308" s="18">
        <v>237902</v>
      </c>
      <c r="M308" s="19" t="s">
        <v>10</v>
      </c>
      <c r="N308" s="19" t="s">
        <v>22</v>
      </c>
      <c r="O308" s="19" t="s">
        <v>29</v>
      </c>
      <c r="P308" s="19" t="s">
        <v>13</v>
      </c>
      <c r="Q308" s="19" t="s">
        <v>14</v>
      </c>
      <c r="R308" s="19" t="s">
        <v>24</v>
      </c>
      <c r="S308" s="19">
        <v>59661</v>
      </c>
      <c r="T308" s="77">
        <v>1843</v>
      </c>
      <c r="U308" s="20">
        <v>57818</v>
      </c>
    </row>
    <row r="309" spans="1:21">
      <c r="A309" s="5">
        <v>178658</v>
      </c>
      <c r="B309" s="5" t="s">
        <v>10</v>
      </c>
      <c r="C309" s="5" t="s">
        <v>17</v>
      </c>
      <c r="D309" s="5" t="s">
        <v>18</v>
      </c>
      <c r="E309" s="5" t="s">
        <v>19</v>
      </c>
      <c r="F309" s="5" t="s">
        <v>14</v>
      </c>
      <c r="G309" s="5" t="s">
        <v>24</v>
      </c>
      <c r="H309" s="5">
        <v>41728</v>
      </c>
      <c r="I309" s="5">
        <v>1119</v>
      </c>
      <c r="J309" s="6">
        <f t="shared" si="4"/>
        <v>40609</v>
      </c>
      <c r="L309" s="21">
        <v>171585</v>
      </c>
      <c r="M309" s="22" t="s">
        <v>16</v>
      </c>
      <c r="N309" s="22" t="s">
        <v>31</v>
      </c>
      <c r="O309" s="22" t="s">
        <v>21</v>
      </c>
      <c r="P309" s="22" t="s">
        <v>19</v>
      </c>
      <c r="Q309" s="22" t="s">
        <v>14</v>
      </c>
      <c r="R309" s="22" t="s">
        <v>24</v>
      </c>
      <c r="S309" s="22">
        <v>37787</v>
      </c>
      <c r="T309" s="78">
        <v>0</v>
      </c>
      <c r="U309" s="23">
        <v>37787</v>
      </c>
    </row>
    <row r="310" spans="1:21">
      <c r="A310" s="5">
        <v>225363</v>
      </c>
      <c r="B310" s="5" t="s">
        <v>10</v>
      </c>
      <c r="C310" s="5" t="s">
        <v>25</v>
      </c>
      <c r="D310" s="5" t="s">
        <v>23</v>
      </c>
      <c r="E310" s="5" t="s">
        <v>13</v>
      </c>
      <c r="F310" s="5" t="s">
        <v>28</v>
      </c>
      <c r="G310" s="5" t="s">
        <v>24</v>
      </c>
      <c r="H310" s="5">
        <v>52404</v>
      </c>
      <c r="I310" s="5">
        <v>2907</v>
      </c>
      <c r="J310" s="6">
        <f t="shared" si="4"/>
        <v>49497</v>
      </c>
      <c r="L310" s="18">
        <v>132046</v>
      </c>
      <c r="M310" s="19" t="s">
        <v>16</v>
      </c>
      <c r="N310" s="19" t="s">
        <v>25</v>
      </c>
      <c r="O310" s="19" t="s">
        <v>33</v>
      </c>
      <c r="P310" s="19" t="s">
        <v>19</v>
      </c>
      <c r="Q310" s="19" t="s">
        <v>14</v>
      </c>
      <c r="R310" s="19" t="s">
        <v>15</v>
      </c>
      <c r="S310" s="19">
        <v>67807</v>
      </c>
      <c r="T310" s="77">
        <v>1266</v>
      </c>
      <c r="U310" s="20">
        <v>66541</v>
      </c>
    </row>
    <row r="311" spans="1:21">
      <c r="A311" s="5">
        <v>5070</v>
      </c>
      <c r="B311" s="5" t="s">
        <v>16</v>
      </c>
      <c r="C311" s="5" t="s">
        <v>37</v>
      </c>
      <c r="D311" s="5" t="s">
        <v>23</v>
      </c>
      <c r="E311" s="5" t="s">
        <v>13</v>
      </c>
      <c r="F311" s="5" t="s">
        <v>14</v>
      </c>
      <c r="G311" s="5" t="s">
        <v>24</v>
      </c>
      <c r="H311" s="5">
        <v>15171</v>
      </c>
      <c r="I311" s="5">
        <v>1358</v>
      </c>
      <c r="J311" s="6">
        <f t="shared" si="4"/>
        <v>13813</v>
      </c>
      <c r="L311" s="21">
        <v>196833</v>
      </c>
      <c r="M311" s="22" t="s">
        <v>16</v>
      </c>
      <c r="N311" s="22" t="s">
        <v>11</v>
      </c>
      <c r="O311" s="22" t="s">
        <v>33</v>
      </c>
      <c r="P311" s="22" t="s">
        <v>13</v>
      </c>
      <c r="Q311" s="22" t="s">
        <v>14</v>
      </c>
      <c r="R311" s="22" t="s">
        <v>15</v>
      </c>
      <c r="S311" s="22">
        <v>66885</v>
      </c>
      <c r="T311" s="78">
        <v>2920</v>
      </c>
      <c r="U311" s="23">
        <v>63965</v>
      </c>
    </row>
    <row r="312" spans="1:21">
      <c r="A312" s="5">
        <v>48077</v>
      </c>
      <c r="B312" s="5" t="s">
        <v>16</v>
      </c>
      <c r="C312" s="5" t="s">
        <v>34</v>
      </c>
      <c r="D312" s="5" t="s">
        <v>36</v>
      </c>
      <c r="E312" s="5" t="s">
        <v>13</v>
      </c>
      <c r="F312" s="5" t="s">
        <v>14</v>
      </c>
      <c r="G312" s="5" t="s">
        <v>24</v>
      </c>
      <c r="H312" s="5">
        <v>74453</v>
      </c>
      <c r="I312" s="5">
        <v>689</v>
      </c>
      <c r="J312" s="6">
        <f t="shared" si="4"/>
        <v>73764</v>
      </c>
      <c r="L312" s="18">
        <v>116001</v>
      </c>
      <c r="M312" s="19" t="s">
        <v>16</v>
      </c>
      <c r="N312" s="19" t="s">
        <v>25</v>
      </c>
      <c r="O312" s="19" t="s">
        <v>30</v>
      </c>
      <c r="P312" s="19" t="s">
        <v>13</v>
      </c>
      <c r="Q312" s="19" t="s">
        <v>14</v>
      </c>
      <c r="R312" s="19" t="s">
        <v>24</v>
      </c>
      <c r="S312" s="19">
        <v>32101</v>
      </c>
      <c r="T312" s="77">
        <v>375</v>
      </c>
      <c r="U312" s="20">
        <v>31726</v>
      </c>
    </row>
    <row r="313" spans="1:21">
      <c r="A313" s="5">
        <v>16539</v>
      </c>
      <c r="B313" s="5" t="s">
        <v>16</v>
      </c>
      <c r="C313" s="5" t="s">
        <v>11</v>
      </c>
      <c r="D313" s="5" t="s">
        <v>32</v>
      </c>
      <c r="E313" s="5" t="s">
        <v>13</v>
      </c>
      <c r="F313" s="5" t="s">
        <v>28</v>
      </c>
      <c r="G313" s="5" t="s">
        <v>24</v>
      </c>
      <c r="H313" s="5">
        <v>19648</v>
      </c>
      <c r="I313" s="5">
        <v>675</v>
      </c>
      <c r="J313" s="6">
        <f t="shared" si="4"/>
        <v>18973</v>
      </c>
      <c r="L313" s="21">
        <v>123013</v>
      </c>
      <c r="M313" s="22" t="s">
        <v>10</v>
      </c>
      <c r="N313" s="22" t="s">
        <v>25</v>
      </c>
      <c r="O313" s="22" t="s">
        <v>26</v>
      </c>
      <c r="P313" s="22" t="s">
        <v>19</v>
      </c>
      <c r="Q313" s="22" t="s">
        <v>14</v>
      </c>
      <c r="R313" s="22" t="s">
        <v>24</v>
      </c>
      <c r="S313" s="22">
        <v>73390</v>
      </c>
      <c r="T313" s="78">
        <v>7469</v>
      </c>
      <c r="U313" s="23">
        <v>65921</v>
      </c>
    </row>
    <row r="314" spans="1:21">
      <c r="A314" s="5">
        <v>54288</v>
      </c>
      <c r="B314" s="5" t="s">
        <v>10</v>
      </c>
      <c r="C314" s="5" t="s">
        <v>35</v>
      </c>
      <c r="D314" s="5" t="s">
        <v>30</v>
      </c>
      <c r="E314" s="5" t="s">
        <v>13</v>
      </c>
      <c r="F314" s="5" t="s">
        <v>14</v>
      </c>
      <c r="G314" s="5" t="s">
        <v>15</v>
      </c>
      <c r="H314" s="5">
        <v>80271</v>
      </c>
      <c r="I314" s="5">
        <v>1491</v>
      </c>
      <c r="J314" s="6">
        <f t="shared" si="4"/>
        <v>78780</v>
      </c>
      <c r="L314" s="18">
        <v>152663</v>
      </c>
      <c r="M314" s="19" t="s">
        <v>16</v>
      </c>
      <c r="N314" s="19" t="s">
        <v>22</v>
      </c>
      <c r="O314" s="19" t="s">
        <v>12</v>
      </c>
      <c r="P314" s="19" t="s">
        <v>13</v>
      </c>
      <c r="Q314" s="19" t="s">
        <v>14</v>
      </c>
      <c r="R314" s="19" t="s">
        <v>15</v>
      </c>
      <c r="S314" s="19">
        <v>61922</v>
      </c>
      <c r="T314" s="77">
        <v>2084</v>
      </c>
      <c r="U314" s="20">
        <v>59838</v>
      </c>
    </row>
    <row r="315" spans="1:21">
      <c r="A315" s="5">
        <v>213966</v>
      </c>
      <c r="B315" s="5" t="s">
        <v>16</v>
      </c>
      <c r="C315" s="5" t="s">
        <v>11</v>
      </c>
      <c r="D315" s="5" t="s">
        <v>12</v>
      </c>
      <c r="E315" s="5" t="s">
        <v>13</v>
      </c>
      <c r="F315" s="5" t="s">
        <v>28</v>
      </c>
      <c r="G315" s="5" t="s">
        <v>15</v>
      </c>
      <c r="H315" s="5">
        <v>119681</v>
      </c>
      <c r="I315" s="5">
        <v>9</v>
      </c>
      <c r="J315" s="6">
        <f t="shared" si="4"/>
        <v>119672</v>
      </c>
      <c r="L315" s="21">
        <v>84840</v>
      </c>
      <c r="M315" s="22" t="s">
        <v>10</v>
      </c>
      <c r="N315" s="22" t="s">
        <v>11</v>
      </c>
      <c r="O315" s="22" t="s">
        <v>12</v>
      </c>
      <c r="P315" s="22" t="s">
        <v>13</v>
      </c>
      <c r="Q315" s="22" t="s">
        <v>14</v>
      </c>
      <c r="R315" s="22" t="s">
        <v>15</v>
      </c>
      <c r="S315" s="22">
        <v>215808</v>
      </c>
      <c r="T315" s="78">
        <v>1447</v>
      </c>
      <c r="U315" s="23">
        <v>214361</v>
      </c>
    </row>
    <row r="316" spans="1:21">
      <c r="A316" s="5">
        <v>184551</v>
      </c>
      <c r="B316" s="5" t="s">
        <v>16</v>
      </c>
      <c r="C316" s="5" t="s">
        <v>34</v>
      </c>
      <c r="D316" s="5" t="s">
        <v>32</v>
      </c>
      <c r="E316" s="5" t="s">
        <v>13</v>
      </c>
      <c r="F316" s="5" t="s">
        <v>14</v>
      </c>
      <c r="G316" s="5" t="s">
        <v>24</v>
      </c>
      <c r="H316" s="5">
        <v>2629</v>
      </c>
      <c r="I316" s="5">
        <v>0</v>
      </c>
      <c r="J316" s="6">
        <f t="shared" si="4"/>
        <v>2629</v>
      </c>
      <c r="L316" s="18">
        <v>116627</v>
      </c>
      <c r="M316" s="19" t="s">
        <v>10</v>
      </c>
      <c r="N316" s="19" t="s">
        <v>27</v>
      </c>
      <c r="O316" s="19" t="s">
        <v>36</v>
      </c>
      <c r="P316" s="19" t="s">
        <v>13</v>
      </c>
      <c r="Q316" s="19" t="s">
        <v>14</v>
      </c>
      <c r="R316" s="19" t="s">
        <v>24</v>
      </c>
      <c r="S316" s="19">
        <v>45100</v>
      </c>
      <c r="T316" s="77">
        <v>1343</v>
      </c>
      <c r="U316" s="20">
        <v>43757</v>
      </c>
    </row>
    <row r="317" spans="1:21">
      <c r="A317" s="5">
        <v>7022</v>
      </c>
      <c r="B317" s="5" t="s">
        <v>10</v>
      </c>
      <c r="C317" s="5" t="s">
        <v>20</v>
      </c>
      <c r="D317" s="5" t="s">
        <v>32</v>
      </c>
      <c r="E317" s="5" t="s">
        <v>13</v>
      </c>
      <c r="F317" s="5" t="s">
        <v>14</v>
      </c>
      <c r="G317" s="5" t="s">
        <v>15</v>
      </c>
      <c r="H317" s="5">
        <v>130322</v>
      </c>
      <c r="I317" s="5">
        <v>211</v>
      </c>
      <c r="J317" s="6">
        <f t="shared" si="4"/>
        <v>130111</v>
      </c>
      <c r="L317" s="21">
        <v>16946</v>
      </c>
      <c r="M317" s="22" t="s">
        <v>10</v>
      </c>
      <c r="N317" s="22" t="s">
        <v>11</v>
      </c>
      <c r="O317" s="22" t="s">
        <v>33</v>
      </c>
      <c r="P317" s="22" t="s">
        <v>13</v>
      </c>
      <c r="Q317" s="22" t="s">
        <v>14</v>
      </c>
      <c r="R317" s="22" t="s">
        <v>15</v>
      </c>
      <c r="S317" s="22">
        <v>72575</v>
      </c>
      <c r="T317" s="78">
        <v>2319</v>
      </c>
      <c r="U317" s="23">
        <v>70256</v>
      </c>
    </row>
    <row r="318" spans="1:21">
      <c r="A318" s="5">
        <v>95674</v>
      </c>
      <c r="B318" s="5" t="s">
        <v>16</v>
      </c>
      <c r="C318" s="5" t="s">
        <v>37</v>
      </c>
      <c r="D318" s="5" t="s">
        <v>33</v>
      </c>
      <c r="E318" s="5" t="s">
        <v>13</v>
      </c>
      <c r="F318" s="5" t="s">
        <v>14</v>
      </c>
      <c r="G318" s="5" t="s">
        <v>15</v>
      </c>
      <c r="H318" s="5">
        <v>42586</v>
      </c>
      <c r="I318" s="5">
        <v>0</v>
      </c>
      <c r="J318" s="6">
        <f t="shared" si="4"/>
        <v>42586</v>
      </c>
      <c r="L318" s="18">
        <v>156832</v>
      </c>
      <c r="M318" s="19" t="s">
        <v>16</v>
      </c>
      <c r="N318" s="19" t="s">
        <v>25</v>
      </c>
      <c r="O318" s="19" t="s">
        <v>36</v>
      </c>
      <c r="P318" s="19" t="s">
        <v>13</v>
      </c>
      <c r="Q318" s="19" t="s">
        <v>14</v>
      </c>
      <c r="R318" s="19" t="s">
        <v>24</v>
      </c>
      <c r="S318" s="19">
        <v>7581</v>
      </c>
      <c r="T318" s="77">
        <v>0</v>
      </c>
      <c r="U318" s="20">
        <v>7581</v>
      </c>
    </row>
    <row r="319" spans="1:21">
      <c r="A319" s="5">
        <v>191306</v>
      </c>
      <c r="B319" s="5" t="s">
        <v>10</v>
      </c>
      <c r="C319" s="5" t="s">
        <v>34</v>
      </c>
      <c r="D319" s="5" t="s">
        <v>29</v>
      </c>
      <c r="E319" s="5" t="s">
        <v>13</v>
      </c>
      <c r="F319" s="5" t="s">
        <v>28</v>
      </c>
      <c r="G319" s="5" t="s">
        <v>24</v>
      </c>
      <c r="H319" s="5">
        <v>116709</v>
      </c>
      <c r="I319" s="5">
        <v>25855</v>
      </c>
      <c r="J319" s="6">
        <f t="shared" si="4"/>
        <v>90854</v>
      </c>
      <c r="L319" s="21">
        <v>7881</v>
      </c>
      <c r="M319" s="22" t="s">
        <v>16</v>
      </c>
      <c r="N319" s="22" t="s">
        <v>37</v>
      </c>
      <c r="O319" s="22" t="s">
        <v>36</v>
      </c>
      <c r="P319" s="22" t="s">
        <v>13</v>
      </c>
      <c r="Q319" s="22" t="s">
        <v>14</v>
      </c>
      <c r="R319" s="22" t="s">
        <v>15</v>
      </c>
      <c r="S319" s="22">
        <v>12457</v>
      </c>
      <c r="T319" s="78">
        <v>1625</v>
      </c>
      <c r="U319" s="23">
        <v>10832</v>
      </c>
    </row>
    <row r="320" spans="1:21">
      <c r="A320" s="5">
        <v>15144</v>
      </c>
      <c r="B320" s="5" t="s">
        <v>16</v>
      </c>
      <c r="C320" s="5" t="s">
        <v>11</v>
      </c>
      <c r="D320" s="5" t="s">
        <v>36</v>
      </c>
      <c r="E320" s="5" t="s">
        <v>19</v>
      </c>
      <c r="F320" s="5" t="s">
        <v>14</v>
      </c>
      <c r="G320" s="5" t="s">
        <v>24</v>
      </c>
      <c r="H320" s="5">
        <v>77766</v>
      </c>
      <c r="I320" s="5">
        <v>3966</v>
      </c>
      <c r="J320" s="6">
        <f t="shared" si="4"/>
        <v>73800</v>
      </c>
      <c r="L320" s="18">
        <v>79667</v>
      </c>
      <c r="M320" s="19" t="s">
        <v>16</v>
      </c>
      <c r="N320" s="19" t="s">
        <v>38</v>
      </c>
      <c r="O320" s="19" t="s">
        <v>30</v>
      </c>
      <c r="P320" s="19" t="s">
        <v>13</v>
      </c>
      <c r="Q320" s="19" t="s">
        <v>14</v>
      </c>
      <c r="R320" s="19" t="s">
        <v>15</v>
      </c>
      <c r="S320" s="19">
        <v>60686</v>
      </c>
      <c r="T320" s="77">
        <v>766</v>
      </c>
      <c r="U320" s="20">
        <v>59920</v>
      </c>
    </row>
    <row r="321" spans="1:21">
      <c r="A321" s="5">
        <v>228842</v>
      </c>
      <c r="B321" s="5" t="s">
        <v>10</v>
      </c>
      <c r="C321" s="5" t="s">
        <v>22</v>
      </c>
      <c r="D321" s="5" t="s">
        <v>23</v>
      </c>
      <c r="E321" s="5" t="s">
        <v>19</v>
      </c>
      <c r="F321" s="5" t="s">
        <v>14</v>
      </c>
      <c r="G321" s="5" t="s">
        <v>24</v>
      </c>
      <c r="H321" s="5">
        <v>76166</v>
      </c>
      <c r="I321" s="5">
        <v>1318</v>
      </c>
      <c r="J321" s="6">
        <f t="shared" si="4"/>
        <v>74848</v>
      </c>
      <c r="L321" s="21">
        <v>246133</v>
      </c>
      <c r="M321" s="22" t="s">
        <v>10</v>
      </c>
      <c r="N321" s="22" t="s">
        <v>22</v>
      </c>
      <c r="O321" s="22" t="s">
        <v>12</v>
      </c>
      <c r="P321" s="22" t="s">
        <v>19</v>
      </c>
      <c r="Q321" s="22" t="s">
        <v>14</v>
      </c>
      <c r="R321" s="22" t="s">
        <v>24</v>
      </c>
      <c r="S321" s="22">
        <v>65324</v>
      </c>
      <c r="T321" s="78">
        <v>3664</v>
      </c>
      <c r="U321" s="23">
        <v>61660</v>
      </c>
    </row>
    <row r="322" spans="1:21">
      <c r="A322" s="5">
        <v>85804</v>
      </c>
      <c r="B322" s="5" t="s">
        <v>16</v>
      </c>
      <c r="C322" s="5" t="s">
        <v>34</v>
      </c>
      <c r="D322" s="5" t="s">
        <v>18</v>
      </c>
      <c r="E322" s="5" t="s">
        <v>19</v>
      </c>
      <c r="F322" s="5" t="s">
        <v>28</v>
      </c>
      <c r="G322" s="5" t="s">
        <v>15</v>
      </c>
      <c r="H322" s="5">
        <v>28863</v>
      </c>
      <c r="I322" s="5">
        <v>643</v>
      </c>
      <c r="J322" s="6">
        <f t="shared" ref="J322:J385" si="5">H322-I322</f>
        <v>28220</v>
      </c>
      <c r="L322" s="18">
        <v>8786</v>
      </c>
      <c r="M322" s="19" t="s">
        <v>10</v>
      </c>
      <c r="N322" s="19" t="s">
        <v>37</v>
      </c>
      <c r="O322" s="19" t="s">
        <v>12</v>
      </c>
      <c r="P322" s="19" t="s">
        <v>13</v>
      </c>
      <c r="Q322" s="19" t="s">
        <v>14</v>
      </c>
      <c r="R322" s="19" t="s">
        <v>24</v>
      </c>
      <c r="S322" s="19">
        <v>84938</v>
      </c>
      <c r="T322" s="77">
        <v>3891</v>
      </c>
      <c r="U322" s="20">
        <v>81047</v>
      </c>
    </row>
    <row r="323" spans="1:21">
      <c r="A323" s="5">
        <v>236644</v>
      </c>
      <c r="B323" s="5" t="s">
        <v>10</v>
      </c>
      <c r="C323" s="5" t="s">
        <v>17</v>
      </c>
      <c r="D323" s="5" t="s">
        <v>33</v>
      </c>
      <c r="E323" s="5" t="s">
        <v>19</v>
      </c>
      <c r="F323" s="5" t="s">
        <v>28</v>
      </c>
      <c r="G323" s="5" t="s">
        <v>15</v>
      </c>
      <c r="H323" s="5">
        <v>45633</v>
      </c>
      <c r="I323" s="5">
        <v>378</v>
      </c>
      <c r="J323" s="6">
        <f t="shared" si="5"/>
        <v>45255</v>
      </c>
      <c r="L323" s="21">
        <v>87445</v>
      </c>
      <c r="M323" s="22" t="s">
        <v>16</v>
      </c>
      <c r="N323" s="22" t="s">
        <v>38</v>
      </c>
      <c r="O323" s="22" t="s">
        <v>33</v>
      </c>
      <c r="P323" s="22" t="s">
        <v>19</v>
      </c>
      <c r="Q323" s="22" t="s">
        <v>14</v>
      </c>
      <c r="R323" s="22" t="s">
        <v>24</v>
      </c>
      <c r="S323" s="22">
        <v>33227</v>
      </c>
      <c r="T323" s="78">
        <v>601</v>
      </c>
      <c r="U323" s="23">
        <v>32626</v>
      </c>
    </row>
    <row r="324" spans="1:21">
      <c r="A324" s="5">
        <v>25262</v>
      </c>
      <c r="B324" s="5" t="s">
        <v>10</v>
      </c>
      <c r="C324" s="5" t="s">
        <v>35</v>
      </c>
      <c r="D324" s="5" t="s">
        <v>18</v>
      </c>
      <c r="E324" s="5" t="s">
        <v>19</v>
      </c>
      <c r="F324" s="5" t="s">
        <v>14</v>
      </c>
      <c r="G324" s="5" t="s">
        <v>24</v>
      </c>
      <c r="H324" s="5">
        <v>75128</v>
      </c>
      <c r="I324" s="5">
        <v>5039</v>
      </c>
      <c r="J324" s="6">
        <f t="shared" si="5"/>
        <v>70089</v>
      </c>
      <c r="L324" s="18">
        <v>42275</v>
      </c>
      <c r="M324" s="19" t="s">
        <v>16</v>
      </c>
      <c r="N324" s="19" t="s">
        <v>35</v>
      </c>
      <c r="O324" s="19" t="s">
        <v>21</v>
      </c>
      <c r="P324" s="19" t="s">
        <v>13</v>
      </c>
      <c r="Q324" s="19" t="s">
        <v>14</v>
      </c>
      <c r="R324" s="19" t="s">
        <v>15</v>
      </c>
      <c r="S324" s="19">
        <v>259130</v>
      </c>
      <c r="T324" s="77">
        <v>2767</v>
      </c>
      <c r="U324" s="20">
        <v>256363</v>
      </c>
    </row>
    <row r="325" spans="1:21">
      <c r="A325" s="5">
        <v>51196</v>
      </c>
      <c r="B325" s="5" t="s">
        <v>10</v>
      </c>
      <c r="C325" s="5" t="s">
        <v>35</v>
      </c>
      <c r="D325" s="5" t="s">
        <v>18</v>
      </c>
      <c r="E325" s="5" t="s">
        <v>13</v>
      </c>
      <c r="F325" s="5" t="s">
        <v>14</v>
      </c>
      <c r="G325" s="5" t="s">
        <v>24</v>
      </c>
      <c r="H325" s="5">
        <v>78897</v>
      </c>
      <c r="I325" s="5">
        <v>27267</v>
      </c>
      <c r="J325" s="6">
        <f t="shared" si="5"/>
        <v>51630</v>
      </c>
      <c r="L325" s="21">
        <v>17240</v>
      </c>
      <c r="M325" s="22" t="s">
        <v>10</v>
      </c>
      <c r="N325" s="22" t="s">
        <v>34</v>
      </c>
      <c r="O325" s="22" t="s">
        <v>23</v>
      </c>
      <c r="P325" s="22" t="s">
        <v>19</v>
      </c>
      <c r="Q325" s="22" t="s">
        <v>14</v>
      </c>
      <c r="R325" s="22" t="s">
        <v>15</v>
      </c>
      <c r="S325" s="22">
        <v>19372</v>
      </c>
      <c r="T325" s="78">
        <v>285</v>
      </c>
      <c r="U325" s="23">
        <v>19087</v>
      </c>
    </row>
    <row r="326" spans="1:21">
      <c r="A326" s="5">
        <v>224954</v>
      </c>
      <c r="B326" s="5" t="s">
        <v>16</v>
      </c>
      <c r="C326" s="5" t="s">
        <v>25</v>
      </c>
      <c r="D326" s="5" t="s">
        <v>21</v>
      </c>
      <c r="E326" s="5" t="s">
        <v>19</v>
      </c>
      <c r="F326" s="5" t="s">
        <v>14</v>
      </c>
      <c r="G326" s="5" t="s">
        <v>24</v>
      </c>
      <c r="H326" s="5">
        <v>67510</v>
      </c>
      <c r="I326" s="5">
        <v>328</v>
      </c>
      <c r="J326" s="6">
        <f t="shared" si="5"/>
        <v>67182</v>
      </c>
      <c r="L326" s="18">
        <v>211654</v>
      </c>
      <c r="M326" s="19" t="s">
        <v>16</v>
      </c>
      <c r="N326" s="19" t="s">
        <v>38</v>
      </c>
      <c r="O326" s="19" t="s">
        <v>36</v>
      </c>
      <c r="P326" s="19" t="s">
        <v>19</v>
      </c>
      <c r="Q326" s="19" t="s">
        <v>14</v>
      </c>
      <c r="R326" s="19" t="s">
        <v>24</v>
      </c>
      <c r="S326" s="19">
        <v>47796</v>
      </c>
      <c r="T326" s="77">
        <v>670</v>
      </c>
      <c r="U326" s="20">
        <v>47126</v>
      </c>
    </row>
    <row r="327" spans="1:21">
      <c r="A327" s="5">
        <v>215569</v>
      </c>
      <c r="B327" s="5" t="s">
        <v>10</v>
      </c>
      <c r="C327" s="5" t="s">
        <v>38</v>
      </c>
      <c r="D327" s="5" t="s">
        <v>26</v>
      </c>
      <c r="E327" s="5" t="s">
        <v>13</v>
      </c>
      <c r="F327" s="5" t="s">
        <v>14</v>
      </c>
      <c r="G327" s="5" t="s">
        <v>24</v>
      </c>
      <c r="H327" s="5">
        <v>43561</v>
      </c>
      <c r="I327" s="5">
        <v>1110</v>
      </c>
      <c r="J327" s="6">
        <f t="shared" si="5"/>
        <v>42451</v>
      </c>
      <c r="L327" s="21">
        <v>190387</v>
      </c>
      <c r="M327" s="22" t="s">
        <v>10</v>
      </c>
      <c r="N327" s="22" t="s">
        <v>38</v>
      </c>
      <c r="O327" s="22" t="s">
        <v>30</v>
      </c>
      <c r="P327" s="22" t="s">
        <v>13</v>
      </c>
      <c r="Q327" s="22" t="s">
        <v>14</v>
      </c>
      <c r="R327" s="22" t="s">
        <v>15</v>
      </c>
      <c r="S327" s="22">
        <v>177360</v>
      </c>
      <c r="T327" s="78">
        <v>521</v>
      </c>
      <c r="U327" s="23">
        <v>176839</v>
      </c>
    </row>
    <row r="328" spans="1:21">
      <c r="A328" s="5">
        <v>160367</v>
      </c>
      <c r="B328" s="5" t="s">
        <v>16</v>
      </c>
      <c r="C328" s="5" t="s">
        <v>25</v>
      </c>
      <c r="D328" s="5" t="s">
        <v>30</v>
      </c>
      <c r="E328" s="5" t="s">
        <v>19</v>
      </c>
      <c r="F328" s="5" t="s">
        <v>28</v>
      </c>
      <c r="G328" s="5" t="s">
        <v>24</v>
      </c>
      <c r="H328" s="5">
        <v>59184</v>
      </c>
      <c r="I328" s="5">
        <v>3283</v>
      </c>
      <c r="J328" s="6">
        <f t="shared" si="5"/>
        <v>55901</v>
      </c>
      <c r="L328" s="18">
        <v>38387</v>
      </c>
      <c r="M328" s="19" t="s">
        <v>16</v>
      </c>
      <c r="N328" s="19" t="s">
        <v>35</v>
      </c>
      <c r="O328" s="19" t="s">
        <v>30</v>
      </c>
      <c r="P328" s="19" t="s">
        <v>19</v>
      </c>
      <c r="Q328" s="19" t="s">
        <v>14</v>
      </c>
      <c r="R328" s="19" t="s">
        <v>24</v>
      </c>
      <c r="S328" s="19">
        <v>103878</v>
      </c>
      <c r="T328" s="77">
        <v>6942</v>
      </c>
      <c r="U328" s="20">
        <v>96936</v>
      </c>
    </row>
    <row r="329" spans="1:21">
      <c r="A329" s="5">
        <v>97324</v>
      </c>
      <c r="B329" s="5" t="s">
        <v>16</v>
      </c>
      <c r="C329" s="5" t="s">
        <v>38</v>
      </c>
      <c r="D329" s="5" t="s">
        <v>12</v>
      </c>
      <c r="E329" s="5" t="s">
        <v>13</v>
      </c>
      <c r="F329" s="5" t="s">
        <v>14</v>
      </c>
      <c r="G329" s="5" t="s">
        <v>15</v>
      </c>
      <c r="H329" s="5">
        <v>69530</v>
      </c>
      <c r="I329" s="5">
        <v>1666</v>
      </c>
      <c r="J329" s="6">
        <f t="shared" si="5"/>
        <v>67864</v>
      </c>
      <c r="L329" s="21">
        <v>152262</v>
      </c>
      <c r="M329" s="22" t="s">
        <v>16</v>
      </c>
      <c r="N329" s="22" t="s">
        <v>22</v>
      </c>
      <c r="O329" s="22" t="s">
        <v>30</v>
      </c>
      <c r="P329" s="22" t="s">
        <v>19</v>
      </c>
      <c r="Q329" s="22" t="s">
        <v>14</v>
      </c>
      <c r="R329" s="22" t="s">
        <v>24</v>
      </c>
      <c r="S329" s="22">
        <v>63636</v>
      </c>
      <c r="T329" s="78">
        <v>1077</v>
      </c>
      <c r="U329" s="23">
        <v>62559</v>
      </c>
    </row>
    <row r="330" spans="1:21">
      <c r="A330" s="5">
        <v>9440</v>
      </c>
      <c r="B330" s="5" t="s">
        <v>16</v>
      </c>
      <c r="C330" s="5" t="s">
        <v>20</v>
      </c>
      <c r="D330" s="5" t="s">
        <v>32</v>
      </c>
      <c r="E330" s="5" t="s">
        <v>13</v>
      </c>
      <c r="F330" s="5" t="s">
        <v>14</v>
      </c>
      <c r="G330" s="5" t="s">
        <v>15</v>
      </c>
      <c r="H330" s="5">
        <v>138540</v>
      </c>
      <c r="I330" s="5">
        <v>0</v>
      </c>
      <c r="J330" s="6">
        <f t="shared" si="5"/>
        <v>138540</v>
      </c>
      <c r="L330" s="18">
        <v>198647</v>
      </c>
      <c r="M330" s="19" t="s">
        <v>16</v>
      </c>
      <c r="N330" s="19" t="s">
        <v>34</v>
      </c>
      <c r="O330" s="19" t="s">
        <v>33</v>
      </c>
      <c r="P330" s="19" t="s">
        <v>13</v>
      </c>
      <c r="Q330" s="19" t="s">
        <v>14</v>
      </c>
      <c r="R330" s="19" t="s">
        <v>15</v>
      </c>
      <c r="S330" s="19">
        <v>13962</v>
      </c>
      <c r="T330" s="77">
        <v>99</v>
      </c>
      <c r="U330" s="20">
        <v>13863</v>
      </c>
    </row>
    <row r="331" spans="1:21">
      <c r="A331" s="5">
        <v>57702</v>
      </c>
      <c r="B331" s="5" t="s">
        <v>10</v>
      </c>
      <c r="C331" s="5" t="s">
        <v>27</v>
      </c>
      <c r="D331" s="5" t="s">
        <v>12</v>
      </c>
      <c r="E331" s="5" t="s">
        <v>13</v>
      </c>
      <c r="F331" s="5" t="s">
        <v>14</v>
      </c>
      <c r="G331" s="5" t="s">
        <v>15</v>
      </c>
      <c r="H331" s="5">
        <v>49108</v>
      </c>
      <c r="I331" s="5">
        <v>526</v>
      </c>
      <c r="J331" s="6">
        <f t="shared" si="5"/>
        <v>48582</v>
      </c>
      <c r="L331" s="21">
        <v>221411</v>
      </c>
      <c r="M331" s="22" t="s">
        <v>16</v>
      </c>
      <c r="N331" s="22" t="s">
        <v>25</v>
      </c>
      <c r="O331" s="22" t="s">
        <v>12</v>
      </c>
      <c r="P331" s="22" t="s">
        <v>19</v>
      </c>
      <c r="Q331" s="22" t="s">
        <v>14</v>
      </c>
      <c r="R331" s="22" t="s">
        <v>24</v>
      </c>
      <c r="S331" s="22">
        <v>34362</v>
      </c>
      <c r="T331" s="78">
        <v>3949</v>
      </c>
      <c r="U331" s="23">
        <v>30413</v>
      </c>
    </row>
    <row r="332" spans="1:21">
      <c r="A332" s="5">
        <v>204160</v>
      </c>
      <c r="B332" s="5" t="s">
        <v>16</v>
      </c>
      <c r="C332" s="5" t="s">
        <v>37</v>
      </c>
      <c r="D332" s="5" t="s">
        <v>33</v>
      </c>
      <c r="E332" s="5" t="s">
        <v>19</v>
      </c>
      <c r="F332" s="5" t="s">
        <v>28</v>
      </c>
      <c r="G332" s="5" t="s">
        <v>15</v>
      </c>
      <c r="H332" s="5">
        <v>48662</v>
      </c>
      <c r="I332" s="5">
        <v>5455</v>
      </c>
      <c r="J332" s="6">
        <f t="shared" si="5"/>
        <v>43207</v>
      </c>
      <c r="L332" s="18">
        <v>257043</v>
      </c>
      <c r="M332" s="19" t="s">
        <v>10</v>
      </c>
      <c r="N332" s="19" t="s">
        <v>17</v>
      </c>
      <c r="O332" s="19" t="s">
        <v>18</v>
      </c>
      <c r="P332" s="19" t="s">
        <v>19</v>
      </c>
      <c r="Q332" s="19" t="s">
        <v>14</v>
      </c>
      <c r="R332" s="19" t="s">
        <v>15</v>
      </c>
      <c r="S332" s="19">
        <v>23269</v>
      </c>
      <c r="T332" s="77">
        <v>0</v>
      </c>
      <c r="U332" s="20">
        <v>23269</v>
      </c>
    </row>
    <row r="333" spans="1:21">
      <c r="A333" s="5">
        <v>55923</v>
      </c>
      <c r="B333" s="5" t="s">
        <v>10</v>
      </c>
      <c r="C333" s="5" t="s">
        <v>11</v>
      </c>
      <c r="D333" s="5" t="s">
        <v>30</v>
      </c>
      <c r="E333" s="5" t="s">
        <v>13</v>
      </c>
      <c r="F333" s="5" t="s">
        <v>28</v>
      </c>
      <c r="G333" s="5" t="s">
        <v>24</v>
      </c>
      <c r="H333" s="5">
        <v>37481</v>
      </c>
      <c r="I333" s="5">
        <v>6022</v>
      </c>
      <c r="J333" s="6">
        <f t="shared" si="5"/>
        <v>31459</v>
      </c>
      <c r="L333" s="21">
        <v>52701</v>
      </c>
      <c r="M333" s="22" t="s">
        <v>16</v>
      </c>
      <c r="N333" s="22" t="s">
        <v>35</v>
      </c>
      <c r="O333" s="22" t="s">
        <v>36</v>
      </c>
      <c r="P333" s="22" t="s">
        <v>19</v>
      </c>
      <c r="Q333" s="22" t="s">
        <v>14</v>
      </c>
      <c r="R333" s="22" t="s">
        <v>15</v>
      </c>
      <c r="S333" s="22">
        <v>81530</v>
      </c>
      <c r="T333" s="78">
        <v>3849</v>
      </c>
      <c r="U333" s="23">
        <v>77681</v>
      </c>
    </row>
    <row r="334" spans="1:21">
      <c r="A334" s="5">
        <v>5092</v>
      </c>
      <c r="B334" s="5" t="s">
        <v>10</v>
      </c>
      <c r="C334" s="5" t="s">
        <v>37</v>
      </c>
      <c r="D334" s="5" t="s">
        <v>33</v>
      </c>
      <c r="E334" s="5" t="s">
        <v>13</v>
      </c>
      <c r="F334" s="5" t="s">
        <v>28</v>
      </c>
      <c r="G334" s="5" t="s">
        <v>15</v>
      </c>
      <c r="H334" s="5">
        <v>65253</v>
      </c>
      <c r="I334" s="5">
        <v>756</v>
      </c>
      <c r="J334" s="6">
        <f t="shared" si="5"/>
        <v>64497</v>
      </c>
      <c r="L334" s="18">
        <v>129521</v>
      </c>
      <c r="M334" s="19" t="s">
        <v>10</v>
      </c>
      <c r="N334" s="19" t="s">
        <v>22</v>
      </c>
      <c r="O334" s="19" t="s">
        <v>12</v>
      </c>
      <c r="P334" s="19" t="s">
        <v>13</v>
      </c>
      <c r="Q334" s="19" t="s">
        <v>14</v>
      </c>
      <c r="R334" s="19" t="s">
        <v>15</v>
      </c>
      <c r="S334" s="19">
        <v>87487</v>
      </c>
      <c r="T334" s="77">
        <v>159</v>
      </c>
      <c r="U334" s="20">
        <v>87328</v>
      </c>
    </row>
    <row r="335" spans="1:21">
      <c r="A335" s="5">
        <v>29172</v>
      </c>
      <c r="B335" s="5" t="s">
        <v>10</v>
      </c>
      <c r="C335" s="5" t="s">
        <v>11</v>
      </c>
      <c r="D335" s="5" t="s">
        <v>23</v>
      </c>
      <c r="E335" s="5" t="s">
        <v>13</v>
      </c>
      <c r="F335" s="5" t="s">
        <v>14</v>
      </c>
      <c r="G335" s="5" t="s">
        <v>15</v>
      </c>
      <c r="H335" s="5">
        <v>59928</v>
      </c>
      <c r="I335" s="5">
        <v>8756</v>
      </c>
      <c r="J335" s="6">
        <f t="shared" si="5"/>
        <v>51172</v>
      </c>
      <c r="L335" s="21">
        <v>135983</v>
      </c>
      <c r="M335" s="22" t="s">
        <v>10</v>
      </c>
      <c r="N335" s="22" t="s">
        <v>22</v>
      </c>
      <c r="O335" s="22" t="s">
        <v>26</v>
      </c>
      <c r="P335" s="22" t="s">
        <v>13</v>
      </c>
      <c r="Q335" s="22" t="s">
        <v>14</v>
      </c>
      <c r="R335" s="22" t="s">
        <v>15</v>
      </c>
      <c r="S335" s="22">
        <v>84164</v>
      </c>
      <c r="T335" s="78">
        <v>2486</v>
      </c>
      <c r="U335" s="23">
        <v>81678</v>
      </c>
    </row>
    <row r="336" spans="1:21">
      <c r="A336" s="5">
        <v>30658</v>
      </c>
      <c r="B336" s="5" t="s">
        <v>16</v>
      </c>
      <c r="C336" s="5" t="s">
        <v>35</v>
      </c>
      <c r="D336" s="5" t="s">
        <v>36</v>
      </c>
      <c r="E336" s="5" t="s">
        <v>13</v>
      </c>
      <c r="F336" s="5" t="s">
        <v>14</v>
      </c>
      <c r="G336" s="5" t="s">
        <v>24</v>
      </c>
      <c r="H336" s="5">
        <v>11159</v>
      </c>
      <c r="I336" s="5">
        <v>725</v>
      </c>
      <c r="J336" s="6">
        <f t="shared" si="5"/>
        <v>10434</v>
      </c>
      <c r="L336" s="18">
        <v>203631</v>
      </c>
      <c r="M336" s="19" t="s">
        <v>16</v>
      </c>
      <c r="N336" s="19" t="s">
        <v>37</v>
      </c>
      <c r="O336" s="19" t="s">
        <v>36</v>
      </c>
      <c r="P336" s="19" t="s">
        <v>19</v>
      </c>
      <c r="Q336" s="19" t="s">
        <v>14</v>
      </c>
      <c r="R336" s="19" t="s">
        <v>24</v>
      </c>
      <c r="S336" s="19">
        <v>19278</v>
      </c>
      <c r="T336" s="77">
        <v>4388</v>
      </c>
      <c r="U336" s="20">
        <v>14890</v>
      </c>
    </row>
    <row r="337" spans="1:21">
      <c r="A337" s="5">
        <v>192430</v>
      </c>
      <c r="B337" s="5" t="s">
        <v>16</v>
      </c>
      <c r="C337" s="5" t="s">
        <v>20</v>
      </c>
      <c r="D337" s="5" t="s">
        <v>32</v>
      </c>
      <c r="E337" s="5" t="s">
        <v>19</v>
      </c>
      <c r="F337" s="5" t="s">
        <v>14</v>
      </c>
      <c r="G337" s="5" t="s">
        <v>24</v>
      </c>
      <c r="H337" s="5">
        <v>58984</v>
      </c>
      <c r="I337" s="5">
        <v>232</v>
      </c>
      <c r="J337" s="6">
        <f t="shared" si="5"/>
        <v>58752</v>
      </c>
      <c r="L337" s="21">
        <v>45511</v>
      </c>
      <c r="M337" s="22" t="s">
        <v>16</v>
      </c>
      <c r="N337" s="22" t="s">
        <v>11</v>
      </c>
      <c r="O337" s="22" t="s">
        <v>32</v>
      </c>
      <c r="P337" s="22" t="s">
        <v>13</v>
      </c>
      <c r="Q337" s="22" t="s">
        <v>14</v>
      </c>
      <c r="R337" s="22" t="s">
        <v>15</v>
      </c>
      <c r="S337" s="22">
        <v>28460</v>
      </c>
      <c r="T337" s="78">
        <v>0</v>
      </c>
      <c r="U337" s="23">
        <v>28460</v>
      </c>
    </row>
    <row r="338" spans="1:21">
      <c r="A338" s="5">
        <v>169428</v>
      </c>
      <c r="B338" s="5" t="s">
        <v>10</v>
      </c>
      <c r="C338" s="5" t="s">
        <v>25</v>
      </c>
      <c r="D338" s="5" t="s">
        <v>30</v>
      </c>
      <c r="E338" s="5" t="s">
        <v>13</v>
      </c>
      <c r="F338" s="5" t="s">
        <v>14</v>
      </c>
      <c r="G338" s="5" t="s">
        <v>15</v>
      </c>
      <c r="H338" s="5">
        <v>91953</v>
      </c>
      <c r="I338" s="5">
        <v>7294</v>
      </c>
      <c r="J338" s="6">
        <f t="shared" si="5"/>
        <v>84659</v>
      </c>
      <c r="L338" s="18">
        <v>12027</v>
      </c>
      <c r="M338" s="19" t="s">
        <v>16</v>
      </c>
      <c r="N338" s="19" t="s">
        <v>34</v>
      </c>
      <c r="O338" s="19" t="s">
        <v>33</v>
      </c>
      <c r="P338" s="19" t="s">
        <v>13</v>
      </c>
      <c r="Q338" s="19" t="s">
        <v>14</v>
      </c>
      <c r="R338" s="19" t="s">
        <v>24</v>
      </c>
      <c r="S338" s="19">
        <v>20102</v>
      </c>
      <c r="T338" s="77">
        <v>265</v>
      </c>
      <c r="U338" s="20">
        <v>19837</v>
      </c>
    </row>
    <row r="339" spans="1:21">
      <c r="A339" s="5">
        <v>10903</v>
      </c>
      <c r="B339" s="5" t="s">
        <v>10</v>
      </c>
      <c r="C339" s="5" t="s">
        <v>34</v>
      </c>
      <c r="D339" s="5" t="s">
        <v>29</v>
      </c>
      <c r="E339" s="5" t="s">
        <v>19</v>
      </c>
      <c r="F339" s="5" t="s">
        <v>14</v>
      </c>
      <c r="G339" s="5" t="s">
        <v>15</v>
      </c>
      <c r="H339" s="5">
        <v>106104</v>
      </c>
      <c r="I339" s="5">
        <v>6908</v>
      </c>
      <c r="J339" s="6">
        <f t="shared" si="5"/>
        <v>99196</v>
      </c>
      <c r="L339" s="21">
        <v>177224</v>
      </c>
      <c r="M339" s="22" t="s">
        <v>16</v>
      </c>
      <c r="N339" s="22" t="s">
        <v>25</v>
      </c>
      <c r="O339" s="22" t="s">
        <v>33</v>
      </c>
      <c r="P339" s="22" t="s">
        <v>19</v>
      </c>
      <c r="Q339" s="22" t="s">
        <v>14</v>
      </c>
      <c r="R339" s="22" t="s">
        <v>15</v>
      </c>
      <c r="S339" s="22">
        <v>86061</v>
      </c>
      <c r="T339" s="78">
        <v>7967</v>
      </c>
      <c r="U339" s="23">
        <v>78094</v>
      </c>
    </row>
    <row r="340" spans="1:21">
      <c r="A340" s="5">
        <v>134946</v>
      </c>
      <c r="B340" s="5" t="s">
        <v>16</v>
      </c>
      <c r="C340" s="5" t="s">
        <v>27</v>
      </c>
      <c r="D340" s="5" t="s">
        <v>18</v>
      </c>
      <c r="E340" s="5" t="s">
        <v>19</v>
      </c>
      <c r="F340" s="5" t="s">
        <v>14</v>
      </c>
      <c r="G340" s="5" t="s">
        <v>24</v>
      </c>
      <c r="H340" s="5">
        <v>15205</v>
      </c>
      <c r="I340" s="5">
        <v>674</v>
      </c>
      <c r="J340" s="6">
        <f t="shared" si="5"/>
        <v>14531</v>
      </c>
      <c r="L340" s="18">
        <v>193137</v>
      </c>
      <c r="M340" s="19" t="s">
        <v>16</v>
      </c>
      <c r="N340" s="19" t="s">
        <v>11</v>
      </c>
      <c r="O340" s="19" t="s">
        <v>33</v>
      </c>
      <c r="P340" s="19" t="s">
        <v>13</v>
      </c>
      <c r="Q340" s="19" t="s">
        <v>14</v>
      </c>
      <c r="R340" s="19" t="s">
        <v>24</v>
      </c>
      <c r="S340" s="19">
        <v>34008</v>
      </c>
      <c r="T340" s="77">
        <v>409</v>
      </c>
      <c r="U340" s="20">
        <v>33599</v>
      </c>
    </row>
    <row r="341" spans="1:21">
      <c r="A341" s="5">
        <v>197088</v>
      </c>
      <c r="B341" s="5" t="s">
        <v>16</v>
      </c>
      <c r="C341" s="5" t="s">
        <v>11</v>
      </c>
      <c r="D341" s="5" t="s">
        <v>32</v>
      </c>
      <c r="E341" s="5" t="s">
        <v>13</v>
      </c>
      <c r="F341" s="5" t="s">
        <v>28</v>
      </c>
      <c r="G341" s="5" t="s">
        <v>15</v>
      </c>
      <c r="H341" s="5">
        <v>36653</v>
      </c>
      <c r="I341" s="5">
        <v>164</v>
      </c>
      <c r="J341" s="6">
        <f t="shared" si="5"/>
        <v>36489</v>
      </c>
      <c r="L341" s="21">
        <v>74519</v>
      </c>
      <c r="M341" s="22" t="s">
        <v>16</v>
      </c>
      <c r="N341" s="22" t="s">
        <v>27</v>
      </c>
      <c r="O341" s="22" t="s">
        <v>30</v>
      </c>
      <c r="P341" s="22" t="s">
        <v>13</v>
      </c>
      <c r="Q341" s="22" t="s">
        <v>14</v>
      </c>
      <c r="R341" s="22" t="s">
        <v>15</v>
      </c>
      <c r="S341" s="22">
        <v>65604</v>
      </c>
      <c r="T341" s="78">
        <v>15205</v>
      </c>
      <c r="U341" s="23">
        <v>50399</v>
      </c>
    </row>
    <row r="342" spans="1:21">
      <c r="A342" s="5">
        <v>101764</v>
      </c>
      <c r="B342" s="5" t="s">
        <v>16</v>
      </c>
      <c r="C342" s="5" t="s">
        <v>37</v>
      </c>
      <c r="D342" s="5" t="s">
        <v>26</v>
      </c>
      <c r="E342" s="5" t="s">
        <v>13</v>
      </c>
      <c r="F342" s="5" t="s">
        <v>28</v>
      </c>
      <c r="G342" s="5" t="s">
        <v>24</v>
      </c>
      <c r="H342" s="5">
        <v>27258</v>
      </c>
      <c r="I342" s="5">
        <v>718</v>
      </c>
      <c r="J342" s="6">
        <f t="shared" si="5"/>
        <v>26540</v>
      </c>
      <c r="L342" s="18">
        <v>121980</v>
      </c>
      <c r="M342" s="19" t="s">
        <v>16</v>
      </c>
      <c r="N342" s="19" t="s">
        <v>22</v>
      </c>
      <c r="O342" s="19" t="s">
        <v>33</v>
      </c>
      <c r="P342" s="19" t="s">
        <v>19</v>
      </c>
      <c r="Q342" s="19" t="s">
        <v>14</v>
      </c>
      <c r="R342" s="19" t="s">
        <v>15</v>
      </c>
      <c r="S342" s="19">
        <v>53978</v>
      </c>
      <c r="T342" s="77">
        <v>3983</v>
      </c>
      <c r="U342" s="20">
        <v>49995</v>
      </c>
    </row>
    <row r="343" spans="1:21">
      <c r="A343" s="5">
        <v>48965</v>
      </c>
      <c r="B343" s="5" t="s">
        <v>16</v>
      </c>
      <c r="C343" s="5" t="s">
        <v>34</v>
      </c>
      <c r="D343" s="5" t="s">
        <v>33</v>
      </c>
      <c r="E343" s="5" t="s">
        <v>13</v>
      </c>
      <c r="F343" s="5" t="s">
        <v>28</v>
      </c>
      <c r="G343" s="5" t="s">
        <v>24</v>
      </c>
      <c r="H343" s="5">
        <v>24223</v>
      </c>
      <c r="I343" s="5">
        <v>249</v>
      </c>
      <c r="J343" s="6">
        <f t="shared" si="5"/>
        <v>23974</v>
      </c>
      <c r="L343" s="21">
        <v>46864</v>
      </c>
      <c r="M343" s="22" t="s">
        <v>16</v>
      </c>
      <c r="N343" s="22" t="s">
        <v>34</v>
      </c>
      <c r="O343" s="22" t="s">
        <v>12</v>
      </c>
      <c r="P343" s="22" t="s">
        <v>19</v>
      </c>
      <c r="Q343" s="22" t="s">
        <v>14</v>
      </c>
      <c r="R343" s="22" t="s">
        <v>15</v>
      </c>
      <c r="S343" s="22">
        <v>16347</v>
      </c>
      <c r="T343" s="78">
        <v>0</v>
      </c>
      <c r="U343" s="23">
        <v>16347</v>
      </c>
    </row>
    <row r="344" spans="1:21">
      <c r="A344" s="5">
        <v>5440</v>
      </c>
      <c r="B344" s="5" t="s">
        <v>16</v>
      </c>
      <c r="C344" s="5" t="s">
        <v>20</v>
      </c>
      <c r="D344" s="5" t="s">
        <v>32</v>
      </c>
      <c r="E344" s="5" t="s">
        <v>13</v>
      </c>
      <c r="F344" s="5" t="s">
        <v>14</v>
      </c>
      <c r="G344" s="5" t="s">
        <v>15</v>
      </c>
      <c r="H344" s="5">
        <v>41210</v>
      </c>
      <c r="I344" s="5">
        <v>0</v>
      </c>
      <c r="J344" s="6">
        <f t="shared" si="5"/>
        <v>41210</v>
      </c>
      <c r="L344" s="18">
        <v>72779</v>
      </c>
      <c r="M344" s="19" t="s">
        <v>10</v>
      </c>
      <c r="N344" s="19" t="s">
        <v>27</v>
      </c>
      <c r="O344" s="19" t="s">
        <v>23</v>
      </c>
      <c r="P344" s="19" t="s">
        <v>13</v>
      </c>
      <c r="Q344" s="19" t="s">
        <v>14</v>
      </c>
      <c r="R344" s="19" t="s">
        <v>15</v>
      </c>
      <c r="S344" s="19">
        <v>68475</v>
      </c>
      <c r="T344" s="77">
        <v>1263</v>
      </c>
      <c r="U344" s="20">
        <v>67212</v>
      </c>
    </row>
    <row r="345" spans="1:21">
      <c r="A345" s="5">
        <v>245387</v>
      </c>
      <c r="B345" s="5" t="s">
        <v>16</v>
      </c>
      <c r="C345" s="5" t="s">
        <v>35</v>
      </c>
      <c r="D345" s="5" t="s">
        <v>30</v>
      </c>
      <c r="E345" s="5" t="s">
        <v>13</v>
      </c>
      <c r="F345" s="5" t="s">
        <v>14</v>
      </c>
      <c r="G345" s="5" t="s">
        <v>15</v>
      </c>
      <c r="H345" s="5">
        <v>177747</v>
      </c>
      <c r="I345" s="5">
        <v>9284</v>
      </c>
      <c r="J345" s="6">
        <f t="shared" si="5"/>
        <v>168463</v>
      </c>
      <c r="L345" s="21">
        <v>223660</v>
      </c>
      <c r="M345" s="22" t="s">
        <v>16</v>
      </c>
      <c r="N345" s="22" t="s">
        <v>25</v>
      </c>
      <c r="O345" s="22" t="s">
        <v>18</v>
      </c>
      <c r="P345" s="22" t="s">
        <v>19</v>
      </c>
      <c r="Q345" s="22" t="s">
        <v>14</v>
      </c>
      <c r="R345" s="22" t="s">
        <v>24</v>
      </c>
      <c r="S345" s="22">
        <v>22999</v>
      </c>
      <c r="T345" s="78">
        <v>105</v>
      </c>
      <c r="U345" s="23">
        <v>22894</v>
      </c>
    </row>
    <row r="346" spans="1:21">
      <c r="A346" s="5">
        <v>97118</v>
      </c>
      <c r="B346" s="5" t="s">
        <v>16</v>
      </c>
      <c r="C346" s="5" t="s">
        <v>34</v>
      </c>
      <c r="D346" s="5" t="s">
        <v>36</v>
      </c>
      <c r="E346" s="5" t="s">
        <v>13</v>
      </c>
      <c r="F346" s="5" t="s">
        <v>14</v>
      </c>
      <c r="G346" s="5" t="s">
        <v>24</v>
      </c>
      <c r="H346" s="5">
        <v>26670</v>
      </c>
      <c r="I346" s="5">
        <v>253</v>
      </c>
      <c r="J346" s="6">
        <f t="shared" si="5"/>
        <v>26417</v>
      </c>
      <c r="L346" s="18">
        <v>183779</v>
      </c>
      <c r="M346" s="19" t="s">
        <v>10</v>
      </c>
      <c r="N346" s="19" t="s">
        <v>37</v>
      </c>
      <c r="O346" s="19" t="s">
        <v>36</v>
      </c>
      <c r="P346" s="19" t="s">
        <v>19</v>
      </c>
      <c r="Q346" s="19" t="s">
        <v>14</v>
      </c>
      <c r="R346" s="19" t="s">
        <v>24</v>
      </c>
      <c r="S346" s="19">
        <v>70096</v>
      </c>
      <c r="T346" s="77">
        <v>1626</v>
      </c>
      <c r="U346" s="20">
        <v>68470</v>
      </c>
    </row>
    <row r="347" spans="1:21">
      <c r="A347" s="5">
        <v>71915</v>
      </c>
      <c r="B347" s="5" t="s">
        <v>16</v>
      </c>
      <c r="C347" s="5" t="s">
        <v>34</v>
      </c>
      <c r="D347" s="5" t="s">
        <v>32</v>
      </c>
      <c r="E347" s="5" t="s">
        <v>19</v>
      </c>
      <c r="F347" s="5" t="s">
        <v>14</v>
      </c>
      <c r="G347" s="5" t="s">
        <v>24</v>
      </c>
      <c r="H347" s="5">
        <v>6392</v>
      </c>
      <c r="I347" s="5">
        <v>0</v>
      </c>
      <c r="J347" s="6">
        <f t="shared" si="5"/>
        <v>6392</v>
      </c>
      <c r="L347" s="21">
        <v>218730</v>
      </c>
      <c r="M347" s="22" t="s">
        <v>10</v>
      </c>
      <c r="N347" s="22" t="s">
        <v>34</v>
      </c>
      <c r="O347" s="22" t="s">
        <v>33</v>
      </c>
      <c r="P347" s="22" t="s">
        <v>13</v>
      </c>
      <c r="Q347" s="22" t="s">
        <v>14</v>
      </c>
      <c r="R347" s="22" t="s">
        <v>24</v>
      </c>
      <c r="S347" s="22">
        <v>80691</v>
      </c>
      <c r="T347" s="78">
        <v>1091</v>
      </c>
      <c r="U347" s="23">
        <v>79600</v>
      </c>
    </row>
    <row r="348" spans="1:21">
      <c r="A348" s="5">
        <v>84842</v>
      </c>
      <c r="B348" s="5" t="s">
        <v>10</v>
      </c>
      <c r="C348" s="5" t="s">
        <v>11</v>
      </c>
      <c r="D348" s="5" t="s">
        <v>33</v>
      </c>
      <c r="E348" s="5" t="s">
        <v>19</v>
      </c>
      <c r="F348" s="5" t="s">
        <v>14</v>
      </c>
      <c r="G348" s="5" t="s">
        <v>24</v>
      </c>
      <c r="H348" s="5">
        <v>64042</v>
      </c>
      <c r="I348" s="5">
        <v>454</v>
      </c>
      <c r="J348" s="6">
        <f t="shared" si="5"/>
        <v>63588</v>
      </c>
      <c r="L348" s="18">
        <v>244216</v>
      </c>
      <c r="M348" s="19" t="s">
        <v>16</v>
      </c>
      <c r="N348" s="19" t="s">
        <v>35</v>
      </c>
      <c r="O348" s="19" t="s">
        <v>32</v>
      </c>
      <c r="P348" s="19" t="s">
        <v>13</v>
      </c>
      <c r="Q348" s="19" t="s">
        <v>14</v>
      </c>
      <c r="R348" s="19" t="s">
        <v>24</v>
      </c>
      <c r="S348" s="19">
        <v>12875</v>
      </c>
      <c r="T348" s="77">
        <v>0</v>
      </c>
      <c r="U348" s="20">
        <v>12875</v>
      </c>
    </row>
    <row r="349" spans="1:21">
      <c r="A349" s="5">
        <v>70130</v>
      </c>
      <c r="B349" s="5" t="s">
        <v>16</v>
      </c>
      <c r="C349" s="5" t="s">
        <v>34</v>
      </c>
      <c r="D349" s="5" t="s">
        <v>36</v>
      </c>
      <c r="E349" s="5" t="s">
        <v>19</v>
      </c>
      <c r="F349" s="5" t="s">
        <v>14</v>
      </c>
      <c r="G349" s="5" t="s">
        <v>15</v>
      </c>
      <c r="H349" s="5">
        <v>59677</v>
      </c>
      <c r="I349" s="5">
        <v>347</v>
      </c>
      <c r="J349" s="6">
        <f t="shared" si="5"/>
        <v>59330</v>
      </c>
      <c r="L349" s="21">
        <v>149381</v>
      </c>
      <c r="M349" s="22" t="s">
        <v>10</v>
      </c>
      <c r="N349" s="22" t="s">
        <v>25</v>
      </c>
      <c r="O349" s="22" t="s">
        <v>18</v>
      </c>
      <c r="P349" s="22" t="s">
        <v>19</v>
      </c>
      <c r="Q349" s="22" t="s">
        <v>14</v>
      </c>
      <c r="R349" s="22" t="s">
        <v>24</v>
      </c>
      <c r="S349" s="22">
        <v>2731</v>
      </c>
      <c r="T349" s="78">
        <v>0</v>
      </c>
      <c r="U349" s="23">
        <v>2731</v>
      </c>
    </row>
    <row r="350" spans="1:21">
      <c r="A350" s="5">
        <v>207543</v>
      </c>
      <c r="B350" s="5" t="s">
        <v>16</v>
      </c>
      <c r="C350" s="5" t="s">
        <v>20</v>
      </c>
      <c r="D350" s="5" t="s">
        <v>32</v>
      </c>
      <c r="E350" s="5" t="s">
        <v>19</v>
      </c>
      <c r="F350" s="5" t="s">
        <v>28</v>
      </c>
      <c r="G350" s="5" t="s">
        <v>15</v>
      </c>
      <c r="H350" s="5">
        <v>205028</v>
      </c>
      <c r="I350" s="5">
        <v>2841</v>
      </c>
      <c r="J350" s="6">
        <f t="shared" si="5"/>
        <v>202187</v>
      </c>
      <c r="L350" s="18">
        <v>87906</v>
      </c>
      <c r="M350" s="19" t="s">
        <v>16</v>
      </c>
      <c r="N350" s="19" t="s">
        <v>39</v>
      </c>
      <c r="O350" s="19" t="s">
        <v>36</v>
      </c>
      <c r="P350" s="19" t="s">
        <v>19</v>
      </c>
      <c r="Q350" s="19" t="s">
        <v>14</v>
      </c>
      <c r="R350" s="19" t="s">
        <v>15</v>
      </c>
      <c r="S350" s="19">
        <v>60031</v>
      </c>
      <c r="T350" s="77">
        <v>3018</v>
      </c>
      <c r="U350" s="20">
        <v>57013</v>
      </c>
    </row>
    <row r="351" spans="1:21">
      <c r="A351" s="5">
        <v>7084</v>
      </c>
      <c r="B351" s="5" t="s">
        <v>16</v>
      </c>
      <c r="C351" s="5" t="s">
        <v>20</v>
      </c>
      <c r="D351" s="5" t="s">
        <v>32</v>
      </c>
      <c r="E351" s="5" t="s">
        <v>19</v>
      </c>
      <c r="F351" s="5" t="s">
        <v>14</v>
      </c>
      <c r="G351" s="5" t="s">
        <v>24</v>
      </c>
      <c r="H351" s="5">
        <v>121759</v>
      </c>
      <c r="I351" s="5">
        <v>678</v>
      </c>
      <c r="J351" s="6">
        <f t="shared" si="5"/>
        <v>121081</v>
      </c>
      <c r="L351" s="21">
        <v>78327</v>
      </c>
      <c r="M351" s="22" t="s">
        <v>16</v>
      </c>
      <c r="N351" s="22" t="s">
        <v>27</v>
      </c>
      <c r="O351" s="22" t="s">
        <v>36</v>
      </c>
      <c r="P351" s="22" t="s">
        <v>19</v>
      </c>
      <c r="Q351" s="22" t="s">
        <v>14</v>
      </c>
      <c r="R351" s="22" t="s">
        <v>24</v>
      </c>
      <c r="S351" s="22">
        <v>39657</v>
      </c>
      <c r="T351" s="78">
        <v>864</v>
      </c>
      <c r="U351" s="23">
        <v>38793</v>
      </c>
    </row>
    <row r="352" spans="1:21">
      <c r="A352" s="5">
        <v>218811</v>
      </c>
      <c r="B352" s="5" t="s">
        <v>16</v>
      </c>
      <c r="C352" s="5" t="s">
        <v>34</v>
      </c>
      <c r="D352" s="5" t="s">
        <v>36</v>
      </c>
      <c r="E352" s="5" t="s">
        <v>13</v>
      </c>
      <c r="F352" s="5" t="s">
        <v>14</v>
      </c>
      <c r="G352" s="5" t="s">
        <v>15</v>
      </c>
      <c r="H352" s="5">
        <v>50248</v>
      </c>
      <c r="I352" s="5">
        <v>735</v>
      </c>
      <c r="J352" s="6">
        <f t="shared" si="5"/>
        <v>49513</v>
      </c>
      <c r="L352" s="18">
        <v>26718</v>
      </c>
      <c r="M352" s="19" t="s">
        <v>16</v>
      </c>
      <c r="N352" s="19" t="s">
        <v>34</v>
      </c>
      <c r="O352" s="19" t="s">
        <v>30</v>
      </c>
      <c r="P352" s="19" t="s">
        <v>13</v>
      </c>
      <c r="Q352" s="19" t="s">
        <v>14</v>
      </c>
      <c r="R352" s="19" t="s">
        <v>24</v>
      </c>
      <c r="S352" s="19">
        <v>76989</v>
      </c>
      <c r="T352" s="77">
        <v>1290</v>
      </c>
      <c r="U352" s="20">
        <v>75699</v>
      </c>
    </row>
    <row r="353" spans="1:21">
      <c r="A353" s="5">
        <v>61612</v>
      </c>
      <c r="B353" s="5" t="s">
        <v>16</v>
      </c>
      <c r="C353" s="5" t="s">
        <v>27</v>
      </c>
      <c r="D353" s="5" t="s">
        <v>30</v>
      </c>
      <c r="E353" s="5" t="s">
        <v>13</v>
      </c>
      <c r="F353" s="5" t="s">
        <v>14</v>
      </c>
      <c r="G353" s="5" t="s">
        <v>15</v>
      </c>
      <c r="H353" s="5">
        <v>81260</v>
      </c>
      <c r="I353" s="5">
        <v>3698</v>
      </c>
      <c r="J353" s="6">
        <f t="shared" si="5"/>
        <v>77562</v>
      </c>
      <c r="L353" s="21">
        <v>73894</v>
      </c>
      <c r="M353" s="22" t="s">
        <v>10</v>
      </c>
      <c r="N353" s="22" t="s">
        <v>27</v>
      </c>
      <c r="O353" s="22" t="s">
        <v>36</v>
      </c>
      <c r="P353" s="22" t="s">
        <v>19</v>
      </c>
      <c r="Q353" s="22" t="s">
        <v>14</v>
      </c>
      <c r="R353" s="22" t="s">
        <v>24</v>
      </c>
      <c r="S353" s="22">
        <v>77295</v>
      </c>
      <c r="T353" s="78">
        <v>2441</v>
      </c>
      <c r="U353" s="23">
        <v>74854</v>
      </c>
    </row>
    <row r="354" spans="1:21">
      <c r="A354" s="5">
        <v>130394</v>
      </c>
      <c r="B354" s="5" t="s">
        <v>16</v>
      </c>
      <c r="C354" s="5" t="s">
        <v>25</v>
      </c>
      <c r="D354" s="5" t="s">
        <v>33</v>
      </c>
      <c r="E354" s="5" t="s">
        <v>13</v>
      </c>
      <c r="F354" s="5" t="s">
        <v>28</v>
      </c>
      <c r="G354" s="5" t="s">
        <v>15</v>
      </c>
      <c r="H354" s="5">
        <v>26314</v>
      </c>
      <c r="I354" s="5">
        <v>965</v>
      </c>
      <c r="J354" s="6">
        <f t="shared" si="5"/>
        <v>25349</v>
      </c>
      <c r="L354" s="18">
        <v>37325</v>
      </c>
      <c r="M354" s="19" t="s">
        <v>10</v>
      </c>
      <c r="N354" s="19" t="s">
        <v>35</v>
      </c>
      <c r="O354" s="19" t="s">
        <v>23</v>
      </c>
      <c r="P354" s="19" t="s">
        <v>13</v>
      </c>
      <c r="Q354" s="19" t="s">
        <v>14</v>
      </c>
      <c r="R354" s="19" t="s">
        <v>15</v>
      </c>
      <c r="S354" s="19">
        <v>81639</v>
      </c>
      <c r="T354" s="77">
        <v>3385</v>
      </c>
      <c r="U354" s="20">
        <v>78254</v>
      </c>
    </row>
    <row r="355" spans="1:21">
      <c r="A355" s="5">
        <v>81720</v>
      </c>
      <c r="B355" s="5" t="s">
        <v>16</v>
      </c>
      <c r="C355" s="5" t="s">
        <v>20</v>
      </c>
      <c r="D355" s="5" t="s">
        <v>32</v>
      </c>
      <c r="E355" s="5" t="s">
        <v>19</v>
      </c>
      <c r="F355" s="5" t="s">
        <v>14</v>
      </c>
      <c r="G355" s="5" t="s">
        <v>24</v>
      </c>
      <c r="H355" s="5">
        <v>308266</v>
      </c>
      <c r="I355" s="5">
        <v>154</v>
      </c>
      <c r="J355" s="6">
        <f t="shared" si="5"/>
        <v>308112</v>
      </c>
      <c r="L355" s="21">
        <v>187821</v>
      </c>
      <c r="M355" s="22" t="s">
        <v>10</v>
      </c>
      <c r="N355" s="22" t="s">
        <v>20</v>
      </c>
      <c r="O355" s="22" t="s">
        <v>32</v>
      </c>
      <c r="P355" s="22" t="s">
        <v>13</v>
      </c>
      <c r="Q355" s="22" t="s">
        <v>14</v>
      </c>
      <c r="R355" s="22" t="s">
        <v>15</v>
      </c>
      <c r="S355" s="22">
        <v>8764</v>
      </c>
      <c r="T355" s="78">
        <v>0</v>
      </c>
      <c r="U355" s="23">
        <v>8764</v>
      </c>
    </row>
    <row r="356" spans="1:21">
      <c r="A356" s="5">
        <v>22716</v>
      </c>
      <c r="B356" s="5" t="s">
        <v>10</v>
      </c>
      <c r="C356" s="5" t="s">
        <v>11</v>
      </c>
      <c r="D356" s="5" t="s">
        <v>26</v>
      </c>
      <c r="E356" s="5" t="s">
        <v>19</v>
      </c>
      <c r="F356" s="5" t="s">
        <v>14</v>
      </c>
      <c r="G356" s="5" t="s">
        <v>24</v>
      </c>
      <c r="H356" s="5">
        <v>94643</v>
      </c>
      <c r="I356" s="5">
        <v>799</v>
      </c>
      <c r="J356" s="6">
        <f t="shared" si="5"/>
        <v>93844</v>
      </c>
      <c r="L356" s="18">
        <v>15987</v>
      </c>
      <c r="M356" s="19" t="s">
        <v>10</v>
      </c>
      <c r="N356" s="19" t="s">
        <v>11</v>
      </c>
      <c r="O356" s="19" t="s">
        <v>36</v>
      </c>
      <c r="P356" s="19" t="s">
        <v>13</v>
      </c>
      <c r="Q356" s="19" t="s">
        <v>14</v>
      </c>
      <c r="R356" s="19" t="s">
        <v>15</v>
      </c>
      <c r="S356" s="19">
        <v>144106</v>
      </c>
      <c r="T356" s="77">
        <v>7641</v>
      </c>
      <c r="U356" s="20">
        <v>136465</v>
      </c>
    </row>
    <row r="357" spans="1:21">
      <c r="A357" s="5">
        <v>191020</v>
      </c>
      <c r="B357" s="5" t="s">
        <v>10</v>
      </c>
      <c r="C357" s="5" t="s">
        <v>39</v>
      </c>
      <c r="D357" s="5" t="s">
        <v>32</v>
      </c>
      <c r="E357" s="5" t="s">
        <v>13</v>
      </c>
      <c r="F357" s="5" t="s">
        <v>14</v>
      </c>
      <c r="G357" s="5" t="s">
        <v>15</v>
      </c>
      <c r="H357" s="5">
        <v>14091</v>
      </c>
      <c r="I357" s="5">
        <v>0</v>
      </c>
      <c r="J357" s="6">
        <f t="shared" si="5"/>
        <v>14091</v>
      </c>
      <c r="L357" s="21">
        <v>6290</v>
      </c>
      <c r="M357" s="22" t="s">
        <v>10</v>
      </c>
      <c r="N357" s="22" t="s">
        <v>38</v>
      </c>
      <c r="O357" s="22" t="s">
        <v>32</v>
      </c>
      <c r="P357" s="22" t="s">
        <v>19</v>
      </c>
      <c r="Q357" s="22" t="s">
        <v>14</v>
      </c>
      <c r="R357" s="22" t="s">
        <v>15</v>
      </c>
      <c r="S357" s="22">
        <v>21902</v>
      </c>
      <c r="T357" s="78">
        <v>0</v>
      </c>
      <c r="U357" s="23">
        <v>21902</v>
      </c>
    </row>
    <row r="358" spans="1:21">
      <c r="A358" s="5">
        <v>216782</v>
      </c>
      <c r="B358" s="5" t="s">
        <v>10</v>
      </c>
      <c r="C358" s="5" t="s">
        <v>34</v>
      </c>
      <c r="D358" s="5" t="s">
        <v>23</v>
      </c>
      <c r="E358" s="5" t="s">
        <v>19</v>
      </c>
      <c r="F358" s="5" t="s">
        <v>14</v>
      </c>
      <c r="G358" s="5" t="s">
        <v>15</v>
      </c>
      <c r="H358" s="5">
        <v>37766</v>
      </c>
      <c r="I358" s="5">
        <v>2634</v>
      </c>
      <c r="J358" s="6">
        <f t="shared" si="5"/>
        <v>35132</v>
      </c>
      <c r="L358" s="18">
        <v>75024</v>
      </c>
      <c r="M358" s="19" t="s">
        <v>16</v>
      </c>
      <c r="N358" s="19" t="s">
        <v>27</v>
      </c>
      <c r="O358" s="19" t="s">
        <v>36</v>
      </c>
      <c r="P358" s="19" t="s">
        <v>19</v>
      </c>
      <c r="Q358" s="19" t="s">
        <v>14</v>
      </c>
      <c r="R358" s="19" t="s">
        <v>24</v>
      </c>
      <c r="S358" s="19">
        <v>38707</v>
      </c>
      <c r="T358" s="77">
        <v>1531</v>
      </c>
      <c r="U358" s="20">
        <v>37176</v>
      </c>
    </row>
    <row r="359" spans="1:21">
      <c r="A359" s="5">
        <v>189241</v>
      </c>
      <c r="B359" s="5" t="s">
        <v>10</v>
      </c>
      <c r="C359" s="5" t="s">
        <v>37</v>
      </c>
      <c r="D359" s="5" t="s">
        <v>29</v>
      </c>
      <c r="E359" s="5" t="s">
        <v>13</v>
      </c>
      <c r="F359" s="5" t="s">
        <v>14</v>
      </c>
      <c r="G359" s="5" t="s">
        <v>15</v>
      </c>
      <c r="H359" s="5">
        <v>91854</v>
      </c>
      <c r="I359" s="5">
        <v>573</v>
      </c>
      <c r="J359" s="6">
        <f t="shared" si="5"/>
        <v>91281</v>
      </c>
      <c r="L359" s="21">
        <v>40281</v>
      </c>
      <c r="M359" s="22" t="s">
        <v>10</v>
      </c>
      <c r="N359" s="22" t="s">
        <v>35</v>
      </c>
      <c r="O359" s="22" t="s">
        <v>12</v>
      </c>
      <c r="P359" s="22" t="s">
        <v>13</v>
      </c>
      <c r="Q359" s="22" t="s">
        <v>14</v>
      </c>
      <c r="R359" s="22" t="s">
        <v>24</v>
      </c>
      <c r="S359" s="22">
        <v>67891</v>
      </c>
      <c r="T359" s="78">
        <v>2932</v>
      </c>
      <c r="U359" s="23">
        <v>64959</v>
      </c>
    </row>
    <row r="360" spans="1:21">
      <c r="A360" s="5">
        <v>47904</v>
      </c>
      <c r="B360" s="5" t="s">
        <v>10</v>
      </c>
      <c r="C360" s="5" t="s">
        <v>35</v>
      </c>
      <c r="D360" s="5" t="s">
        <v>21</v>
      </c>
      <c r="E360" s="5" t="s">
        <v>13</v>
      </c>
      <c r="F360" s="5" t="s">
        <v>28</v>
      </c>
      <c r="G360" s="5" t="s">
        <v>24</v>
      </c>
      <c r="H360" s="5">
        <v>14003</v>
      </c>
      <c r="I360" s="5">
        <v>0</v>
      </c>
      <c r="J360" s="6">
        <f t="shared" si="5"/>
        <v>14003</v>
      </c>
      <c r="L360" s="18">
        <v>46724</v>
      </c>
      <c r="M360" s="19" t="s">
        <v>16</v>
      </c>
      <c r="N360" s="19" t="s">
        <v>35</v>
      </c>
      <c r="O360" s="19" t="s">
        <v>36</v>
      </c>
      <c r="P360" s="19" t="s">
        <v>13</v>
      </c>
      <c r="Q360" s="19" t="s">
        <v>14</v>
      </c>
      <c r="R360" s="19" t="s">
        <v>24</v>
      </c>
      <c r="S360" s="19">
        <v>39871</v>
      </c>
      <c r="T360" s="77">
        <v>8274</v>
      </c>
      <c r="U360" s="20">
        <v>31597</v>
      </c>
    </row>
    <row r="361" spans="1:21">
      <c r="A361" s="5">
        <v>139376</v>
      </c>
      <c r="B361" s="5" t="s">
        <v>16</v>
      </c>
      <c r="C361" s="5" t="s">
        <v>35</v>
      </c>
      <c r="D361" s="5" t="s">
        <v>21</v>
      </c>
      <c r="E361" s="5" t="s">
        <v>19</v>
      </c>
      <c r="F361" s="5" t="s">
        <v>14</v>
      </c>
      <c r="G361" s="5" t="s">
        <v>15</v>
      </c>
      <c r="H361" s="5">
        <v>101018</v>
      </c>
      <c r="I361" s="5">
        <v>7032</v>
      </c>
      <c r="J361" s="6">
        <f t="shared" si="5"/>
        <v>93986</v>
      </c>
      <c r="L361" s="21">
        <v>99351</v>
      </c>
      <c r="M361" s="22" t="s">
        <v>10</v>
      </c>
      <c r="N361" s="22" t="s">
        <v>34</v>
      </c>
      <c r="O361" s="22" t="s">
        <v>29</v>
      </c>
      <c r="P361" s="22" t="s">
        <v>13</v>
      </c>
      <c r="Q361" s="22" t="s">
        <v>14</v>
      </c>
      <c r="R361" s="22" t="s">
        <v>24</v>
      </c>
      <c r="S361" s="22">
        <v>60979</v>
      </c>
      <c r="T361" s="78">
        <v>1805</v>
      </c>
      <c r="U361" s="23">
        <v>59174</v>
      </c>
    </row>
    <row r="362" spans="1:21">
      <c r="A362" s="5">
        <v>183710</v>
      </c>
      <c r="B362" s="5" t="s">
        <v>16</v>
      </c>
      <c r="C362" s="5" t="s">
        <v>37</v>
      </c>
      <c r="D362" s="5" t="s">
        <v>30</v>
      </c>
      <c r="E362" s="5" t="s">
        <v>13</v>
      </c>
      <c r="F362" s="5" t="s">
        <v>14</v>
      </c>
      <c r="G362" s="5" t="s">
        <v>15</v>
      </c>
      <c r="H362" s="5">
        <v>88363</v>
      </c>
      <c r="I362" s="5">
        <v>2264</v>
      </c>
      <c r="J362" s="6">
        <f t="shared" si="5"/>
        <v>86099</v>
      </c>
      <c r="L362" s="18">
        <v>79595</v>
      </c>
      <c r="M362" s="19" t="s">
        <v>10</v>
      </c>
      <c r="N362" s="19" t="s">
        <v>39</v>
      </c>
      <c r="O362" s="19" t="s">
        <v>26</v>
      </c>
      <c r="P362" s="19" t="s">
        <v>13</v>
      </c>
      <c r="Q362" s="19" t="s">
        <v>14</v>
      </c>
      <c r="R362" s="19" t="s">
        <v>15</v>
      </c>
      <c r="S362" s="19">
        <v>87680</v>
      </c>
      <c r="T362" s="77">
        <v>750</v>
      </c>
      <c r="U362" s="20">
        <v>86930</v>
      </c>
    </row>
    <row r="363" spans="1:21">
      <c r="A363" s="5">
        <v>135276</v>
      </c>
      <c r="B363" s="5" t="s">
        <v>16</v>
      </c>
      <c r="C363" s="5" t="s">
        <v>27</v>
      </c>
      <c r="D363" s="5" t="s">
        <v>30</v>
      </c>
      <c r="E363" s="5" t="s">
        <v>13</v>
      </c>
      <c r="F363" s="5" t="s">
        <v>14</v>
      </c>
      <c r="G363" s="5" t="s">
        <v>15</v>
      </c>
      <c r="H363" s="5">
        <v>125755</v>
      </c>
      <c r="I363" s="5">
        <v>7855</v>
      </c>
      <c r="J363" s="6">
        <f t="shared" si="5"/>
        <v>117900</v>
      </c>
      <c r="L363" s="21">
        <v>206957</v>
      </c>
      <c r="M363" s="22" t="s">
        <v>10</v>
      </c>
      <c r="N363" s="22" t="s">
        <v>38</v>
      </c>
      <c r="O363" s="22" t="s">
        <v>12</v>
      </c>
      <c r="P363" s="22" t="s">
        <v>13</v>
      </c>
      <c r="Q363" s="22" t="s">
        <v>14</v>
      </c>
      <c r="R363" s="22" t="s">
        <v>15</v>
      </c>
      <c r="S363" s="22">
        <v>92333</v>
      </c>
      <c r="T363" s="78">
        <v>6486</v>
      </c>
      <c r="U363" s="23">
        <v>85847</v>
      </c>
    </row>
    <row r="364" spans="1:21">
      <c r="A364" s="5">
        <v>21306</v>
      </c>
      <c r="B364" s="5" t="s">
        <v>16</v>
      </c>
      <c r="C364" s="5" t="s">
        <v>11</v>
      </c>
      <c r="D364" s="5" t="s">
        <v>30</v>
      </c>
      <c r="E364" s="5" t="s">
        <v>19</v>
      </c>
      <c r="F364" s="5" t="s">
        <v>14</v>
      </c>
      <c r="G364" s="5" t="s">
        <v>15</v>
      </c>
      <c r="H364" s="5">
        <v>102712</v>
      </c>
      <c r="I364" s="5">
        <v>5118</v>
      </c>
      <c r="J364" s="6">
        <f t="shared" si="5"/>
        <v>97594</v>
      </c>
      <c r="L364" s="18">
        <v>223583</v>
      </c>
      <c r="M364" s="19" t="s">
        <v>10</v>
      </c>
      <c r="N364" s="19" t="s">
        <v>25</v>
      </c>
      <c r="O364" s="19" t="s">
        <v>30</v>
      </c>
      <c r="P364" s="19" t="s">
        <v>19</v>
      </c>
      <c r="Q364" s="19" t="s">
        <v>14</v>
      </c>
      <c r="R364" s="19" t="s">
        <v>15</v>
      </c>
      <c r="S364" s="19">
        <v>78906</v>
      </c>
      <c r="T364" s="77">
        <v>244</v>
      </c>
      <c r="U364" s="20">
        <v>78662</v>
      </c>
    </row>
    <row r="365" spans="1:21">
      <c r="A365" s="5">
        <v>179834</v>
      </c>
      <c r="B365" s="5" t="s">
        <v>16</v>
      </c>
      <c r="C365" s="5" t="s">
        <v>17</v>
      </c>
      <c r="D365" s="5" t="s">
        <v>33</v>
      </c>
      <c r="E365" s="5" t="s">
        <v>19</v>
      </c>
      <c r="F365" s="5" t="s">
        <v>14</v>
      </c>
      <c r="G365" s="5" t="s">
        <v>24</v>
      </c>
      <c r="H365" s="5">
        <v>62999</v>
      </c>
      <c r="I365" s="5">
        <v>503</v>
      </c>
      <c r="J365" s="6">
        <f t="shared" si="5"/>
        <v>62496</v>
      </c>
      <c r="L365" s="21">
        <v>24234</v>
      </c>
      <c r="M365" s="22" t="s">
        <v>16</v>
      </c>
      <c r="N365" s="22" t="s">
        <v>11</v>
      </c>
      <c r="O365" s="22" t="s">
        <v>30</v>
      </c>
      <c r="P365" s="22" t="s">
        <v>13</v>
      </c>
      <c r="Q365" s="22" t="s">
        <v>14</v>
      </c>
      <c r="R365" s="22" t="s">
        <v>15</v>
      </c>
      <c r="S365" s="22">
        <v>34772</v>
      </c>
      <c r="T365" s="78">
        <v>3448</v>
      </c>
      <c r="U365" s="23">
        <v>31324</v>
      </c>
    </row>
    <row r="366" spans="1:21">
      <c r="A366" s="5">
        <v>140296</v>
      </c>
      <c r="B366" s="5" t="s">
        <v>16</v>
      </c>
      <c r="C366" s="5" t="s">
        <v>25</v>
      </c>
      <c r="D366" s="5" t="s">
        <v>36</v>
      </c>
      <c r="E366" s="5" t="s">
        <v>19</v>
      </c>
      <c r="F366" s="5" t="s">
        <v>28</v>
      </c>
      <c r="G366" s="5" t="s">
        <v>24</v>
      </c>
      <c r="H366" s="5">
        <v>35008</v>
      </c>
      <c r="I366" s="5">
        <v>0</v>
      </c>
      <c r="J366" s="6">
        <f t="shared" si="5"/>
        <v>35008</v>
      </c>
      <c r="L366" s="18">
        <v>5389</v>
      </c>
      <c r="M366" s="19" t="s">
        <v>16</v>
      </c>
      <c r="N366" s="19" t="s">
        <v>37</v>
      </c>
      <c r="O366" s="19" t="s">
        <v>26</v>
      </c>
      <c r="P366" s="19" t="s">
        <v>13</v>
      </c>
      <c r="Q366" s="19" t="s">
        <v>14</v>
      </c>
      <c r="R366" s="19" t="s">
        <v>24</v>
      </c>
      <c r="S366" s="19">
        <v>51584</v>
      </c>
      <c r="T366" s="77">
        <v>1079</v>
      </c>
      <c r="U366" s="20">
        <v>50505</v>
      </c>
    </row>
    <row r="367" spans="1:21">
      <c r="A367" s="5">
        <v>19161</v>
      </c>
      <c r="B367" s="5" t="s">
        <v>16</v>
      </c>
      <c r="C367" s="5" t="s">
        <v>11</v>
      </c>
      <c r="D367" s="5" t="s">
        <v>26</v>
      </c>
      <c r="E367" s="5" t="s">
        <v>13</v>
      </c>
      <c r="F367" s="5" t="s">
        <v>14</v>
      </c>
      <c r="G367" s="5" t="s">
        <v>15</v>
      </c>
      <c r="H367" s="5">
        <v>37744</v>
      </c>
      <c r="I367" s="5">
        <v>2773</v>
      </c>
      <c r="J367" s="6">
        <f t="shared" si="5"/>
        <v>34971</v>
      </c>
      <c r="L367" s="21">
        <v>86248</v>
      </c>
      <c r="M367" s="22" t="s">
        <v>10</v>
      </c>
      <c r="N367" s="22" t="s">
        <v>39</v>
      </c>
      <c r="O367" s="22" t="s">
        <v>12</v>
      </c>
      <c r="P367" s="22" t="s">
        <v>13</v>
      </c>
      <c r="Q367" s="22" t="s">
        <v>14</v>
      </c>
      <c r="R367" s="22" t="s">
        <v>24</v>
      </c>
      <c r="S367" s="22">
        <v>43261</v>
      </c>
      <c r="T367" s="78">
        <v>0</v>
      </c>
      <c r="U367" s="23">
        <v>43261</v>
      </c>
    </row>
    <row r="368" spans="1:21">
      <c r="A368" s="5">
        <v>212937</v>
      </c>
      <c r="B368" s="5" t="s">
        <v>16</v>
      </c>
      <c r="C368" s="5" t="s">
        <v>38</v>
      </c>
      <c r="D368" s="5" t="s">
        <v>32</v>
      </c>
      <c r="E368" s="5" t="s">
        <v>13</v>
      </c>
      <c r="F368" s="5" t="s">
        <v>14</v>
      </c>
      <c r="G368" s="5" t="s">
        <v>15</v>
      </c>
      <c r="H368" s="5">
        <v>1011</v>
      </c>
      <c r="I368" s="5">
        <v>0</v>
      </c>
      <c r="J368" s="6">
        <f t="shared" si="5"/>
        <v>1011</v>
      </c>
      <c r="L368" s="18">
        <v>117780</v>
      </c>
      <c r="M368" s="19" t="s">
        <v>10</v>
      </c>
      <c r="N368" s="19" t="s">
        <v>27</v>
      </c>
      <c r="O368" s="19" t="s">
        <v>30</v>
      </c>
      <c r="P368" s="19" t="s">
        <v>13</v>
      </c>
      <c r="Q368" s="19" t="s">
        <v>14</v>
      </c>
      <c r="R368" s="19" t="s">
        <v>15</v>
      </c>
      <c r="S368" s="19">
        <v>133661</v>
      </c>
      <c r="T368" s="77">
        <v>6493</v>
      </c>
      <c r="U368" s="20">
        <v>127168</v>
      </c>
    </row>
    <row r="369" spans="1:21">
      <c r="A369" s="5">
        <v>197479</v>
      </c>
      <c r="B369" s="5" t="s">
        <v>10</v>
      </c>
      <c r="C369" s="5" t="s">
        <v>37</v>
      </c>
      <c r="D369" s="5" t="s">
        <v>32</v>
      </c>
      <c r="E369" s="5" t="s">
        <v>19</v>
      </c>
      <c r="F369" s="5" t="s">
        <v>14</v>
      </c>
      <c r="G369" s="5" t="s">
        <v>24</v>
      </c>
      <c r="H369" s="5">
        <v>23655</v>
      </c>
      <c r="I369" s="5">
        <v>4700</v>
      </c>
      <c r="J369" s="6">
        <f t="shared" si="5"/>
        <v>18955</v>
      </c>
      <c r="L369" s="21">
        <v>26057</v>
      </c>
      <c r="M369" s="22" t="s">
        <v>16</v>
      </c>
      <c r="N369" s="22" t="s">
        <v>11</v>
      </c>
      <c r="O369" s="22" t="s">
        <v>30</v>
      </c>
      <c r="P369" s="22" t="s">
        <v>19</v>
      </c>
      <c r="Q369" s="22" t="s">
        <v>14</v>
      </c>
      <c r="R369" s="22" t="s">
        <v>15</v>
      </c>
      <c r="S369" s="22">
        <v>77401</v>
      </c>
      <c r="T369" s="78">
        <v>1806</v>
      </c>
      <c r="U369" s="23">
        <v>75595</v>
      </c>
    </row>
    <row r="370" spans="1:21">
      <c r="A370" s="5">
        <v>32705</v>
      </c>
      <c r="B370" s="5" t="s">
        <v>10</v>
      </c>
      <c r="C370" s="5" t="s">
        <v>11</v>
      </c>
      <c r="D370" s="5" t="s">
        <v>12</v>
      </c>
      <c r="E370" s="5" t="s">
        <v>13</v>
      </c>
      <c r="F370" s="5" t="s">
        <v>14</v>
      </c>
      <c r="G370" s="5" t="s">
        <v>15</v>
      </c>
      <c r="H370" s="5">
        <v>488320</v>
      </c>
      <c r="I370" s="5">
        <v>1768</v>
      </c>
      <c r="J370" s="6">
        <f t="shared" si="5"/>
        <v>486552</v>
      </c>
      <c r="L370" s="18">
        <v>7825</v>
      </c>
      <c r="M370" s="19" t="s">
        <v>16</v>
      </c>
      <c r="N370" s="19" t="s">
        <v>37</v>
      </c>
      <c r="O370" s="19" t="s">
        <v>12</v>
      </c>
      <c r="P370" s="19" t="s">
        <v>13</v>
      </c>
      <c r="Q370" s="19" t="s">
        <v>14</v>
      </c>
      <c r="R370" s="19" t="s">
        <v>24</v>
      </c>
      <c r="S370" s="19">
        <v>29394</v>
      </c>
      <c r="T370" s="77">
        <v>1053</v>
      </c>
      <c r="U370" s="20">
        <v>28341</v>
      </c>
    </row>
    <row r="371" spans="1:21">
      <c r="A371" s="5">
        <v>142772</v>
      </c>
      <c r="B371" s="5" t="s">
        <v>10</v>
      </c>
      <c r="C371" s="5" t="s">
        <v>27</v>
      </c>
      <c r="D371" s="5" t="s">
        <v>21</v>
      </c>
      <c r="E371" s="5" t="s">
        <v>19</v>
      </c>
      <c r="F371" s="5" t="s">
        <v>14</v>
      </c>
      <c r="G371" s="5" t="s">
        <v>24</v>
      </c>
      <c r="H371" s="5">
        <v>39860</v>
      </c>
      <c r="I371" s="5">
        <v>182</v>
      </c>
      <c r="J371" s="6">
        <f t="shared" si="5"/>
        <v>39678</v>
      </c>
      <c r="L371" s="21">
        <v>212188</v>
      </c>
      <c r="M371" s="22" t="s">
        <v>16</v>
      </c>
      <c r="N371" s="22" t="s">
        <v>37</v>
      </c>
      <c r="O371" s="22" t="s">
        <v>33</v>
      </c>
      <c r="P371" s="22" t="s">
        <v>19</v>
      </c>
      <c r="Q371" s="22" t="s">
        <v>14</v>
      </c>
      <c r="R371" s="22" t="s">
        <v>24</v>
      </c>
      <c r="S371" s="22">
        <v>67632</v>
      </c>
      <c r="T371" s="78">
        <v>281</v>
      </c>
      <c r="U371" s="23">
        <v>67351</v>
      </c>
    </row>
    <row r="372" spans="1:21">
      <c r="A372" s="5">
        <v>185174</v>
      </c>
      <c r="B372" s="5" t="s">
        <v>10</v>
      </c>
      <c r="C372" s="5" t="s">
        <v>34</v>
      </c>
      <c r="D372" s="5" t="s">
        <v>30</v>
      </c>
      <c r="E372" s="5" t="s">
        <v>13</v>
      </c>
      <c r="F372" s="5" t="s">
        <v>14</v>
      </c>
      <c r="G372" s="5" t="s">
        <v>15</v>
      </c>
      <c r="H372" s="5">
        <v>151110</v>
      </c>
      <c r="I372" s="5">
        <v>2173</v>
      </c>
      <c r="J372" s="6">
        <f t="shared" si="5"/>
        <v>148937</v>
      </c>
      <c r="L372" s="18">
        <v>22419</v>
      </c>
      <c r="M372" s="19" t="s">
        <v>10</v>
      </c>
      <c r="N372" s="19" t="s">
        <v>11</v>
      </c>
      <c r="O372" s="19" t="s">
        <v>32</v>
      </c>
      <c r="P372" s="19" t="s">
        <v>13</v>
      </c>
      <c r="Q372" s="19" t="s">
        <v>14</v>
      </c>
      <c r="R372" s="19" t="s">
        <v>15</v>
      </c>
      <c r="S372" s="19">
        <v>110728</v>
      </c>
      <c r="T372" s="77">
        <v>0</v>
      </c>
      <c r="U372" s="20">
        <v>110728</v>
      </c>
    </row>
    <row r="373" spans="1:21">
      <c r="A373" s="5">
        <v>147525</v>
      </c>
      <c r="B373" s="5" t="s">
        <v>10</v>
      </c>
      <c r="C373" s="5" t="s">
        <v>34</v>
      </c>
      <c r="D373" s="5" t="s">
        <v>12</v>
      </c>
      <c r="E373" s="5" t="s">
        <v>13</v>
      </c>
      <c r="F373" s="5" t="s">
        <v>14</v>
      </c>
      <c r="G373" s="5" t="s">
        <v>15</v>
      </c>
      <c r="H373" s="5">
        <v>308194</v>
      </c>
      <c r="I373" s="5">
        <v>1506</v>
      </c>
      <c r="J373" s="6">
        <f t="shared" si="5"/>
        <v>306688</v>
      </c>
      <c r="L373" s="21">
        <v>82244</v>
      </c>
      <c r="M373" s="22" t="s">
        <v>10</v>
      </c>
      <c r="N373" s="22" t="s">
        <v>37</v>
      </c>
      <c r="O373" s="22" t="s">
        <v>32</v>
      </c>
      <c r="P373" s="22" t="s">
        <v>19</v>
      </c>
      <c r="Q373" s="22" t="s">
        <v>14</v>
      </c>
      <c r="R373" s="22" t="s">
        <v>24</v>
      </c>
      <c r="S373" s="22">
        <v>2364</v>
      </c>
      <c r="T373" s="78">
        <v>201</v>
      </c>
      <c r="U373" s="23">
        <v>2163</v>
      </c>
    </row>
    <row r="374" spans="1:21">
      <c r="A374" s="5">
        <v>225887</v>
      </c>
      <c r="B374" s="5" t="s">
        <v>16</v>
      </c>
      <c r="C374" s="5" t="s">
        <v>27</v>
      </c>
      <c r="D374" s="5" t="s">
        <v>23</v>
      </c>
      <c r="E374" s="5" t="s">
        <v>13</v>
      </c>
      <c r="F374" s="5" t="s">
        <v>28</v>
      </c>
      <c r="G374" s="5" t="s">
        <v>24</v>
      </c>
      <c r="H374" s="5">
        <v>18363</v>
      </c>
      <c r="I374" s="5">
        <v>0</v>
      </c>
      <c r="J374" s="6">
        <f t="shared" si="5"/>
        <v>18363</v>
      </c>
      <c r="L374" s="18">
        <v>75618</v>
      </c>
      <c r="M374" s="19" t="s">
        <v>16</v>
      </c>
      <c r="N374" s="19" t="s">
        <v>27</v>
      </c>
      <c r="O374" s="19" t="s">
        <v>12</v>
      </c>
      <c r="P374" s="19" t="s">
        <v>13</v>
      </c>
      <c r="Q374" s="19" t="s">
        <v>14</v>
      </c>
      <c r="R374" s="19" t="s">
        <v>15</v>
      </c>
      <c r="S374" s="19">
        <v>75547</v>
      </c>
      <c r="T374" s="77">
        <v>630</v>
      </c>
      <c r="U374" s="20">
        <v>74917</v>
      </c>
    </row>
    <row r="375" spans="1:21">
      <c r="A375" s="5">
        <v>39222</v>
      </c>
      <c r="B375" s="5" t="s">
        <v>10</v>
      </c>
      <c r="C375" s="5" t="s">
        <v>35</v>
      </c>
      <c r="D375" s="5" t="s">
        <v>23</v>
      </c>
      <c r="E375" s="5" t="s">
        <v>19</v>
      </c>
      <c r="F375" s="5" t="s">
        <v>14</v>
      </c>
      <c r="G375" s="5" t="s">
        <v>15</v>
      </c>
      <c r="H375" s="5">
        <v>181275</v>
      </c>
      <c r="I375" s="5">
        <v>25183</v>
      </c>
      <c r="J375" s="6">
        <f t="shared" si="5"/>
        <v>156092</v>
      </c>
      <c r="L375" s="21">
        <v>217563</v>
      </c>
      <c r="M375" s="22" t="s">
        <v>10</v>
      </c>
      <c r="N375" s="22" t="s">
        <v>38</v>
      </c>
      <c r="O375" s="22" t="s">
        <v>33</v>
      </c>
      <c r="P375" s="22" t="s">
        <v>13</v>
      </c>
      <c r="Q375" s="22" t="s">
        <v>14</v>
      </c>
      <c r="R375" s="22" t="s">
        <v>15</v>
      </c>
      <c r="S375" s="22">
        <v>45100</v>
      </c>
      <c r="T375" s="78">
        <v>273</v>
      </c>
      <c r="U375" s="23">
        <v>44827</v>
      </c>
    </row>
    <row r="376" spans="1:21">
      <c r="A376" s="5">
        <v>128724</v>
      </c>
      <c r="B376" s="5" t="s">
        <v>16</v>
      </c>
      <c r="C376" s="5" t="s">
        <v>22</v>
      </c>
      <c r="D376" s="5" t="s">
        <v>12</v>
      </c>
      <c r="E376" s="5" t="s">
        <v>19</v>
      </c>
      <c r="F376" s="5" t="s">
        <v>28</v>
      </c>
      <c r="G376" s="5" t="s">
        <v>15</v>
      </c>
      <c r="H376" s="5">
        <v>78850</v>
      </c>
      <c r="I376" s="5">
        <v>63</v>
      </c>
      <c r="J376" s="6">
        <f t="shared" si="5"/>
        <v>78787</v>
      </c>
      <c r="L376" s="18">
        <v>227714</v>
      </c>
      <c r="M376" s="19" t="s">
        <v>16</v>
      </c>
      <c r="N376" s="19" t="s">
        <v>17</v>
      </c>
      <c r="O376" s="19" t="s">
        <v>12</v>
      </c>
      <c r="P376" s="19" t="s">
        <v>19</v>
      </c>
      <c r="Q376" s="19" t="s">
        <v>14</v>
      </c>
      <c r="R376" s="19" t="s">
        <v>15</v>
      </c>
      <c r="S376" s="19">
        <v>51449</v>
      </c>
      <c r="T376" s="77">
        <v>5316</v>
      </c>
      <c r="U376" s="20">
        <v>46133</v>
      </c>
    </row>
    <row r="377" spans="1:21">
      <c r="A377" s="5">
        <v>136594</v>
      </c>
      <c r="B377" s="5" t="s">
        <v>10</v>
      </c>
      <c r="C377" s="5" t="s">
        <v>34</v>
      </c>
      <c r="D377" s="5" t="s">
        <v>23</v>
      </c>
      <c r="E377" s="5" t="s">
        <v>13</v>
      </c>
      <c r="F377" s="5" t="s">
        <v>14</v>
      </c>
      <c r="G377" s="5" t="s">
        <v>15</v>
      </c>
      <c r="H377" s="5">
        <v>41389</v>
      </c>
      <c r="I377" s="5">
        <v>2307</v>
      </c>
      <c r="J377" s="6">
        <f t="shared" si="5"/>
        <v>39082</v>
      </c>
      <c r="L377" s="21">
        <v>40627</v>
      </c>
      <c r="M377" s="22" t="s">
        <v>10</v>
      </c>
      <c r="N377" s="22" t="s">
        <v>35</v>
      </c>
      <c r="O377" s="22" t="s">
        <v>29</v>
      </c>
      <c r="P377" s="22" t="s">
        <v>13</v>
      </c>
      <c r="Q377" s="22" t="s">
        <v>14</v>
      </c>
      <c r="R377" s="22" t="s">
        <v>15</v>
      </c>
      <c r="S377" s="22">
        <v>111011</v>
      </c>
      <c r="T377" s="78">
        <v>160</v>
      </c>
      <c r="U377" s="23">
        <v>110851</v>
      </c>
    </row>
    <row r="378" spans="1:21">
      <c r="A378" s="5">
        <v>209290</v>
      </c>
      <c r="B378" s="5" t="s">
        <v>16</v>
      </c>
      <c r="C378" s="5" t="s">
        <v>38</v>
      </c>
      <c r="D378" s="5" t="s">
        <v>12</v>
      </c>
      <c r="E378" s="5" t="s">
        <v>13</v>
      </c>
      <c r="F378" s="5" t="s">
        <v>14</v>
      </c>
      <c r="G378" s="5" t="s">
        <v>15</v>
      </c>
      <c r="H378" s="5">
        <v>87181</v>
      </c>
      <c r="I378" s="5">
        <v>0</v>
      </c>
      <c r="J378" s="6">
        <f t="shared" si="5"/>
        <v>87181</v>
      </c>
      <c r="L378" s="18">
        <v>198644</v>
      </c>
      <c r="M378" s="19" t="s">
        <v>10</v>
      </c>
      <c r="N378" s="19" t="s">
        <v>38</v>
      </c>
      <c r="O378" s="19" t="s">
        <v>29</v>
      </c>
      <c r="P378" s="19" t="s">
        <v>19</v>
      </c>
      <c r="Q378" s="19" t="s">
        <v>14</v>
      </c>
      <c r="R378" s="19" t="s">
        <v>24</v>
      </c>
      <c r="S378" s="19">
        <v>99465</v>
      </c>
      <c r="T378" s="77">
        <v>15802</v>
      </c>
      <c r="U378" s="20">
        <v>83663</v>
      </c>
    </row>
    <row r="379" spans="1:21">
      <c r="A379" s="5">
        <v>200944</v>
      </c>
      <c r="B379" s="5" t="s">
        <v>16</v>
      </c>
      <c r="C379" s="5" t="s">
        <v>38</v>
      </c>
      <c r="D379" s="5" t="s">
        <v>21</v>
      </c>
      <c r="E379" s="5" t="s">
        <v>19</v>
      </c>
      <c r="F379" s="5" t="s">
        <v>14</v>
      </c>
      <c r="G379" s="5" t="s">
        <v>15</v>
      </c>
      <c r="H379" s="5">
        <v>38618</v>
      </c>
      <c r="I379" s="5">
        <v>5701</v>
      </c>
      <c r="J379" s="6">
        <f t="shared" si="5"/>
        <v>32917</v>
      </c>
      <c r="L379" s="21">
        <v>194736</v>
      </c>
      <c r="M379" s="22" t="s">
        <v>16</v>
      </c>
      <c r="N379" s="22" t="s">
        <v>37</v>
      </c>
      <c r="O379" s="22" t="s">
        <v>12</v>
      </c>
      <c r="P379" s="22" t="s">
        <v>19</v>
      </c>
      <c r="Q379" s="22" t="s">
        <v>14</v>
      </c>
      <c r="R379" s="22" t="s">
        <v>15</v>
      </c>
      <c r="S379" s="22">
        <v>43529</v>
      </c>
      <c r="T379" s="78">
        <v>1919</v>
      </c>
      <c r="U379" s="23">
        <v>41610</v>
      </c>
    </row>
    <row r="380" spans="1:21">
      <c r="A380" s="5">
        <v>173364</v>
      </c>
      <c r="B380" s="5" t="s">
        <v>10</v>
      </c>
      <c r="C380" s="5" t="s">
        <v>27</v>
      </c>
      <c r="D380" s="5" t="s">
        <v>30</v>
      </c>
      <c r="E380" s="5" t="s">
        <v>13</v>
      </c>
      <c r="F380" s="5" t="s">
        <v>14</v>
      </c>
      <c r="G380" s="5" t="s">
        <v>24</v>
      </c>
      <c r="H380" s="5">
        <v>108263</v>
      </c>
      <c r="I380" s="5">
        <v>967</v>
      </c>
      <c r="J380" s="6">
        <f t="shared" si="5"/>
        <v>107296</v>
      </c>
      <c r="L380" s="18">
        <v>93695</v>
      </c>
      <c r="M380" s="19" t="s">
        <v>10</v>
      </c>
      <c r="N380" s="19" t="s">
        <v>20</v>
      </c>
      <c r="O380" s="19" t="s">
        <v>32</v>
      </c>
      <c r="P380" s="19" t="s">
        <v>13</v>
      </c>
      <c r="Q380" s="19" t="s">
        <v>14</v>
      </c>
      <c r="R380" s="19" t="s">
        <v>15</v>
      </c>
      <c r="S380" s="19">
        <v>57321</v>
      </c>
      <c r="T380" s="77">
        <v>1352</v>
      </c>
      <c r="U380" s="20">
        <v>55969</v>
      </c>
    </row>
    <row r="381" spans="1:21">
      <c r="A381" s="5">
        <v>194486</v>
      </c>
      <c r="B381" s="5" t="s">
        <v>10</v>
      </c>
      <c r="C381" s="5" t="s">
        <v>34</v>
      </c>
      <c r="D381" s="5" t="s">
        <v>29</v>
      </c>
      <c r="E381" s="5" t="s">
        <v>13</v>
      </c>
      <c r="F381" s="5" t="s">
        <v>28</v>
      </c>
      <c r="G381" s="5" t="s">
        <v>15</v>
      </c>
      <c r="H381" s="5">
        <v>164958</v>
      </c>
      <c r="I381" s="5">
        <v>1024</v>
      </c>
      <c r="J381" s="6">
        <f t="shared" si="5"/>
        <v>163934</v>
      </c>
      <c r="L381" s="21">
        <v>28691</v>
      </c>
      <c r="M381" s="22" t="s">
        <v>16</v>
      </c>
      <c r="N381" s="22" t="s">
        <v>35</v>
      </c>
      <c r="O381" s="22" t="s">
        <v>33</v>
      </c>
      <c r="P381" s="22" t="s">
        <v>13</v>
      </c>
      <c r="Q381" s="22" t="s">
        <v>14</v>
      </c>
      <c r="R381" s="22" t="s">
        <v>24</v>
      </c>
      <c r="S381" s="22">
        <v>74897</v>
      </c>
      <c r="T381" s="78">
        <v>11511</v>
      </c>
      <c r="U381" s="23">
        <v>63386</v>
      </c>
    </row>
    <row r="382" spans="1:21">
      <c r="A382" s="5">
        <v>211554</v>
      </c>
      <c r="B382" s="5" t="s">
        <v>16</v>
      </c>
      <c r="C382" s="5" t="s">
        <v>38</v>
      </c>
      <c r="D382" s="5" t="s">
        <v>12</v>
      </c>
      <c r="E382" s="5" t="s">
        <v>13</v>
      </c>
      <c r="F382" s="5" t="s">
        <v>28</v>
      </c>
      <c r="G382" s="5" t="s">
        <v>24</v>
      </c>
      <c r="H382" s="5">
        <v>33655</v>
      </c>
      <c r="I382" s="5">
        <v>157</v>
      </c>
      <c r="J382" s="6">
        <f t="shared" si="5"/>
        <v>33498</v>
      </c>
      <c r="L382" s="18">
        <v>216619</v>
      </c>
      <c r="M382" s="19" t="s">
        <v>10</v>
      </c>
      <c r="N382" s="19" t="s">
        <v>34</v>
      </c>
      <c r="O382" s="19" t="s">
        <v>29</v>
      </c>
      <c r="P382" s="19" t="s">
        <v>13</v>
      </c>
      <c r="Q382" s="19" t="s">
        <v>14</v>
      </c>
      <c r="R382" s="19" t="s">
        <v>24</v>
      </c>
      <c r="S382" s="19">
        <v>84918</v>
      </c>
      <c r="T382" s="77">
        <v>4984</v>
      </c>
      <c r="U382" s="20">
        <v>79934</v>
      </c>
    </row>
    <row r="383" spans="1:21">
      <c r="A383" s="5">
        <v>49303</v>
      </c>
      <c r="B383" s="5" t="s">
        <v>10</v>
      </c>
      <c r="C383" s="5" t="s">
        <v>35</v>
      </c>
      <c r="D383" s="5" t="s">
        <v>36</v>
      </c>
      <c r="E383" s="5" t="s">
        <v>13</v>
      </c>
      <c r="F383" s="5" t="s">
        <v>14</v>
      </c>
      <c r="G383" s="5" t="s">
        <v>15</v>
      </c>
      <c r="H383" s="5">
        <v>69036</v>
      </c>
      <c r="I383" s="5">
        <v>25466</v>
      </c>
      <c r="J383" s="6">
        <f t="shared" si="5"/>
        <v>43570</v>
      </c>
      <c r="L383" s="21">
        <v>187319</v>
      </c>
      <c r="M383" s="22" t="s">
        <v>16</v>
      </c>
      <c r="N383" s="22" t="s">
        <v>20</v>
      </c>
      <c r="O383" s="22" t="s">
        <v>32</v>
      </c>
      <c r="P383" s="22" t="s">
        <v>19</v>
      </c>
      <c r="Q383" s="22" t="s">
        <v>14</v>
      </c>
      <c r="R383" s="22" t="s">
        <v>15</v>
      </c>
      <c r="S383" s="22">
        <v>32111</v>
      </c>
      <c r="T383" s="78">
        <v>190</v>
      </c>
      <c r="U383" s="23">
        <v>31921</v>
      </c>
    </row>
    <row r="384" spans="1:21">
      <c r="A384" s="5">
        <v>96878</v>
      </c>
      <c r="B384" s="5" t="s">
        <v>10</v>
      </c>
      <c r="C384" s="5" t="s">
        <v>37</v>
      </c>
      <c r="D384" s="5" t="s">
        <v>12</v>
      </c>
      <c r="E384" s="5" t="s">
        <v>13</v>
      </c>
      <c r="F384" s="5" t="s">
        <v>14</v>
      </c>
      <c r="G384" s="5" t="s">
        <v>15</v>
      </c>
      <c r="H384" s="5">
        <v>74892</v>
      </c>
      <c r="I384" s="5">
        <v>495</v>
      </c>
      <c r="J384" s="6">
        <f t="shared" si="5"/>
        <v>74397</v>
      </c>
      <c r="L384" s="18">
        <v>238726</v>
      </c>
      <c r="M384" s="19" t="s">
        <v>16</v>
      </c>
      <c r="N384" s="19" t="s">
        <v>17</v>
      </c>
      <c r="O384" s="19" t="s">
        <v>33</v>
      </c>
      <c r="P384" s="19" t="s">
        <v>19</v>
      </c>
      <c r="Q384" s="19" t="s">
        <v>14</v>
      </c>
      <c r="R384" s="19" t="s">
        <v>24</v>
      </c>
      <c r="S384" s="19">
        <v>103097</v>
      </c>
      <c r="T384" s="77">
        <v>318</v>
      </c>
      <c r="U384" s="20">
        <v>102779</v>
      </c>
    </row>
    <row r="385" spans="1:21">
      <c r="A385" s="5">
        <v>228761</v>
      </c>
      <c r="B385" s="5" t="s">
        <v>10</v>
      </c>
      <c r="C385" s="5" t="s">
        <v>17</v>
      </c>
      <c r="D385" s="5" t="s">
        <v>18</v>
      </c>
      <c r="E385" s="5" t="s">
        <v>19</v>
      </c>
      <c r="F385" s="5" t="s">
        <v>14</v>
      </c>
      <c r="G385" s="5" t="s">
        <v>15</v>
      </c>
      <c r="H385" s="5">
        <v>96112</v>
      </c>
      <c r="I385" s="5">
        <v>5788</v>
      </c>
      <c r="J385" s="6">
        <f t="shared" si="5"/>
        <v>90324</v>
      </c>
      <c r="L385" s="21">
        <v>112478</v>
      </c>
      <c r="M385" s="22" t="s">
        <v>16</v>
      </c>
      <c r="N385" s="22" t="s">
        <v>22</v>
      </c>
      <c r="O385" s="22" t="s">
        <v>33</v>
      </c>
      <c r="P385" s="22" t="s">
        <v>13</v>
      </c>
      <c r="Q385" s="22" t="s">
        <v>14</v>
      </c>
      <c r="R385" s="22" t="s">
        <v>15</v>
      </c>
      <c r="S385" s="22">
        <v>15263</v>
      </c>
      <c r="T385" s="78">
        <v>384</v>
      </c>
      <c r="U385" s="23">
        <v>14879</v>
      </c>
    </row>
    <row r="386" spans="1:21">
      <c r="A386" s="5">
        <v>117040</v>
      </c>
      <c r="B386" s="5" t="s">
        <v>10</v>
      </c>
      <c r="C386" s="5" t="s">
        <v>31</v>
      </c>
      <c r="D386" s="5" t="s">
        <v>21</v>
      </c>
      <c r="E386" s="5" t="s">
        <v>19</v>
      </c>
      <c r="F386" s="5" t="s">
        <v>28</v>
      </c>
      <c r="G386" s="5" t="s">
        <v>24</v>
      </c>
      <c r="H386" s="5">
        <v>30087</v>
      </c>
      <c r="I386" s="5">
        <v>783</v>
      </c>
      <c r="J386" s="6">
        <f t="shared" ref="J386:J449" si="6">H386-I386</f>
        <v>29304</v>
      </c>
      <c r="L386" s="18">
        <v>18289</v>
      </c>
      <c r="M386" s="19" t="s">
        <v>16</v>
      </c>
      <c r="N386" s="19" t="s">
        <v>11</v>
      </c>
      <c r="O386" s="19" t="s">
        <v>36</v>
      </c>
      <c r="P386" s="19" t="s">
        <v>13</v>
      </c>
      <c r="Q386" s="19" t="s">
        <v>14</v>
      </c>
      <c r="R386" s="19" t="s">
        <v>24</v>
      </c>
      <c r="S386" s="19">
        <v>34985</v>
      </c>
      <c r="T386" s="77">
        <v>3365</v>
      </c>
      <c r="U386" s="20">
        <v>31620</v>
      </c>
    </row>
    <row r="387" spans="1:21">
      <c r="A387" s="5">
        <v>186395</v>
      </c>
      <c r="B387" s="5" t="s">
        <v>16</v>
      </c>
      <c r="C387" s="5" t="s">
        <v>38</v>
      </c>
      <c r="D387" s="5" t="s">
        <v>33</v>
      </c>
      <c r="E387" s="5" t="s">
        <v>13</v>
      </c>
      <c r="F387" s="5" t="s">
        <v>14</v>
      </c>
      <c r="G387" s="5" t="s">
        <v>15</v>
      </c>
      <c r="H387" s="5">
        <v>91742</v>
      </c>
      <c r="I387" s="5">
        <v>2148</v>
      </c>
      <c r="J387" s="6">
        <f t="shared" si="6"/>
        <v>89594</v>
      </c>
      <c r="L387" s="21">
        <v>206747</v>
      </c>
      <c r="M387" s="22" t="s">
        <v>10</v>
      </c>
      <c r="N387" s="22" t="s">
        <v>11</v>
      </c>
      <c r="O387" s="22" t="s">
        <v>29</v>
      </c>
      <c r="P387" s="22" t="s">
        <v>19</v>
      </c>
      <c r="Q387" s="22" t="s">
        <v>14</v>
      </c>
      <c r="R387" s="22" t="s">
        <v>24</v>
      </c>
      <c r="S387" s="22">
        <v>32695</v>
      </c>
      <c r="T387" s="78">
        <v>322</v>
      </c>
      <c r="U387" s="23">
        <v>32373</v>
      </c>
    </row>
    <row r="388" spans="1:21">
      <c r="A388" s="5">
        <v>2128</v>
      </c>
      <c r="B388" s="5" t="s">
        <v>10</v>
      </c>
      <c r="C388" s="5" t="s">
        <v>39</v>
      </c>
      <c r="D388" s="5" t="s">
        <v>12</v>
      </c>
      <c r="E388" s="5" t="s">
        <v>13</v>
      </c>
      <c r="F388" s="5" t="s">
        <v>14</v>
      </c>
      <c r="G388" s="5" t="s">
        <v>15</v>
      </c>
      <c r="H388" s="5">
        <v>28828</v>
      </c>
      <c r="I388" s="5">
        <v>352</v>
      </c>
      <c r="J388" s="6">
        <f t="shared" si="6"/>
        <v>28476</v>
      </c>
      <c r="L388" s="18">
        <v>161848</v>
      </c>
      <c r="M388" s="19" t="s">
        <v>16</v>
      </c>
      <c r="N388" s="19" t="s">
        <v>25</v>
      </c>
      <c r="O388" s="19" t="s">
        <v>32</v>
      </c>
      <c r="P388" s="19" t="s">
        <v>13</v>
      </c>
      <c r="Q388" s="19" t="s">
        <v>14</v>
      </c>
      <c r="R388" s="19" t="s">
        <v>15</v>
      </c>
      <c r="S388" s="19">
        <v>214767</v>
      </c>
      <c r="T388" s="77">
        <v>0</v>
      </c>
      <c r="U388" s="20">
        <v>214767</v>
      </c>
    </row>
    <row r="389" spans="1:21">
      <c r="A389" s="5">
        <v>89037</v>
      </c>
      <c r="B389" s="5" t="s">
        <v>10</v>
      </c>
      <c r="C389" s="5" t="s">
        <v>37</v>
      </c>
      <c r="D389" s="5" t="s">
        <v>30</v>
      </c>
      <c r="E389" s="5" t="s">
        <v>13</v>
      </c>
      <c r="F389" s="5" t="s">
        <v>14</v>
      </c>
      <c r="G389" s="5" t="s">
        <v>15</v>
      </c>
      <c r="H389" s="5">
        <v>64806</v>
      </c>
      <c r="I389" s="5">
        <v>1159</v>
      </c>
      <c r="J389" s="6">
        <f t="shared" si="6"/>
        <v>63647</v>
      </c>
      <c r="L389" s="21">
        <v>51805</v>
      </c>
      <c r="M389" s="22" t="s">
        <v>10</v>
      </c>
      <c r="N389" s="22" t="s">
        <v>35</v>
      </c>
      <c r="O389" s="22" t="s">
        <v>12</v>
      </c>
      <c r="P389" s="22" t="s">
        <v>19</v>
      </c>
      <c r="Q389" s="22" t="s">
        <v>14</v>
      </c>
      <c r="R389" s="22" t="s">
        <v>24</v>
      </c>
      <c r="S389" s="22">
        <v>35588</v>
      </c>
      <c r="T389" s="78">
        <v>1600</v>
      </c>
      <c r="U389" s="23">
        <v>33988</v>
      </c>
    </row>
    <row r="390" spans="1:21">
      <c r="A390" s="5">
        <v>129259</v>
      </c>
      <c r="B390" s="5" t="s">
        <v>16</v>
      </c>
      <c r="C390" s="5" t="s">
        <v>22</v>
      </c>
      <c r="D390" s="5" t="s">
        <v>36</v>
      </c>
      <c r="E390" s="5" t="s">
        <v>19</v>
      </c>
      <c r="F390" s="5" t="s">
        <v>28</v>
      </c>
      <c r="G390" s="5" t="s">
        <v>24</v>
      </c>
      <c r="H390" s="5">
        <v>35360</v>
      </c>
      <c r="I390" s="5">
        <v>9295</v>
      </c>
      <c r="J390" s="6">
        <f t="shared" si="6"/>
        <v>26065</v>
      </c>
      <c r="L390" s="18">
        <v>134073</v>
      </c>
      <c r="M390" s="19" t="s">
        <v>16</v>
      </c>
      <c r="N390" s="19" t="s">
        <v>31</v>
      </c>
      <c r="O390" s="19" t="s">
        <v>33</v>
      </c>
      <c r="P390" s="19" t="s">
        <v>19</v>
      </c>
      <c r="Q390" s="19" t="s">
        <v>14</v>
      </c>
      <c r="R390" s="19" t="s">
        <v>24</v>
      </c>
      <c r="S390" s="19">
        <v>38729</v>
      </c>
      <c r="T390" s="77">
        <v>0</v>
      </c>
      <c r="U390" s="20">
        <v>38729</v>
      </c>
    </row>
    <row r="391" spans="1:21">
      <c r="A391" s="5">
        <v>73845</v>
      </c>
      <c r="B391" s="5" t="s">
        <v>16</v>
      </c>
      <c r="C391" s="5" t="s">
        <v>11</v>
      </c>
      <c r="D391" s="5" t="s">
        <v>18</v>
      </c>
      <c r="E391" s="5" t="s">
        <v>19</v>
      </c>
      <c r="F391" s="5" t="s">
        <v>14</v>
      </c>
      <c r="G391" s="5" t="s">
        <v>24</v>
      </c>
      <c r="H391" s="5">
        <v>72218</v>
      </c>
      <c r="I391" s="5">
        <v>1140</v>
      </c>
      <c r="J391" s="6">
        <f t="shared" si="6"/>
        <v>71078</v>
      </c>
      <c r="L391" s="21">
        <v>114901</v>
      </c>
      <c r="M391" s="22" t="s">
        <v>10</v>
      </c>
      <c r="N391" s="22" t="s">
        <v>22</v>
      </c>
      <c r="O391" s="22" t="s">
        <v>32</v>
      </c>
      <c r="P391" s="22" t="s">
        <v>19</v>
      </c>
      <c r="Q391" s="22" t="s">
        <v>14</v>
      </c>
      <c r="R391" s="22" t="s">
        <v>24</v>
      </c>
      <c r="S391" s="22">
        <v>19963</v>
      </c>
      <c r="T391" s="78">
        <v>0</v>
      </c>
      <c r="U391" s="23">
        <v>19963</v>
      </c>
    </row>
    <row r="392" spans="1:21">
      <c r="A392" s="5">
        <v>67588</v>
      </c>
      <c r="B392" s="5" t="s">
        <v>10</v>
      </c>
      <c r="C392" s="5" t="s">
        <v>27</v>
      </c>
      <c r="D392" s="5" t="s">
        <v>29</v>
      </c>
      <c r="E392" s="5" t="s">
        <v>13</v>
      </c>
      <c r="F392" s="5" t="s">
        <v>28</v>
      </c>
      <c r="G392" s="5" t="s">
        <v>24</v>
      </c>
      <c r="H392" s="5">
        <v>79835</v>
      </c>
      <c r="I392" s="5">
        <v>1357</v>
      </c>
      <c r="J392" s="6">
        <f t="shared" si="6"/>
        <v>78478</v>
      </c>
      <c r="L392" s="18">
        <v>24578</v>
      </c>
      <c r="M392" s="19" t="s">
        <v>16</v>
      </c>
      <c r="N392" s="19" t="s">
        <v>11</v>
      </c>
      <c r="O392" s="19" t="s">
        <v>32</v>
      </c>
      <c r="P392" s="19" t="s">
        <v>13</v>
      </c>
      <c r="Q392" s="19" t="s">
        <v>14</v>
      </c>
      <c r="R392" s="19" t="s">
        <v>15</v>
      </c>
      <c r="S392" s="19">
        <v>33963</v>
      </c>
      <c r="T392" s="77">
        <v>0</v>
      </c>
      <c r="U392" s="20">
        <v>33963</v>
      </c>
    </row>
    <row r="393" spans="1:21">
      <c r="A393" s="5">
        <v>105731</v>
      </c>
      <c r="B393" s="5" t="s">
        <v>10</v>
      </c>
      <c r="C393" s="5" t="s">
        <v>22</v>
      </c>
      <c r="D393" s="5" t="s">
        <v>23</v>
      </c>
      <c r="E393" s="5" t="s">
        <v>13</v>
      </c>
      <c r="F393" s="5" t="s">
        <v>14</v>
      </c>
      <c r="G393" s="5" t="s">
        <v>15</v>
      </c>
      <c r="H393" s="5">
        <v>85896</v>
      </c>
      <c r="I393" s="5">
        <v>6278</v>
      </c>
      <c r="J393" s="6">
        <f t="shared" si="6"/>
        <v>79618</v>
      </c>
      <c r="L393" s="21">
        <v>78551</v>
      </c>
      <c r="M393" s="22" t="s">
        <v>16</v>
      </c>
      <c r="N393" s="22" t="s">
        <v>20</v>
      </c>
      <c r="O393" s="22" t="s">
        <v>21</v>
      </c>
      <c r="P393" s="22" t="s">
        <v>13</v>
      </c>
      <c r="Q393" s="22" t="s">
        <v>14</v>
      </c>
      <c r="R393" s="22" t="s">
        <v>15</v>
      </c>
      <c r="S393" s="22">
        <v>-192</v>
      </c>
      <c r="T393" s="78">
        <v>0</v>
      </c>
      <c r="U393" s="23">
        <v>-192</v>
      </c>
    </row>
    <row r="394" spans="1:21">
      <c r="A394" s="5">
        <v>185676</v>
      </c>
      <c r="B394" s="5" t="s">
        <v>10</v>
      </c>
      <c r="C394" s="5" t="s">
        <v>37</v>
      </c>
      <c r="D394" s="5" t="s">
        <v>12</v>
      </c>
      <c r="E394" s="5" t="s">
        <v>13</v>
      </c>
      <c r="F394" s="5" t="s">
        <v>14</v>
      </c>
      <c r="G394" s="5" t="s">
        <v>15</v>
      </c>
      <c r="H394" s="5">
        <v>51113</v>
      </c>
      <c r="I394" s="5">
        <v>1575</v>
      </c>
      <c r="J394" s="6">
        <f t="shared" si="6"/>
        <v>49538</v>
      </c>
      <c r="L394" s="18">
        <v>210996</v>
      </c>
      <c r="M394" s="19" t="s">
        <v>10</v>
      </c>
      <c r="N394" s="19" t="s">
        <v>38</v>
      </c>
      <c r="O394" s="19" t="s">
        <v>23</v>
      </c>
      <c r="P394" s="19" t="s">
        <v>13</v>
      </c>
      <c r="Q394" s="19" t="s">
        <v>14</v>
      </c>
      <c r="R394" s="19" t="s">
        <v>15</v>
      </c>
      <c r="S394" s="19">
        <v>87649</v>
      </c>
      <c r="T394" s="77">
        <v>1265</v>
      </c>
      <c r="U394" s="20">
        <v>86384</v>
      </c>
    </row>
    <row r="395" spans="1:21">
      <c r="A395" s="5">
        <v>150676</v>
      </c>
      <c r="B395" s="5" t="s">
        <v>10</v>
      </c>
      <c r="C395" s="5" t="s">
        <v>27</v>
      </c>
      <c r="D395" s="5" t="s">
        <v>23</v>
      </c>
      <c r="E395" s="5" t="s">
        <v>13</v>
      </c>
      <c r="F395" s="5" t="s">
        <v>14</v>
      </c>
      <c r="G395" s="5" t="s">
        <v>24</v>
      </c>
      <c r="H395" s="5">
        <v>50304</v>
      </c>
      <c r="I395" s="5">
        <v>8420</v>
      </c>
      <c r="J395" s="6">
        <f t="shared" si="6"/>
        <v>41884</v>
      </c>
      <c r="L395" s="21">
        <v>173575</v>
      </c>
      <c r="M395" s="22" t="s">
        <v>10</v>
      </c>
      <c r="N395" s="22" t="s">
        <v>27</v>
      </c>
      <c r="O395" s="22" t="s">
        <v>32</v>
      </c>
      <c r="P395" s="22" t="s">
        <v>13</v>
      </c>
      <c r="Q395" s="22" t="s">
        <v>14</v>
      </c>
      <c r="R395" s="22" t="s">
        <v>15</v>
      </c>
      <c r="S395" s="22">
        <v>74993</v>
      </c>
      <c r="T395" s="78">
        <v>69</v>
      </c>
      <c r="U395" s="23">
        <v>74924</v>
      </c>
    </row>
    <row r="396" spans="1:21">
      <c r="A396" s="5">
        <v>209389</v>
      </c>
      <c r="B396" s="5" t="s">
        <v>10</v>
      </c>
      <c r="C396" s="5" t="s">
        <v>38</v>
      </c>
      <c r="D396" s="5" t="s">
        <v>32</v>
      </c>
      <c r="E396" s="5" t="s">
        <v>13</v>
      </c>
      <c r="F396" s="5" t="s">
        <v>14</v>
      </c>
      <c r="G396" s="5" t="s">
        <v>15</v>
      </c>
      <c r="H396" s="5">
        <v>15571</v>
      </c>
      <c r="I396" s="5">
        <v>1705</v>
      </c>
      <c r="J396" s="6">
        <f t="shared" si="6"/>
        <v>13866</v>
      </c>
      <c r="L396" s="18">
        <v>35088</v>
      </c>
      <c r="M396" s="19" t="s">
        <v>16</v>
      </c>
      <c r="N396" s="19" t="s">
        <v>35</v>
      </c>
      <c r="O396" s="19" t="s">
        <v>32</v>
      </c>
      <c r="P396" s="19" t="s">
        <v>13</v>
      </c>
      <c r="Q396" s="19" t="s">
        <v>14</v>
      </c>
      <c r="R396" s="19" t="s">
        <v>15</v>
      </c>
      <c r="S396" s="19">
        <v>33402</v>
      </c>
      <c r="T396" s="77">
        <v>0</v>
      </c>
      <c r="U396" s="20">
        <v>33402</v>
      </c>
    </row>
    <row r="397" spans="1:21">
      <c r="A397" s="5">
        <v>143332</v>
      </c>
      <c r="B397" s="5" t="s">
        <v>10</v>
      </c>
      <c r="C397" s="5" t="s">
        <v>22</v>
      </c>
      <c r="D397" s="5" t="s">
        <v>12</v>
      </c>
      <c r="E397" s="5" t="s">
        <v>13</v>
      </c>
      <c r="F397" s="5" t="s">
        <v>14</v>
      </c>
      <c r="G397" s="5" t="s">
        <v>15</v>
      </c>
      <c r="H397" s="5">
        <v>81769</v>
      </c>
      <c r="I397" s="5">
        <v>2726</v>
      </c>
      <c r="J397" s="6">
        <f t="shared" si="6"/>
        <v>79043</v>
      </c>
      <c r="L397" s="21">
        <v>185786</v>
      </c>
      <c r="M397" s="22" t="s">
        <v>10</v>
      </c>
      <c r="N397" s="22" t="s">
        <v>39</v>
      </c>
      <c r="O397" s="22" t="s">
        <v>33</v>
      </c>
      <c r="P397" s="22" t="s">
        <v>13</v>
      </c>
      <c r="Q397" s="22" t="s">
        <v>14</v>
      </c>
      <c r="R397" s="22" t="s">
        <v>15</v>
      </c>
      <c r="S397" s="22">
        <v>39656</v>
      </c>
      <c r="T397" s="78">
        <v>344</v>
      </c>
      <c r="U397" s="23">
        <v>39312</v>
      </c>
    </row>
    <row r="398" spans="1:21">
      <c r="A398" s="5">
        <v>190050</v>
      </c>
      <c r="B398" s="5" t="s">
        <v>16</v>
      </c>
      <c r="C398" s="5" t="s">
        <v>37</v>
      </c>
      <c r="D398" s="5" t="s">
        <v>32</v>
      </c>
      <c r="E398" s="5" t="s">
        <v>19</v>
      </c>
      <c r="F398" s="5" t="s">
        <v>28</v>
      </c>
      <c r="G398" s="5" t="s">
        <v>24</v>
      </c>
      <c r="H398" s="5">
        <v>1144</v>
      </c>
      <c r="I398" s="5">
        <v>0</v>
      </c>
      <c r="J398" s="6">
        <f t="shared" si="6"/>
        <v>1144</v>
      </c>
      <c r="L398" s="18">
        <v>164270</v>
      </c>
      <c r="M398" s="19" t="s">
        <v>16</v>
      </c>
      <c r="N398" s="19" t="s">
        <v>25</v>
      </c>
      <c r="O398" s="19" t="s">
        <v>30</v>
      </c>
      <c r="P398" s="19" t="s">
        <v>19</v>
      </c>
      <c r="Q398" s="19" t="s">
        <v>14</v>
      </c>
      <c r="R398" s="19" t="s">
        <v>24</v>
      </c>
      <c r="S398" s="19">
        <v>67007</v>
      </c>
      <c r="T398" s="77">
        <v>693</v>
      </c>
      <c r="U398" s="20">
        <v>66314</v>
      </c>
    </row>
    <row r="399" spans="1:21">
      <c r="A399" s="5">
        <v>194148</v>
      </c>
      <c r="B399" s="5" t="s">
        <v>16</v>
      </c>
      <c r="C399" s="5" t="s">
        <v>34</v>
      </c>
      <c r="D399" s="5" t="s">
        <v>26</v>
      </c>
      <c r="E399" s="5" t="s">
        <v>19</v>
      </c>
      <c r="F399" s="5" t="s">
        <v>14</v>
      </c>
      <c r="G399" s="5" t="s">
        <v>24</v>
      </c>
      <c r="H399" s="5">
        <v>19039</v>
      </c>
      <c r="I399" s="5">
        <v>678</v>
      </c>
      <c r="J399" s="6">
        <f t="shared" si="6"/>
        <v>18361</v>
      </c>
      <c r="L399" s="21">
        <v>224088</v>
      </c>
      <c r="M399" s="22" t="s">
        <v>10</v>
      </c>
      <c r="N399" s="22" t="s">
        <v>25</v>
      </c>
      <c r="O399" s="22" t="s">
        <v>23</v>
      </c>
      <c r="P399" s="22" t="s">
        <v>13</v>
      </c>
      <c r="Q399" s="22" t="s">
        <v>14</v>
      </c>
      <c r="R399" s="22" t="s">
        <v>15</v>
      </c>
      <c r="S399" s="22">
        <v>75178</v>
      </c>
      <c r="T399" s="78">
        <v>902</v>
      </c>
      <c r="U399" s="23">
        <v>74276</v>
      </c>
    </row>
    <row r="400" spans="1:21">
      <c r="A400" s="5">
        <v>165016</v>
      </c>
      <c r="B400" s="5" t="s">
        <v>16</v>
      </c>
      <c r="C400" s="5" t="s">
        <v>17</v>
      </c>
      <c r="D400" s="5" t="s">
        <v>21</v>
      </c>
      <c r="E400" s="5" t="s">
        <v>19</v>
      </c>
      <c r="F400" s="5" t="s">
        <v>14</v>
      </c>
      <c r="G400" s="5" t="s">
        <v>24</v>
      </c>
      <c r="H400" s="5">
        <v>31289</v>
      </c>
      <c r="I400" s="5">
        <v>308</v>
      </c>
      <c r="J400" s="6">
        <f t="shared" si="6"/>
        <v>30981</v>
      </c>
      <c r="L400" s="18">
        <v>187047</v>
      </c>
      <c r="M400" s="19" t="s">
        <v>16</v>
      </c>
      <c r="N400" s="19" t="s">
        <v>38</v>
      </c>
      <c r="O400" s="19" t="s">
        <v>33</v>
      </c>
      <c r="P400" s="19" t="s">
        <v>13</v>
      </c>
      <c r="Q400" s="19" t="s">
        <v>14</v>
      </c>
      <c r="R400" s="19" t="s">
        <v>15</v>
      </c>
      <c r="S400" s="19">
        <v>13433</v>
      </c>
      <c r="T400" s="77">
        <v>0</v>
      </c>
      <c r="U400" s="20">
        <v>13433</v>
      </c>
    </row>
    <row r="401" spans="1:21">
      <c r="A401" s="5">
        <v>57633</v>
      </c>
      <c r="B401" s="5" t="s">
        <v>16</v>
      </c>
      <c r="C401" s="5" t="s">
        <v>11</v>
      </c>
      <c r="D401" s="5" t="s">
        <v>36</v>
      </c>
      <c r="E401" s="5" t="s">
        <v>13</v>
      </c>
      <c r="F401" s="5" t="s">
        <v>14</v>
      </c>
      <c r="G401" s="5" t="s">
        <v>24</v>
      </c>
      <c r="H401" s="5">
        <v>12492</v>
      </c>
      <c r="I401" s="5">
        <v>47</v>
      </c>
      <c r="J401" s="6">
        <f t="shared" si="6"/>
        <v>12445</v>
      </c>
      <c r="L401" s="21">
        <v>93720</v>
      </c>
      <c r="M401" s="22" t="s">
        <v>10</v>
      </c>
      <c r="N401" s="22" t="s">
        <v>20</v>
      </c>
      <c r="O401" s="22" t="s">
        <v>32</v>
      </c>
      <c r="P401" s="22" t="s">
        <v>13</v>
      </c>
      <c r="Q401" s="22" t="s">
        <v>14</v>
      </c>
      <c r="R401" s="22" t="s">
        <v>15</v>
      </c>
      <c r="S401" s="22">
        <v>17622</v>
      </c>
      <c r="T401" s="78">
        <v>603</v>
      </c>
      <c r="U401" s="23">
        <v>17019</v>
      </c>
    </row>
    <row r="402" spans="1:21">
      <c r="A402" s="5">
        <v>251900</v>
      </c>
      <c r="B402" s="5" t="s">
        <v>10</v>
      </c>
      <c r="C402" s="5" t="s">
        <v>25</v>
      </c>
      <c r="D402" s="5" t="s">
        <v>26</v>
      </c>
      <c r="E402" s="5" t="s">
        <v>19</v>
      </c>
      <c r="F402" s="5" t="s">
        <v>28</v>
      </c>
      <c r="G402" s="5" t="s">
        <v>24</v>
      </c>
      <c r="H402" s="5">
        <v>34940</v>
      </c>
      <c r="I402" s="5">
        <v>225</v>
      </c>
      <c r="J402" s="6">
        <f t="shared" si="6"/>
        <v>34715</v>
      </c>
      <c r="L402" s="18">
        <v>244437</v>
      </c>
      <c r="M402" s="19" t="s">
        <v>10</v>
      </c>
      <c r="N402" s="19" t="s">
        <v>17</v>
      </c>
      <c r="O402" s="19" t="s">
        <v>23</v>
      </c>
      <c r="P402" s="19" t="s">
        <v>19</v>
      </c>
      <c r="Q402" s="19" t="s">
        <v>14</v>
      </c>
      <c r="R402" s="19" t="s">
        <v>24</v>
      </c>
      <c r="S402" s="19">
        <v>17979</v>
      </c>
      <c r="T402" s="77">
        <v>759</v>
      </c>
      <c r="U402" s="20">
        <v>17220</v>
      </c>
    </row>
    <row r="403" spans="1:21">
      <c r="A403" s="5">
        <v>143187</v>
      </c>
      <c r="B403" s="5" t="s">
        <v>10</v>
      </c>
      <c r="C403" s="5" t="s">
        <v>38</v>
      </c>
      <c r="D403" s="5" t="s">
        <v>21</v>
      </c>
      <c r="E403" s="5" t="s">
        <v>13</v>
      </c>
      <c r="F403" s="5" t="s">
        <v>28</v>
      </c>
      <c r="G403" s="5" t="s">
        <v>15</v>
      </c>
      <c r="H403" s="5">
        <v>14743</v>
      </c>
      <c r="I403" s="5">
        <v>0</v>
      </c>
      <c r="J403" s="6">
        <f t="shared" si="6"/>
        <v>14743</v>
      </c>
      <c r="L403" s="21">
        <v>18498</v>
      </c>
      <c r="M403" s="22" t="s">
        <v>10</v>
      </c>
      <c r="N403" s="22" t="s">
        <v>11</v>
      </c>
      <c r="O403" s="22" t="s">
        <v>32</v>
      </c>
      <c r="P403" s="22" t="s">
        <v>13</v>
      </c>
      <c r="Q403" s="22" t="s">
        <v>14</v>
      </c>
      <c r="R403" s="22" t="s">
        <v>15</v>
      </c>
      <c r="S403" s="22">
        <v>23328</v>
      </c>
      <c r="T403" s="78">
        <v>413</v>
      </c>
      <c r="U403" s="23">
        <v>22915</v>
      </c>
    </row>
    <row r="404" spans="1:21">
      <c r="A404" s="5">
        <v>237902</v>
      </c>
      <c r="B404" s="5" t="s">
        <v>10</v>
      </c>
      <c r="C404" s="5" t="s">
        <v>22</v>
      </c>
      <c r="D404" s="5" t="s">
        <v>29</v>
      </c>
      <c r="E404" s="5" t="s">
        <v>13</v>
      </c>
      <c r="F404" s="5" t="s">
        <v>14</v>
      </c>
      <c r="G404" s="5" t="s">
        <v>24</v>
      </c>
      <c r="H404" s="5">
        <v>59661</v>
      </c>
      <c r="I404" s="5">
        <v>1843</v>
      </c>
      <c r="J404" s="6">
        <f t="shared" si="6"/>
        <v>57818</v>
      </c>
      <c r="L404" s="18">
        <v>243191</v>
      </c>
      <c r="M404" s="19" t="s">
        <v>16</v>
      </c>
      <c r="N404" s="19" t="s">
        <v>11</v>
      </c>
      <c r="O404" s="19" t="s">
        <v>12</v>
      </c>
      <c r="P404" s="19" t="s">
        <v>13</v>
      </c>
      <c r="Q404" s="19" t="s">
        <v>14</v>
      </c>
      <c r="R404" s="19" t="s">
        <v>24</v>
      </c>
      <c r="S404" s="19">
        <v>69146</v>
      </c>
      <c r="T404" s="77">
        <v>344</v>
      </c>
      <c r="U404" s="20">
        <v>68802</v>
      </c>
    </row>
    <row r="405" spans="1:21">
      <c r="A405" s="5">
        <v>171585</v>
      </c>
      <c r="B405" s="5" t="s">
        <v>16</v>
      </c>
      <c r="C405" s="5" t="s">
        <v>31</v>
      </c>
      <c r="D405" s="5" t="s">
        <v>21</v>
      </c>
      <c r="E405" s="5" t="s">
        <v>19</v>
      </c>
      <c r="F405" s="5" t="s">
        <v>14</v>
      </c>
      <c r="G405" s="5" t="s">
        <v>24</v>
      </c>
      <c r="H405" s="5">
        <v>37787</v>
      </c>
      <c r="I405" s="5">
        <v>0</v>
      </c>
      <c r="J405" s="6">
        <f t="shared" si="6"/>
        <v>37787</v>
      </c>
      <c r="L405" s="21">
        <v>88731</v>
      </c>
      <c r="M405" s="22" t="s">
        <v>10</v>
      </c>
      <c r="N405" s="22" t="s">
        <v>20</v>
      </c>
      <c r="O405" s="22" t="s">
        <v>32</v>
      </c>
      <c r="P405" s="22" t="s">
        <v>13</v>
      </c>
      <c r="Q405" s="22" t="s">
        <v>14</v>
      </c>
      <c r="R405" s="22" t="s">
        <v>15</v>
      </c>
      <c r="S405" s="22">
        <v>5908</v>
      </c>
      <c r="T405" s="78">
        <v>0</v>
      </c>
      <c r="U405" s="23">
        <v>5908</v>
      </c>
    </row>
    <row r="406" spans="1:21">
      <c r="A406" s="5">
        <v>132046</v>
      </c>
      <c r="B406" s="5" t="s">
        <v>16</v>
      </c>
      <c r="C406" s="5" t="s">
        <v>25</v>
      </c>
      <c r="D406" s="5" t="s">
        <v>33</v>
      </c>
      <c r="E406" s="5" t="s">
        <v>19</v>
      </c>
      <c r="F406" s="5" t="s">
        <v>14</v>
      </c>
      <c r="G406" s="5" t="s">
        <v>15</v>
      </c>
      <c r="H406" s="5">
        <v>67807</v>
      </c>
      <c r="I406" s="5">
        <v>1266</v>
      </c>
      <c r="J406" s="6">
        <f t="shared" si="6"/>
        <v>66541</v>
      </c>
      <c r="L406" s="18">
        <v>190555</v>
      </c>
      <c r="M406" s="19" t="s">
        <v>16</v>
      </c>
      <c r="N406" s="19" t="s">
        <v>34</v>
      </c>
      <c r="O406" s="19" t="s">
        <v>12</v>
      </c>
      <c r="P406" s="19" t="s">
        <v>13</v>
      </c>
      <c r="Q406" s="19" t="s">
        <v>14</v>
      </c>
      <c r="R406" s="19" t="s">
        <v>15</v>
      </c>
      <c r="S406" s="19">
        <v>19884</v>
      </c>
      <c r="T406" s="77">
        <v>0</v>
      </c>
      <c r="U406" s="20">
        <v>19884</v>
      </c>
    </row>
    <row r="407" spans="1:21">
      <c r="A407" s="5">
        <v>196833</v>
      </c>
      <c r="B407" s="5" t="s">
        <v>16</v>
      </c>
      <c r="C407" s="5" t="s">
        <v>11</v>
      </c>
      <c r="D407" s="5" t="s">
        <v>33</v>
      </c>
      <c r="E407" s="5" t="s">
        <v>13</v>
      </c>
      <c r="F407" s="5" t="s">
        <v>14</v>
      </c>
      <c r="G407" s="5" t="s">
        <v>15</v>
      </c>
      <c r="H407" s="5">
        <v>66885</v>
      </c>
      <c r="I407" s="5">
        <v>2920</v>
      </c>
      <c r="J407" s="6">
        <f t="shared" si="6"/>
        <v>63965</v>
      </c>
      <c r="L407" s="21">
        <v>108809</v>
      </c>
      <c r="M407" s="22" t="s">
        <v>10</v>
      </c>
      <c r="N407" s="22" t="s">
        <v>17</v>
      </c>
      <c r="O407" s="22" t="s">
        <v>21</v>
      </c>
      <c r="P407" s="22" t="s">
        <v>19</v>
      </c>
      <c r="Q407" s="22" t="s">
        <v>14</v>
      </c>
      <c r="R407" s="22" t="s">
        <v>24</v>
      </c>
      <c r="S407" s="22">
        <v>38875</v>
      </c>
      <c r="T407" s="78">
        <v>0</v>
      </c>
      <c r="U407" s="23">
        <v>38875</v>
      </c>
    </row>
    <row r="408" spans="1:21">
      <c r="A408" s="5">
        <v>116001</v>
      </c>
      <c r="B408" s="5" t="s">
        <v>16</v>
      </c>
      <c r="C408" s="5" t="s">
        <v>25</v>
      </c>
      <c r="D408" s="5" t="s">
        <v>30</v>
      </c>
      <c r="E408" s="5" t="s">
        <v>13</v>
      </c>
      <c r="F408" s="5" t="s">
        <v>14</v>
      </c>
      <c r="G408" s="5" t="s">
        <v>24</v>
      </c>
      <c r="H408" s="5">
        <v>32101</v>
      </c>
      <c r="I408" s="5">
        <v>375</v>
      </c>
      <c r="J408" s="6">
        <f t="shared" si="6"/>
        <v>31726</v>
      </c>
      <c r="L408" s="18">
        <v>186195</v>
      </c>
      <c r="M408" s="19" t="s">
        <v>10</v>
      </c>
      <c r="N408" s="19" t="s">
        <v>20</v>
      </c>
      <c r="O408" s="19" t="s">
        <v>32</v>
      </c>
      <c r="P408" s="19" t="s">
        <v>13</v>
      </c>
      <c r="Q408" s="19" t="s">
        <v>14</v>
      </c>
      <c r="R408" s="19" t="s">
        <v>15</v>
      </c>
      <c r="S408" s="19">
        <v>32784</v>
      </c>
      <c r="T408" s="77">
        <v>4378</v>
      </c>
      <c r="U408" s="20">
        <v>28406</v>
      </c>
    </row>
    <row r="409" spans="1:21">
      <c r="A409" s="5">
        <v>123013</v>
      </c>
      <c r="B409" s="5" t="s">
        <v>10</v>
      </c>
      <c r="C409" s="5" t="s">
        <v>25</v>
      </c>
      <c r="D409" s="5" t="s">
        <v>26</v>
      </c>
      <c r="E409" s="5" t="s">
        <v>19</v>
      </c>
      <c r="F409" s="5" t="s">
        <v>14</v>
      </c>
      <c r="G409" s="5" t="s">
        <v>24</v>
      </c>
      <c r="H409" s="5">
        <v>73390</v>
      </c>
      <c r="I409" s="5">
        <v>7469</v>
      </c>
      <c r="J409" s="6">
        <f t="shared" si="6"/>
        <v>65921</v>
      </c>
      <c r="L409" s="21">
        <v>130105</v>
      </c>
      <c r="M409" s="22" t="s">
        <v>16</v>
      </c>
      <c r="N409" s="22" t="s">
        <v>22</v>
      </c>
      <c r="O409" s="22" t="s">
        <v>36</v>
      </c>
      <c r="P409" s="22" t="s">
        <v>13</v>
      </c>
      <c r="Q409" s="22" t="s">
        <v>14</v>
      </c>
      <c r="R409" s="22" t="s">
        <v>24</v>
      </c>
      <c r="S409" s="22">
        <v>1866</v>
      </c>
      <c r="T409" s="78">
        <v>0</v>
      </c>
      <c r="U409" s="23">
        <v>1866</v>
      </c>
    </row>
    <row r="410" spans="1:21">
      <c r="A410" s="5">
        <v>152663</v>
      </c>
      <c r="B410" s="5" t="s">
        <v>16</v>
      </c>
      <c r="C410" s="5" t="s">
        <v>22</v>
      </c>
      <c r="D410" s="5" t="s">
        <v>12</v>
      </c>
      <c r="E410" s="5" t="s">
        <v>13</v>
      </c>
      <c r="F410" s="5" t="s">
        <v>14</v>
      </c>
      <c r="G410" s="5" t="s">
        <v>15</v>
      </c>
      <c r="H410" s="5">
        <v>61922</v>
      </c>
      <c r="I410" s="5">
        <v>2084</v>
      </c>
      <c r="J410" s="6">
        <f t="shared" si="6"/>
        <v>59838</v>
      </c>
      <c r="L410" s="18">
        <v>30113</v>
      </c>
      <c r="M410" s="19" t="s">
        <v>16</v>
      </c>
      <c r="N410" s="19" t="s">
        <v>35</v>
      </c>
      <c r="O410" s="19" t="s">
        <v>12</v>
      </c>
      <c r="P410" s="19" t="s">
        <v>19</v>
      </c>
      <c r="Q410" s="19" t="s">
        <v>14</v>
      </c>
      <c r="R410" s="19" t="s">
        <v>15</v>
      </c>
      <c r="S410" s="19">
        <v>81416</v>
      </c>
      <c r="T410" s="77">
        <v>7752</v>
      </c>
      <c r="U410" s="20">
        <v>73664</v>
      </c>
    </row>
    <row r="411" spans="1:21">
      <c r="A411" s="5">
        <v>84840</v>
      </c>
      <c r="B411" s="5" t="s">
        <v>10</v>
      </c>
      <c r="C411" s="5" t="s">
        <v>11</v>
      </c>
      <c r="D411" s="5" t="s">
        <v>12</v>
      </c>
      <c r="E411" s="5" t="s">
        <v>13</v>
      </c>
      <c r="F411" s="5" t="s">
        <v>14</v>
      </c>
      <c r="G411" s="5" t="s">
        <v>15</v>
      </c>
      <c r="H411" s="5">
        <v>215808</v>
      </c>
      <c r="I411" s="5">
        <v>1447</v>
      </c>
      <c r="J411" s="6">
        <f t="shared" si="6"/>
        <v>214361</v>
      </c>
      <c r="L411" s="21">
        <v>180305</v>
      </c>
      <c r="M411" s="22" t="s">
        <v>10</v>
      </c>
      <c r="N411" s="22" t="s">
        <v>31</v>
      </c>
      <c r="O411" s="22" t="s">
        <v>33</v>
      </c>
      <c r="P411" s="22" t="s">
        <v>19</v>
      </c>
      <c r="Q411" s="22" t="s">
        <v>14</v>
      </c>
      <c r="R411" s="22" t="s">
        <v>24</v>
      </c>
      <c r="S411" s="22">
        <v>18203</v>
      </c>
      <c r="T411" s="78">
        <v>0</v>
      </c>
      <c r="U411" s="23">
        <v>18203</v>
      </c>
    </row>
    <row r="412" spans="1:21">
      <c r="A412" s="5">
        <v>236789</v>
      </c>
      <c r="B412" s="5" t="s">
        <v>16</v>
      </c>
      <c r="C412" s="5" t="s">
        <v>17</v>
      </c>
      <c r="D412" s="5" t="s">
        <v>21</v>
      </c>
      <c r="E412" s="5" t="s">
        <v>19</v>
      </c>
      <c r="F412" s="5" t="s">
        <v>28</v>
      </c>
      <c r="G412" s="5" t="s">
        <v>24</v>
      </c>
      <c r="H412" s="5">
        <v>9150</v>
      </c>
      <c r="I412" s="5">
        <v>135</v>
      </c>
      <c r="J412" s="6">
        <f t="shared" si="6"/>
        <v>9015</v>
      </c>
      <c r="L412" s="18">
        <v>21972</v>
      </c>
      <c r="M412" s="19" t="s">
        <v>16</v>
      </c>
      <c r="N412" s="19" t="s">
        <v>11</v>
      </c>
      <c r="O412" s="19" t="s">
        <v>12</v>
      </c>
      <c r="P412" s="19" t="s">
        <v>13</v>
      </c>
      <c r="Q412" s="19" t="s">
        <v>14</v>
      </c>
      <c r="R412" s="19" t="s">
        <v>15</v>
      </c>
      <c r="S412" s="19">
        <v>74260</v>
      </c>
      <c r="T412" s="77">
        <v>773</v>
      </c>
      <c r="U412" s="20">
        <v>73487</v>
      </c>
    </row>
    <row r="413" spans="1:21">
      <c r="A413" s="5">
        <v>178503</v>
      </c>
      <c r="B413" s="5" t="s">
        <v>16</v>
      </c>
      <c r="C413" s="5" t="s">
        <v>22</v>
      </c>
      <c r="D413" s="5" t="s">
        <v>30</v>
      </c>
      <c r="E413" s="5" t="s">
        <v>19</v>
      </c>
      <c r="F413" s="5" t="s">
        <v>28</v>
      </c>
      <c r="G413" s="5" t="s">
        <v>24</v>
      </c>
      <c r="H413" s="5">
        <v>56215</v>
      </c>
      <c r="I413" s="5">
        <v>1479</v>
      </c>
      <c r="J413" s="6">
        <f t="shared" si="6"/>
        <v>54736</v>
      </c>
      <c r="L413" s="21">
        <v>53320</v>
      </c>
      <c r="M413" s="22" t="s">
        <v>16</v>
      </c>
      <c r="N413" s="22" t="s">
        <v>35</v>
      </c>
      <c r="O413" s="22" t="s">
        <v>30</v>
      </c>
      <c r="P413" s="22" t="s">
        <v>13</v>
      </c>
      <c r="Q413" s="22" t="s">
        <v>14</v>
      </c>
      <c r="R413" s="22" t="s">
        <v>15</v>
      </c>
      <c r="S413" s="22">
        <v>81360</v>
      </c>
      <c r="T413" s="78">
        <v>5743</v>
      </c>
      <c r="U413" s="23">
        <v>75617</v>
      </c>
    </row>
    <row r="414" spans="1:21">
      <c r="A414" s="5">
        <v>116627</v>
      </c>
      <c r="B414" s="5" t="s">
        <v>10</v>
      </c>
      <c r="C414" s="5" t="s">
        <v>27</v>
      </c>
      <c r="D414" s="5" t="s">
        <v>36</v>
      </c>
      <c r="E414" s="5" t="s">
        <v>13</v>
      </c>
      <c r="F414" s="5" t="s">
        <v>14</v>
      </c>
      <c r="G414" s="5" t="s">
        <v>24</v>
      </c>
      <c r="H414" s="5">
        <v>45100</v>
      </c>
      <c r="I414" s="5">
        <v>1343</v>
      </c>
      <c r="J414" s="6">
        <f t="shared" si="6"/>
        <v>43757</v>
      </c>
      <c r="L414" s="18">
        <v>252182</v>
      </c>
      <c r="M414" s="19" t="s">
        <v>10</v>
      </c>
      <c r="N414" s="19" t="s">
        <v>17</v>
      </c>
      <c r="O414" s="19" t="s">
        <v>21</v>
      </c>
      <c r="P414" s="19" t="s">
        <v>19</v>
      </c>
      <c r="Q414" s="19" t="s">
        <v>14</v>
      </c>
      <c r="R414" s="19" t="s">
        <v>24</v>
      </c>
      <c r="S414" s="19">
        <v>73807</v>
      </c>
      <c r="T414" s="77">
        <v>4124</v>
      </c>
      <c r="U414" s="20">
        <v>69683</v>
      </c>
    </row>
    <row r="415" spans="1:21">
      <c r="A415" s="5">
        <v>130432</v>
      </c>
      <c r="B415" s="5" t="s">
        <v>10</v>
      </c>
      <c r="C415" s="5" t="s">
        <v>25</v>
      </c>
      <c r="D415" s="5" t="s">
        <v>23</v>
      </c>
      <c r="E415" s="5" t="s">
        <v>19</v>
      </c>
      <c r="F415" s="5" t="s">
        <v>28</v>
      </c>
      <c r="G415" s="5" t="s">
        <v>15</v>
      </c>
      <c r="H415" s="5">
        <v>57408</v>
      </c>
      <c r="I415" s="5">
        <v>2133</v>
      </c>
      <c r="J415" s="6">
        <f t="shared" si="6"/>
        <v>55275</v>
      </c>
      <c r="L415" s="21">
        <v>76780</v>
      </c>
      <c r="M415" s="22" t="s">
        <v>16</v>
      </c>
      <c r="N415" s="22" t="s">
        <v>37</v>
      </c>
      <c r="O415" s="22" t="s">
        <v>12</v>
      </c>
      <c r="P415" s="22" t="s">
        <v>13</v>
      </c>
      <c r="Q415" s="22" t="s">
        <v>14</v>
      </c>
      <c r="R415" s="22" t="s">
        <v>15</v>
      </c>
      <c r="S415" s="22">
        <v>69025</v>
      </c>
      <c r="T415" s="78">
        <v>576</v>
      </c>
      <c r="U415" s="23">
        <v>68449</v>
      </c>
    </row>
    <row r="416" spans="1:21">
      <c r="A416" s="5">
        <v>16946</v>
      </c>
      <c r="B416" s="5" t="s">
        <v>10</v>
      </c>
      <c r="C416" s="5" t="s">
        <v>11</v>
      </c>
      <c r="D416" s="5" t="s">
        <v>33</v>
      </c>
      <c r="E416" s="5" t="s">
        <v>13</v>
      </c>
      <c r="F416" s="5" t="s">
        <v>14</v>
      </c>
      <c r="G416" s="5" t="s">
        <v>15</v>
      </c>
      <c r="H416" s="5">
        <v>72575</v>
      </c>
      <c r="I416" s="5">
        <v>2319</v>
      </c>
      <c r="J416" s="6">
        <f t="shared" si="6"/>
        <v>70256</v>
      </c>
      <c r="L416" s="18">
        <v>143797</v>
      </c>
      <c r="M416" s="19" t="s">
        <v>10</v>
      </c>
      <c r="N416" s="19" t="s">
        <v>27</v>
      </c>
      <c r="O416" s="19" t="s">
        <v>30</v>
      </c>
      <c r="P416" s="19" t="s">
        <v>13</v>
      </c>
      <c r="Q416" s="19" t="s">
        <v>14</v>
      </c>
      <c r="R416" s="19" t="s">
        <v>15</v>
      </c>
      <c r="S416" s="19">
        <v>185032</v>
      </c>
      <c r="T416" s="77">
        <v>14037</v>
      </c>
      <c r="U416" s="20">
        <v>170995</v>
      </c>
    </row>
    <row r="417" spans="1:21">
      <c r="A417" s="5">
        <v>156832</v>
      </c>
      <c r="B417" s="5" t="s">
        <v>16</v>
      </c>
      <c r="C417" s="5" t="s">
        <v>25</v>
      </c>
      <c r="D417" s="5" t="s">
        <v>36</v>
      </c>
      <c r="E417" s="5" t="s">
        <v>13</v>
      </c>
      <c r="F417" s="5" t="s">
        <v>14</v>
      </c>
      <c r="G417" s="5" t="s">
        <v>24</v>
      </c>
      <c r="H417" s="5">
        <v>7581</v>
      </c>
      <c r="I417" s="5">
        <v>0</v>
      </c>
      <c r="J417" s="6">
        <f t="shared" si="6"/>
        <v>7581</v>
      </c>
      <c r="L417" s="21">
        <v>311</v>
      </c>
      <c r="M417" s="22" t="s">
        <v>10</v>
      </c>
      <c r="N417" s="22" t="s">
        <v>38</v>
      </c>
      <c r="O417" s="22" t="s">
        <v>26</v>
      </c>
      <c r="P417" s="22" t="s">
        <v>13</v>
      </c>
      <c r="Q417" s="22" t="s">
        <v>14</v>
      </c>
      <c r="R417" s="22" t="s">
        <v>24</v>
      </c>
      <c r="S417" s="22">
        <v>17583</v>
      </c>
      <c r="T417" s="78">
        <v>0</v>
      </c>
      <c r="U417" s="23">
        <v>17583</v>
      </c>
    </row>
    <row r="418" spans="1:21">
      <c r="A418" s="5">
        <v>7881</v>
      </c>
      <c r="B418" s="5" t="s">
        <v>16</v>
      </c>
      <c r="C418" s="5" t="s">
        <v>37</v>
      </c>
      <c r="D418" s="5" t="s">
        <v>36</v>
      </c>
      <c r="E418" s="5" t="s">
        <v>13</v>
      </c>
      <c r="F418" s="5" t="s">
        <v>14</v>
      </c>
      <c r="G418" s="5" t="s">
        <v>15</v>
      </c>
      <c r="H418" s="5">
        <v>12457</v>
      </c>
      <c r="I418" s="5">
        <v>1625</v>
      </c>
      <c r="J418" s="6">
        <f t="shared" si="6"/>
        <v>10832</v>
      </c>
      <c r="L418" s="18">
        <v>132251</v>
      </c>
      <c r="M418" s="19" t="s">
        <v>10</v>
      </c>
      <c r="N418" s="19" t="s">
        <v>17</v>
      </c>
      <c r="O418" s="19" t="s">
        <v>21</v>
      </c>
      <c r="P418" s="19" t="s">
        <v>19</v>
      </c>
      <c r="Q418" s="19" t="s">
        <v>14</v>
      </c>
      <c r="R418" s="19" t="s">
        <v>24</v>
      </c>
      <c r="S418" s="19">
        <v>29235</v>
      </c>
      <c r="T418" s="77">
        <v>8680</v>
      </c>
      <c r="U418" s="20">
        <v>20555</v>
      </c>
    </row>
    <row r="419" spans="1:21">
      <c r="A419" s="5">
        <v>79667</v>
      </c>
      <c r="B419" s="5" t="s">
        <v>16</v>
      </c>
      <c r="C419" s="5" t="s">
        <v>38</v>
      </c>
      <c r="D419" s="5" t="s">
        <v>30</v>
      </c>
      <c r="E419" s="5" t="s">
        <v>13</v>
      </c>
      <c r="F419" s="5" t="s">
        <v>14</v>
      </c>
      <c r="G419" s="5" t="s">
        <v>15</v>
      </c>
      <c r="H419" s="5">
        <v>60686</v>
      </c>
      <c r="I419" s="5">
        <v>766</v>
      </c>
      <c r="J419" s="6">
        <f t="shared" si="6"/>
        <v>59920</v>
      </c>
      <c r="L419" s="21">
        <v>68976</v>
      </c>
      <c r="M419" s="22" t="s">
        <v>10</v>
      </c>
      <c r="N419" s="22" t="s">
        <v>27</v>
      </c>
      <c r="O419" s="22" t="s">
        <v>29</v>
      </c>
      <c r="P419" s="22" t="s">
        <v>13</v>
      </c>
      <c r="Q419" s="22" t="s">
        <v>14</v>
      </c>
      <c r="R419" s="22" t="s">
        <v>24</v>
      </c>
      <c r="S419" s="22">
        <v>54436</v>
      </c>
      <c r="T419" s="78">
        <v>541</v>
      </c>
      <c r="U419" s="23">
        <v>53895</v>
      </c>
    </row>
    <row r="420" spans="1:21">
      <c r="A420" s="5">
        <v>246133</v>
      </c>
      <c r="B420" s="5" t="s">
        <v>10</v>
      </c>
      <c r="C420" s="5" t="s">
        <v>22</v>
      </c>
      <c r="D420" s="5" t="s">
        <v>12</v>
      </c>
      <c r="E420" s="5" t="s">
        <v>19</v>
      </c>
      <c r="F420" s="5" t="s">
        <v>14</v>
      </c>
      <c r="G420" s="5" t="s">
        <v>24</v>
      </c>
      <c r="H420" s="5">
        <v>65324</v>
      </c>
      <c r="I420" s="5">
        <v>3664</v>
      </c>
      <c r="J420" s="6">
        <f t="shared" si="6"/>
        <v>61660</v>
      </c>
      <c r="L420" s="18">
        <v>53435</v>
      </c>
      <c r="M420" s="19" t="s">
        <v>10</v>
      </c>
      <c r="N420" s="19" t="s">
        <v>35</v>
      </c>
      <c r="O420" s="19" t="s">
        <v>12</v>
      </c>
      <c r="P420" s="19" t="s">
        <v>19</v>
      </c>
      <c r="Q420" s="19" t="s">
        <v>14</v>
      </c>
      <c r="R420" s="19" t="s">
        <v>24</v>
      </c>
      <c r="S420" s="19">
        <v>72866</v>
      </c>
      <c r="T420" s="77">
        <v>732</v>
      </c>
      <c r="U420" s="20">
        <v>72134</v>
      </c>
    </row>
    <row r="421" spans="1:21">
      <c r="A421" s="5">
        <v>8786</v>
      </c>
      <c r="B421" s="5" t="s">
        <v>10</v>
      </c>
      <c r="C421" s="5" t="s">
        <v>37</v>
      </c>
      <c r="D421" s="5" t="s">
        <v>12</v>
      </c>
      <c r="E421" s="5" t="s">
        <v>13</v>
      </c>
      <c r="F421" s="5" t="s">
        <v>14</v>
      </c>
      <c r="G421" s="5" t="s">
        <v>24</v>
      </c>
      <c r="H421" s="5">
        <v>84938</v>
      </c>
      <c r="I421" s="5">
        <v>3891</v>
      </c>
      <c r="J421" s="6">
        <f t="shared" si="6"/>
        <v>81047</v>
      </c>
      <c r="L421" s="21">
        <v>233092</v>
      </c>
      <c r="M421" s="22" t="s">
        <v>10</v>
      </c>
      <c r="N421" s="22" t="s">
        <v>22</v>
      </c>
      <c r="O421" s="22" t="s">
        <v>32</v>
      </c>
      <c r="P421" s="22" t="s">
        <v>13</v>
      </c>
      <c r="Q421" s="22" t="s">
        <v>14</v>
      </c>
      <c r="R421" s="22" t="s">
        <v>15</v>
      </c>
      <c r="S421" s="22">
        <v>56080</v>
      </c>
      <c r="T421" s="78">
        <v>19</v>
      </c>
      <c r="U421" s="23">
        <v>56061</v>
      </c>
    </row>
    <row r="422" spans="1:21">
      <c r="A422" s="5">
        <v>152511</v>
      </c>
      <c r="B422" s="5" t="s">
        <v>16</v>
      </c>
      <c r="C422" s="5" t="s">
        <v>22</v>
      </c>
      <c r="D422" s="5" t="s">
        <v>21</v>
      </c>
      <c r="E422" s="5" t="s">
        <v>13</v>
      </c>
      <c r="F422" s="5" t="s">
        <v>28</v>
      </c>
      <c r="G422" s="5" t="s">
        <v>15</v>
      </c>
      <c r="H422" s="5">
        <v>55</v>
      </c>
      <c r="I422" s="5">
        <v>0</v>
      </c>
      <c r="J422" s="6">
        <f t="shared" si="6"/>
        <v>55</v>
      </c>
      <c r="L422" s="18">
        <v>89886</v>
      </c>
      <c r="M422" s="19" t="s">
        <v>10</v>
      </c>
      <c r="N422" s="19" t="s">
        <v>39</v>
      </c>
      <c r="O422" s="19" t="s">
        <v>23</v>
      </c>
      <c r="P422" s="19" t="s">
        <v>13</v>
      </c>
      <c r="Q422" s="19" t="s">
        <v>14</v>
      </c>
      <c r="R422" s="19" t="s">
        <v>24</v>
      </c>
      <c r="S422" s="19">
        <v>92216</v>
      </c>
      <c r="T422" s="77">
        <v>445</v>
      </c>
      <c r="U422" s="20">
        <v>91771</v>
      </c>
    </row>
    <row r="423" spans="1:21">
      <c r="A423" s="5">
        <v>87445</v>
      </c>
      <c r="B423" s="5" t="s">
        <v>16</v>
      </c>
      <c r="C423" s="5" t="s">
        <v>38</v>
      </c>
      <c r="D423" s="5" t="s">
        <v>33</v>
      </c>
      <c r="E423" s="5" t="s">
        <v>19</v>
      </c>
      <c r="F423" s="5" t="s">
        <v>14</v>
      </c>
      <c r="G423" s="5" t="s">
        <v>24</v>
      </c>
      <c r="H423" s="5">
        <v>33227</v>
      </c>
      <c r="I423" s="5">
        <v>601</v>
      </c>
      <c r="J423" s="6">
        <f t="shared" si="6"/>
        <v>32626</v>
      </c>
      <c r="L423" s="21">
        <v>199563</v>
      </c>
      <c r="M423" s="22" t="s">
        <v>10</v>
      </c>
      <c r="N423" s="22" t="s">
        <v>38</v>
      </c>
      <c r="O423" s="22" t="s">
        <v>33</v>
      </c>
      <c r="P423" s="22" t="s">
        <v>13</v>
      </c>
      <c r="Q423" s="22" t="s">
        <v>14</v>
      </c>
      <c r="R423" s="22" t="s">
        <v>15</v>
      </c>
      <c r="S423" s="22">
        <v>101435</v>
      </c>
      <c r="T423" s="78">
        <v>582</v>
      </c>
      <c r="U423" s="23">
        <v>100853</v>
      </c>
    </row>
    <row r="424" spans="1:21">
      <c r="A424" s="5">
        <v>42275</v>
      </c>
      <c r="B424" s="5" t="s">
        <v>16</v>
      </c>
      <c r="C424" s="5" t="s">
        <v>35</v>
      </c>
      <c r="D424" s="5" t="s">
        <v>21</v>
      </c>
      <c r="E424" s="5" t="s">
        <v>13</v>
      </c>
      <c r="F424" s="5" t="s">
        <v>14</v>
      </c>
      <c r="G424" s="5" t="s">
        <v>15</v>
      </c>
      <c r="H424" s="5">
        <v>259130</v>
      </c>
      <c r="I424" s="5">
        <v>2767</v>
      </c>
      <c r="J424" s="6">
        <f t="shared" si="6"/>
        <v>256363</v>
      </c>
      <c r="L424" s="18">
        <v>66419</v>
      </c>
      <c r="M424" s="19" t="s">
        <v>16</v>
      </c>
      <c r="N424" s="19" t="s">
        <v>27</v>
      </c>
      <c r="O424" s="19" t="s">
        <v>12</v>
      </c>
      <c r="P424" s="19" t="s">
        <v>19</v>
      </c>
      <c r="Q424" s="19" t="s">
        <v>14</v>
      </c>
      <c r="R424" s="19" t="s">
        <v>24</v>
      </c>
      <c r="S424" s="19">
        <v>47949</v>
      </c>
      <c r="T424" s="77">
        <v>1474</v>
      </c>
      <c r="U424" s="20">
        <v>46475</v>
      </c>
    </row>
    <row r="425" spans="1:21">
      <c r="A425" s="5">
        <v>17240</v>
      </c>
      <c r="B425" s="5" t="s">
        <v>10</v>
      </c>
      <c r="C425" s="5" t="s">
        <v>34</v>
      </c>
      <c r="D425" s="5" t="s">
        <v>23</v>
      </c>
      <c r="E425" s="5" t="s">
        <v>19</v>
      </c>
      <c r="F425" s="5" t="s">
        <v>14</v>
      </c>
      <c r="G425" s="5" t="s">
        <v>15</v>
      </c>
      <c r="H425" s="5">
        <v>19372</v>
      </c>
      <c r="I425" s="5">
        <v>285</v>
      </c>
      <c r="J425" s="6">
        <f t="shared" si="6"/>
        <v>19087</v>
      </c>
      <c r="L425" s="21">
        <v>112035</v>
      </c>
      <c r="M425" s="22" t="s">
        <v>10</v>
      </c>
      <c r="N425" s="22" t="s">
        <v>17</v>
      </c>
      <c r="O425" s="22" t="s">
        <v>32</v>
      </c>
      <c r="P425" s="22" t="s">
        <v>19</v>
      </c>
      <c r="Q425" s="22" t="s">
        <v>14</v>
      </c>
      <c r="R425" s="22" t="s">
        <v>24</v>
      </c>
      <c r="S425" s="22">
        <v>41048</v>
      </c>
      <c r="T425" s="78">
        <v>0</v>
      </c>
      <c r="U425" s="23">
        <v>41048</v>
      </c>
    </row>
    <row r="426" spans="1:21">
      <c r="A426" s="5">
        <v>185176</v>
      </c>
      <c r="B426" s="5" t="s">
        <v>16</v>
      </c>
      <c r="C426" s="5" t="s">
        <v>11</v>
      </c>
      <c r="D426" s="5" t="s">
        <v>21</v>
      </c>
      <c r="E426" s="5" t="s">
        <v>13</v>
      </c>
      <c r="F426" s="5" t="s">
        <v>28</v>
      </c>
      <c r="G426" s="5" t="s">
        <v>15</v>
      </c>
      <c r="H426" s="5">
        <v>34027</v>
      </c>
      <c r="I426" s="5">
        <v>1431</v>
      </c>
      <c r="J426" s="6">
        <f t="shared" si="6"/>
        <v>32596</v>
      </c>
      <c r="L426" s="18">
        <v>11311</v>
      </c>
      <c r="M426" s="19" t="s">
        <v>10</v>
      </c>
      <c r="N426" s="19" t="s">
        <v>20</v>
      </c>
      <c r="O426" s="19" t="s">
        <v>32</v>
      </c>
      <c r="P426" s="19" t="s">
        <v>13</v>
      </c>
      <c r="Q426" s="19" t="s">
        <v>14</v>
      </c>
      <c r="R426" s="19" t="s">
        <v>15</v>
      </c>
      <c r="S426" s="19">
        <v>22108</v>
      </c>
      <c r="T426" s="77">
        <v>585</v>
      </c>
      <c r="U426" s="20">
        <v>21523</v>
      </c>
    </row>
    <row r="427" spans="1:21">
      <c r="A427" s="5">
        <v>141860</v>
      </c>
      <c r="B427" s="5" t="s">
        <v>16</v>
      </c>
      <c r="C427" s="5" t="s">
        <v>22</v>
      </c>
      <c r="D427" s="5" t="s">
        <v>26</v>
      </c>
      <c r="E427" s="5" t="s">
        <v>19</v>
      </c>
      <c r="F427" s="5" t="s">
        <v>28</v>
      </c>
      <c r="G427" s="5" t="s">
        <v>24</v>
      </c>
      <c r="H427" s="5">
        <v>11742</v>
      </c>
      <c r="I427" s="5">
        <v>0</v>
      </c>
      <c r="J427" s="6">
        <f t="shared" si="6"/>
        <v>11742</v>
      </c>
      <c r="L427" s="21">
        <v>197314</v>
      </c>
      <c r="M427" s="22" t="s">
        <v>16</v>
      </c>
      <c r="N427" s="22" t="s">
        <v>22</v>
      </c>
      <c r="O427" s="22" t="s">
        <v>18</v>
      </c>
      <c r="P427" s="22" t="s">
        <v>13</v>
      </c>
      <c r="Q427" s="22" t="s">
        <v>14</v>
      </c>
      <c r="R427" s="22" t="s">
        <v>15</v>
      </c>
      <c r="S427" s="22">
        <v>106867</v>
      </c>
      <c r="T427" s="78">
        <v>378</v>
      </c>
      <c r="U427" s="23">
        <v>106489</v>
      </c>
    </row>
    <row r="428" spans="1:21">
      <c r="A428" s="5">
        <v>211654</v>
      </c>
      <c r="B428" s="5" t="s">
        <v>16</v>
      </c>
      <c r="C428" s="5" t="s">
        <v>38</v>
      </c>
      <c r="D428" s="5" t="s">
        <v>36</v>
      </c>
      <c r="E428" s="5" t="s">
        <v>19</v>
      </c>
      <c r="F428" s="5" t="s">
        <v>14</v>
      </c>
      <c r="G428" s="5" t="s">
        <v>24</v>
      </c>
      <c r="H428" s="5">
        <v>47796</v>
      </c>
      <c r="I428" s="5">
        <v>670</v>
      </c>
      <c r="J428" s="6">
        <f t="shared" si="6"/>
        <v>47126</v>
      </c>
      <c r="L428" s="18">
        <v>131871</v>
      </c>
      <c r="M428" s="19" t="s">
        <v>10</v>
      </c>
      <c r="N428" s="19" t="s">
        <v>35</v>
      </c>
      <c r="O428" s="19" t="s">
        <v>26</v>
      </c>
      <c r="P428" s="19" t="s">
        <v>13</v>
      </c>
      <c r="Q428" s="19" t="s">
        <v>14</v>
      </c>
      <c r="R428" s="19" t="s">
        <v>24</v>
      </c>
      <c r="S428" s="19">
        <v>13695</v>
      </c>
      <c r="T428" s="77">
        <v>0</v>
      </c>
      <c r="U428" s="20">
        <v>13695</v>
      </c>
    </row>
    <row r="429" spans="1:21">
      <c r="A429" s="5">
        <v>190387</v>
      </c>
      <c r="B429" s="5" t="s">
        <v>10</v>
      </c>
      <c r="C429" s="5" t="s">
        <v>38</v>
      </c>
      <c r="D429" s="5" t="s">
        <v>30</v>
      </c>
      <c r="E429" s="5" t="s">
        <v>13</v>
      </c>
      <c r="F429" s="5" t="s">
        <v>14</v>
      </c>
      <c r="G429" s="5" t="s">
        <v>15</v>
      </c>
      <c r="H429" s="5">
        <v>177360</v>
      </c>
      <c r="I429" s="5">
        <v>521</v>
      </c>
      <c r="J429" s="6">
        <f t="shared" si="6"/>
        <v>176839</v>
      </c>
      <c r="L429" s="21">
        <v>187322</v>
      </c>
      <c r="M429" s="22" t="s">
        <v>10</v>
      </c>
      <c r="N429" s="22" t="s">
        <v>39</v>
      </c>
      <c r="O429" s="22" t="s">
        <v>32</v>
      </c>
      <c r="P429" s="22" t="s">
        <v>13</v>
      </c>
      <c r="Q429" s="22" t="s">
        <v>14</v>
      </c>
      <c r="R429" s="22" t="s">
        <v>24</v>
      </c>
      <c r="S429" s="22">
        <v>29608</v>
      </c>
      <c r="T429" s="78">
        <v>1642</v>
      </c>
      <c r="U429" s="23">
        <v>27966</v>
      </c>
    </row>
    <row r="430" spans="1:21">
      <c r="A430" s="5">
        <v>38387</v>
      </c>
      <c r="B430" s="5" t="s">
        <v>16</v>
      </c>
      <c r="C430" s="5" t="s">
        <v>35</v>
      </c>
      <c r="D430" s="5" t="s">
        <v>30</v>
      </c>
      <c r="E430" s="5" t="s">
        <v>19</v>
      </c>
      <c r="F430" s="5" t="s">
        <v>14</v>
      </c>
      <c r="G430" s="5" t="s">
        <v>24</v>
      </c>
      <c r="H430" s="5">
        <v>103878</v>
      </c>
      <c r="I430" s="5">
        <v>6942</v>
      </c>
      <c r="J430" s="6">
        <f t="shared" si="6"/>
        <v>96936</v>
      </c>
      <c r="L430" s="18">
        <v>85203</v>
      </c>
      <c r="M430" s="19" t="s">
        <v>10</v>
      </c>
      <c r="N430" s="19" t="s">
        <v>34</v>
      </c>
      <c r="O430" s="19" t="s">
        <v>12</v>
      </c>
      <c r="P430" s="19" t="s">
        <v>13</v>
      </c>
      <c r="Q430" s="19" t="s">
        <v>14</v>
      </c>
      <c r="R430" s="19" t="s">
        <v>15</v>
      </c>
      <c r="S430" s="19">
        <v>135187</v>
      </c>
      <c r="T430" s="77">
        <v>1483</v>
      </c>
      <c r="U430" s="20">
        <v>133704</v>
      </c>
    </row>
    <row r="431" spans="1:21">
      <c r="A431" s="5">
        <v>152262</v>
      </c>
      <c r="B431" s="5" t="s">
        <v>16</v>
      </c>
      <c r="C431" s="5" t="s">
        <v>22</v>
      </c>
      <c r="D431" s="5" t="s">
        <v>30</v>
      </c>
      <c r="E431" s="5" t="s">
        <v>19</v>
      </c>
      <c r="F431" s="5" t="s">
        <v>14</v>
      </c>
      <c r="G431" s="5" t="s">
        <v>24</v>
      </c>
      <c r="H431" s="5">
        <v>63636</v>
      </c>
      <c r="I431" s="5">
        <v>1077</v>
      </c>
      <c r="J431" s="6">
        <f t="shared" si="6"/>
        <v>62559</v>
      </c>
      <c r="L431" s="21">
        <v>224455</v>
      </c>
      <c r="M431" s="22" t="s">
        <v>16</v>
      </c>
      <c r="N431" s="22" t="s">
        <v>11</v>
      </c>
      <c r="O431" s="22" t="s">
        <v>36</v>
      </c>
      <c r="P431" s="22" t="s">
        <v>13</v>
      </c>
      <c r="Q431" s="22" t="s">
        <v>14</v>
      </c>
      <c r="R431" s="22" t="s">
        <v>15</v>
      </c>
      <c r="S431" s="22">
        <v>5448</v>
      </c>
      <c r="T431" s="78">
        <v>0</v>
      </c>
      <c r="U431" s="23">
        <v>5448</v>
      </c>
    </row>
    <row r="432" spans="1:21">
      <c r="A432" s="5">
        <v>183499</v>
      </c>
      <c r="B432" s="5" t="s">
        <v>16</v>
      </c>
      <c r="C432" s="5" t="s">
        <v>37</v>
      </c>
      <c r="D432" s="5" t="s">
        <v>33</v>
      </c>
      <c r="E432" s="5" t="s">
        <v>19</v>
      </c>
      <c r="F432" s="5" t="s">
        <v>28</v>
      </c>
      <c r="G432" s="5" t="s">
        <v>24</v>
      </c>
      <c r="H432" s="5">
        <v>38585</v>
      </c>
      <c r="I432" s="5">
        <v>737</v>
      </c>
      <c r="J432" s="6">
        <f t="shared" si="6"/>
        <v>37848</v>
      </c>
      <c r="L432" s="18">
        <v>21467</v>
      </c>
      <c r="M432" s="19" t="s">
        <v>16</v>
      </c>
      <c r="N432" s="19" t="s">
        <v>11</v>
      </c>
      <c r="O432" s="19" t="s">
        <v>12</v>
      </c>
      <c r="P432" s="19" t="s">
        <v>13</v>
      </c>
      <c r="Q432" s="19" t="s">
        <v>14</v>
      </c>
      <c r="R432" s="19" t="s">
        <v>15</v>
      </c>
      <c r="S432" s="19">
        <v>57626</v>
      </c>
      <c r="T432" s="77">
        <v>1361</v>
      </c>
      <c r="U432" s="20">
        <v>56265</v>
      </c>
    </row>
    <row r="433" spans="1:21">
      <c r="A433" s="5">
        <v>198647</v>
      </c>
      <c r="B433" s="5" t="s">
        <v>16</v>
      </c>
      <c r="C433" s="5" t="s">
        <v>34</v>
      </c>
      <c r="D433" s="5" t="s">
        <v>33</v>
      </c>
      <c r="E433" s="5" t="s">
        <v>13</v>
      </c>
      <c r="F433" s="5" t="s">
        <v>14</v>
      </c>
      <c r="G433" s="5" t="s">
        <v>15</v>
      </c>
      <c r="H433" s="5">
        <v>13962</v>
      </c>
      <c r="I433" s="5">
        <v>99</v>
      </c>
      <c r="J433" s="6">
        <f t="shared" si="6"/>
        <v>13863</v>
      </c>
      <c r="L433" s="21">
        <v>243829</v>
      </c>
      <c r="M433" s="22" t="s">
        <v>10</v>
      </c>
      <c r="N433" s="22" t="s">
        <v>25</v>
      </c>
      <c r="O433" s="22" t="s">
        <v>23</v>
      </c>
      <c r="P433" s="22" t="s">
        <v>19</v>
      </c>
      <c r="Q433" s="22" t="s">
        <v>14</v>
      </c>
      <c r="R433" s="22" t="s">
        <v>24</v>
      </c>
      <c r="S433" s="22">
        <v>21353</v>
      </c>
      <c r="T433" s="78">
        <v>318</v>
      </c>
      <c r="U433" s="23">
        <v>21035</v>
      </c>
    </row>
    <row r="434" spans="1:21">
      <c r="A434" s="5">
        <v>221411</v>
      </c>
      <c r="B434" s="5" t="s">
        <v>16</v>
      </c>
      <c r="C434" s="5" t="s">
        <v>25</v>
      </c>
      <c r="D434" s="5" t="s">
        <v>12</v>
      </c>
      <c r="E434" s="5" t="s">
        <v>19</v>
      </c>
      <c r="F434" s="5" t="s">
        <v>14</v>
      </c>
      <c r="G434" s="5" t="s">
        <v>24</v>
      </c>
      <c r="H434" s="5">
        <v>34362</v>
      </c>
      <c r="I434" s="5">
        <v>3949</v>
      </c>
      <c r="J434" s="6">
        <f t="shared" si="6"/>
        <v>30413</v>
      </c>
      <c r="L434" s="18">
        <v>144949</v>
      </c>
      <c r="M434" s="19" t="s">
        <v>16</v>
      </c>
      <c r="N434" s="19" t="s">
        <v>22</v>
      </c>
      <c r="O434" s="19" t="s">
        <v>33</v>
      </c>
      <c r="P434" s="19" t="s">
        <v>19</v>
      </c>
      <c r="Q434" s="19" t="s">
        <v>14</v>
      </c>
      <c r="R434" s="19" t="s">
        <v>24</v>
      </c>
      <c r="S434" s="19">
        <v>40308</v>
      </c>
      <c r="T434" s="77">
        <v>4473</v>
      </c>
      <c r="U434" s="20">
        <v>35835</v>
      </c>
    </row>
    <row r="435" spans="1:21">
      <c r="A435" s="5">
        <v>257043</v>
      </c>
      <c r="B435" s="5" t="s">
        <v>10</v>
      </c>
      <c r="C435" s="5" t="s">
        <v>17</v>
      </c>
      <c r="D435" s="5" t="s">
        <v>18</v>
      </c>
      <c r="E435" s="5" t="s">
        <v>19</v>
      </c>
      <c r="F435" s="5" t="s">
        <v>14</v>
      </c>
      <c r="G435" s="5" t="s">
        <v>15</v>
      </c>
      <c r="H435" s="5">
        <v>23269</v>
      </c>
      <c r="I435" s="5">
        <v>0</v>
      </c>
      <c r="J435" s="6">
        <f t="shared" si="6"/>
        <v>23269</v>
      </c>
      <c r="L435" s="21">
        <v>235712</v>
      </c>
      <c r="M435" s="22" t="s">
        <v>16</v>
      </c>
      <c r="N435" s="22" t="s">
        <v>17</v>
      </c>
      <c r="O435" s="22" t="s">
        <v>33</v>
      </c>
      <c r="P435" s="22" t="s">
        <v>19</v>
      </c>
      <c r="Q435" s="22" t="s">
        <v>14</v>
      </c>
      <c r="R435" s="22" t="s">
        <v>15</v>
      </c>
      <c r="S435" s="22">
        <v>59108</v>
      </c>
      <c r="T435" s="78">
        <v>2907</v>
      </c>
      <c r="U435" s="23">
        <v>56201</v>
      </c>
    </row>
    <row r="436" spans="1:21">
      <c r="A436" s="5">
        <v>52701</v>
      </c>
      <c r="B436" s="5" t="s">
        <v>16</v>
      </c>
      <c r="C436" s="5" t="s">
        <v>35</v>
      </c>
      <c r="D436" s="5" t="s">
        <v>36</v>
      </c>
      <c r="E436" s="5" t="s">
        <v>19</v>
      </c>
      <c r="F436" s="5" t="s">
        <v>14</v>
      </c>
      <c r="G436" s="5" t="s">
        <v>15</v>
      </c>
      <c r="H436" s="5">
        <v>81530</v>
      </c>
      <c r="I436" s="5">
        <v>3849</v>
      </c>
      <c r="J436" s="6">
        <f t="shared" si="6"/>
        <v>77681</v>
      </c>
      <c r="L436" s="18">
        <v>147336</v>
      </c>
      <c r="M436" s="19" t="s">
        <v>16</v>
      </c>
      <c r="N436" s="19" t="s">
        <v>25</v>
      </c>
      <c r="O436" s="19" t="s">
        <v>18</v>
      </c>
      <c r="P436" s="19" t="s">
        <v>13</v>
      </c>
      <c r="Q436" s="19" t="s">
        <v>14</v>
      </c>
      <c r="R436" s="19" t="s">
        <v>24</v>
      </c>
      <c r="S436" s="19">
        <v>30611</v>
      </c>
      <c r="T436" s="77">
        <v>330</v>
      </c>
      <c r="U436" s="20">
        <v>30281</v>
      </c>
    </row>
    <row r="437" spans="1:21">
      <c r="A437" s="5">
        <v>129521</v>
      </c>
      <c r="B437" s="5" t="s">
        <v>10</v>
      </c>
      <c r="C437" s="5" t="s">
        <v>22</v>
      </c>
      <c r="D437" s="5" t="s">
        <v>12</v>
      </c>
      <c r="E437" s="5" t="s">
        <v>13</v>
      </c>
      <c r="F437" s="5" t="s">
        <v>14</v>
      </c>
      <c r="G437" s="5" t="s">
        <v>15</v>
      </c>
      <c r="H437" s="5">
        <v>87487</v>
      </c>
      <c r="I437" s="5">
        <v>159</v>
      </c>
      <c r="J437" s="6">
        <f t="shared" si="6"/>
        <v>87328</v>
      </c>
      <c r="L437" s="21">
        <v>121735</v>
      </c>
      <c r="M437" s="22" t="s">
        <v>16</v>
      </c>
      <c r="N437" s="22" t="s">
        <v>11</v>
      </c>
      <c r="O437" s="22" t="s">
        <v>33</v>
      </c>
      <c r="P437" s="22" t="s">
        <v>13</v>
      </c>
      <c r="Q437" s="22" t="s">
        <v>14</v>
      </c>
      <c r="R437" s="22" t="s">
        <v>15</v>
      </c>
      <c r="S437" s="22">
        <v>63198</v>
      </c>
      <c r="T437" s="78">
        <v>1036</v>
      </c>
      <c r="U437" s="23">
        <v>62162</v>
      </c>
    </row>
    <row r="438" spans="1:21">
      <c r="A438" s="5">
        <v>135983</v>
      </c>
      <c r="B438" s="5" t="s">
        <v>10</v>
      </c>
      <c r="C438" s="5" t="s">
        <v>22</v>
      </c>
      <c r="D438" s="5" t="s">
        <v>26</v>
      </c>
      <c r="E438" s="5" t="s">
        <v>13</v>
      </c>
      <c r="F438" s="5" t="s">
        <v>14</v>
      </c>
      <c r="G438" s="5" t="s">
        <v>15</v>
      </c>
      <c r="H438" s="5">
        <v>84164</v>
      </c>
      <c r="I438" s="5">
        <v>2486</v>
      </c>
      <c r="J438" s="6">
        <f t="shared" si="6"/>
        <v>81678</v>
      </c>
      <c r="L438" s="18">
        <v>254634</v>
      </c>
      <c r="M438" s="19" t="s">
        <v>10</v>
      </c>
      <c r="N438" s="19" t="s">
        <v>25</v>
      </c>
      <c r="O438" s="19" t="s">
        <v>30</v>
      </c>
      <c r="P438" s="19" t="s">
        <v>19</v>
      </c>
      <c r="Q438" s="19" t="s">
        <v>14</v>
      </c>
      <c r="R438" s="19" t="s">
        <v>24</v>
      </c>
      <c r="S438" s="19">
        <v>42883</v>
      </c>
      <c r="T438" s="77">
        <v>3280</v>
      </c>
      <c r="U438" s="20">
        <v>39603</v>
      </c>
    </row>
    <row r="439" spans="1:21">
      <c r="A439" s="5">
        <v>203631</v>
      </c>
      <c r="B439" s="5" t="s">
        <v>16</v>
      </c>
      <c r="C439" s="5" t="s">
        <v>37</v>
      </c>
      <c r="D439" s="5" t="s">
        <v>36</v>
      </c>
      <c r="E439" s="5" t="s">
        <v>19</v>
      </c>
      <c r="F439" s="5" t="s">
        <v>14</v>
      </c>
      <c r="G439" s="5" t="s">
        <v>24</v>
      </c>
      <c r="H439" s="5">
        <v>19278</v>
      </c>
      <c r="I439" s="5">
        <v>4388</v>
      </c>
      <c r="J439" s="6">
        <f t="shared" si="6"/>
        <v>14890</v>
      </c>
      <c r="L439" s="21">
        <v>122603</v>
      </c>
      <c r="M439" s="22" t="s">
        <v>10</v>
      </c>
      <c r="N439" s="22" t="s">
        <v>25</v>
      </c>
      <c r="O439" s="22" t="s">
        <v>23</v>
      </c>
      <c r="P439" s="22" t="s">
        <v>19</v>
      </c>
      <c r="Q439" s="22" t="s">
        <v>14</v>
      </c>
      <c r="R439" s="22" t="s">
        <v>15</v>
      </c>
      <c r="S439" s="22">
        <v>119172</v>
      </c>
      <c r="T439" s="78">
        <v>1221</v>
      </c>
      <c r="U439" s="23">
        <v>117951</v>
      </c>
    </row>
    <row r="440" spans="1:21">
      <c r="A440" s="5">
        <v>45511</v>
      </c>
      <c r="B440" s="5" t="s">
        <v>16</v>
      </c>
      <c r="C440" s="5" t="s">
        <v>11</v>
      </c>
      <c r="D440" s="5" t="s">
        <v>32</v>
      </c>
      <c r="E440" s="5" t="s">
        <v>13</v>
      </c>
      <c r="F440" s="5" t="s">
        <v>14</v>
      </c>
      <c r="G440" s="5" t="s">
        <v>15</v>
      </c>
      <c r="H440" s="5">
        <v>28460</v>
      </c>
      <c r="I440" s="5">
        <v>0</v>
      </c>
      <c r="J440" s="6">
        <f t="shared" si="6"/>
        <v>28460</v>
      </c>
      <c r="L440" s="18">
        <v>243100</v>
      </c>
      <c r="M440" s="19" t="s">
        <v>16</v>
      </c>
      <c r="N440" s="19" t="s">
        <v>35</v>
      </c>
      <c r="O440" s="19" t="s">
        <v>12</v>
      </c>
      <c r="P440" s="19" t="s">
        <v>13</v>
      </c>
      <c r="Q440" s="19" t="s">
        <v>14</v>
      </c>
      <c r="R440" s="19" t="s">
        <v>15</v>
      </c>
      <c r="S440" s="19">
        <v>66396</v>
      </c>
      <c r="T440" s="77">
        <v>2218</v>
      </c>
      <c r="U440" s="20">
        <v>64178</v>
      </c>
    </row>
    <row r="441" spans="1:21">
      <c r="A441" s="5">
        <v>12027</v>
      </c>
      <c r="B441" s="5" t="s">
        <v>16</v>
      </c>
      <c r="C441" s="5" t="s">
        <v>34</v>
      </c>
      <c r="D441" s="5" t="s">
        <v>33</v>
      </c>
      <c r="E441" s="5" t="s">
        <v>13</v>
      </c>
      <c r="F441" s="5" t="s">
        <v>14</v>
      </c>
      <c r="G441" s="5" t="s">
        <v>24</v>
      </c>
      <c r="H441" s="5">
        <v>20102</v>
      </c>
      <c r="I441" s="5">
        <v>265</v>
      </c>
      <c r="J441" s="6">
        <f t="shared" si="6"/>
        <v>19837</v>
      </c>
      <c r="L441" s="21">
        <v>61103</v>
      </c>
      <c r="M441" s="22" t="s">
        <v>10</v>
      </c>
      <c r="N441" s="22" t="s">
        <v>27</v>
      </c>
      <c r="O441" s="22" t="s">
        <v>12</v>
      </c>
      <c r="P441" s="22" t="s">
        <v>13</v>
      </c>
      <c r="Q441" s="22" t="s">
        <v>14</v>
      </c>
      <c r="R441" s="22" t="s">
        <v>15</v>
      </c>
      <c r="S441" s="22">
        <v>137693</v>
      </c>
      <c r="T441" s="78">
        <v>13658</v>
      </c>
      <c r="U441" s="23">
        <v>124035</v>
      </c>
    </row>
    <row r="442" spans="1:21">
      <c r="A442" s="5">
        <v>177224</v>
      </c>
      <c r="B442" s="5" t="s">
        <v>16</v>
      </c>
      <c r="C442" s="5" t="s">
        <v>25</v>
      </c>
      <c r="D442" s="5" t="s">
        <v>33</v>
      </c>
      <c r="E442" s="5" t="s">
        <v>19</v>
      </c>
      <c r="F442" s="5" t="s">
        <v>14</v>
      </c>
      <c r="G442" s="5" t="s">
        <v>15</v>
      </c>
      <c r="H442" s="5">
        <v>86061</v>
      </c>
      <c r="I442" s="5">
        <v>7967</v>
      </c>
      <c r="J442" s="6">
        <f t="shared" si="6"/>
        <v>78094</v>
      </c>
      <c r="L442" s="18">
        <v>205433</v>
      </c>
      <c r="M442" s="19" t="s">
        <v>10</v>
      </c>
      <c r="N442" s="19" t="s">
        <v>34</v>
      </c>
      <c r="O442" s="19" t="s">
        <v>18</v>
      </c>
      <c r="P442" s="19" t="s">
        <v>13</v>
      </c>
      <c r="Q442" s="19" t="s">
        <v>14</v>
      </c>
      <c r="R442" s="19" t="s">
        <v>15</v>
      </c>
      <c r="S442" s="19">
        <v>87853</v>
      </c>
      <c r="T442" s="77">
        <v>9952</v>
      </c>
      <c r="U442" s="20">
        <v>77901</v>
      </c>
    </row>
    <row r="443" spans="1:21">
      <c r="A443" s="5">
        <v>193137</v>
      </c>
      <c r="B443" s="5" t="s">
        <v>16</v>
      </c>
      <c r="C443" s="5" t="s">
        <v>11</v>
      </c>
      <c r="D443" s="5" t="s">
        <v>33</v>
      </c>
      <c r="E443" s="5" t="s">
        <v>13</v>
      </c>
      <c r="F443" s="5" t="s">
        <v>14</v>
      </c>
      <c r="G443" s="5" t="s">
        <v>24</v>
      </c>
      <c r="H443" s="5">
        <v>34008</v>
      </c>
      <c r="I443" s="5">
        <v>409</v>
      </c>
      <c r="J443" s="6">
        <f t="shared" si="6"/>
        <v>33599</v>
      </c>
      <c r="L443" s="21">
        <v>201186</v>
      </c>
      <c r="M443" s="22" t="s">
        <v>10</v>
      </c>
      <c r="N443" s="22" t="s">
        <v>38</v>
      </c>
      <c r="O443" s="22" t="s">
        <v>18</v>
      </c>
      <c r="P443" s="22" t="s">
        <v>19</v>
      </c>
      <c r="Q443" s="22" t="s">
        <v>14</v>
      </c>
      <c r="R443" s="22" t="s">
        <v>15</v>
      </c>
      <c r="S443" s="22">
        <v>9631</v>
      </c>
      <c r="T443" s="78">
        <v>1085</v>
      </c>
      <c r="U443" s="23">
        <v>8546</v>
      </c>
    </row>
    <row r="444" spans="1:21">
      <c r="A444" s="5">
        <v>74519</v>
      </c>
      <c r="B444" s="5" t="s">
        <v>16</v>
      </c>
      <c r="C444" s="5" t="s">
        <v>27</v>
      </c>
      <c r="D444" s="5" t="s">
        <v>30</v>
      </c>
      <c r="E444" s="5" t="s">
        <v>13</v>
      </c>
      <c r="F444" s="5" t="s">
        <v>14</v>
      </c>
      <c r="G444" s="5" t="s">
        <v>15</v>
      </c>
      <c r="H444" s="5">
        <v>65604</v>
      </c>
      <c r="I444" s="5">
        <v>15205</v>
      </c>
      <c r="J444" s="6">
        <f t="shared" si="6"/>
        <v>50399</v>
      </c>
      <c r="L444" s="18">
        <v>193407</v>
      </c>
      <c r="M444" s="19" t="s">
        <v>10</v>
      </c>
      <c r="N444" s="19" t="s">
        <v>34</v>
      </c>
      <c r="O444" s="19" t="s">
        <v>29</v>
      </c>
      <c r="P444" s="19" t="s">
        <v>13</v>
      </c>
      <c r="Q444" s="19" t="s">
        <v>14</v>
      </c>
      <c r="R444" s="19" t="s">
        <v>24</v>
      </c>
      <c r="S444" s="19">
        <v>80250</v>
      </c>
      <c r="T444" s="77">
        <v>20903</v>
      </c>
      <c r="U444" s="20">
        <v>59347</v>
      </c>
    </row>
    <row r="445" spans="1:21">
      <c r="A445" s="5">
        <v>26341</v>
      </c>
      <c r="B445" s="5" t="s">
        <v>16</v>
      </c>
      <c r="C445" s="5" t="s">
        <v>20</v>
      </c>
      <c r="D445" s="5" t="s">
        <v>32</v>
      </c>
      <c r="E445" s="5" t="s">
        <v>13</v>
      </c>
      <c r="F445" s="5" t="s">
        <v>28</v>
      </c>
      <c r="G445" s="5" t="s">
        <v>24</v>
      </c>
      <c r="H445" s="5">
        <v>23041</v>
      </c>
      <c r="I445" s="5">
        <v>0</v>
      </c>
      <c r="J445" s="6">
        <f t="shared" si="6"/>
        <v>23041</v>
      </c>
      <c r="L445" s="21">
        <v>1849</v>
      </c>
      <c r="M445" s="22" t="s">
        <v>10</v>
      </c>
      <c r="N445" s="22" t="s">
        <v>39</v>
      </c>
      <c r="O445" s="22" t="s">
        <v>23</v>
      </c>
      <c r="P445" s="22" t="s">
        <v>13</v>
      </c>
      <c r="Q445" s="22" t="s">
        <v>14</v>
      </c>
      <c r="R445" s="22" t="s">
        <v>15</v>
      </c>
      <c r="S445" s="22">
        <v>34933</v>
      </c>
      <c r="T445" s="78">
        <v>1920</v>
      </c>
      <c r="U445" s="23">
        <v>33013</v>
      </c>
    </row>
    <row r="446" spans="1:21">
      <c r="A446" s="5">
        <v>166089</v>
      </c>
      <c r="B446" s="5" t="s">
        <v>10</v>
      </c>
      <c r="C446" s="5" t="s">
        <v>27</v>
      </c>
      <c r="D446" s="5" t="s">
        <v>23</v>
      </c>
      <c r="E446" s="5" t="s">
        <v>19</v>
      </c>
      <c r="F446" s="5" t="s">
        <v>28</v>
      </c>
      <c r="G446" s="5" t="s">
        <v>15</v>
      </c>
      <c r="H446" s="5">
        <v>49826</v>
      </c>
      <c r="I446" s="5">
        <v>257</v>
      </c>
      <c r="J446" s="6">
        <f t="shared" si="6"/>
        <v>49569</v>
      </c>
      <c r="L446" s="18">
        <v>29995</v>
      </c>
      <c r="M446" s="19" t="s">
        <v>16</v>
      </c>
      <c r="N446" s="19" t="s">
        <v>35</v>
      </c>
      <c r="O446" s="19" t="s">
        <v>33</v>
      </c>
      <c r="P446" s="19" t="s">
        <v>13</v>
      </c>
      <c r="Q446" s="19" t="s">
        <v>14</v>
      </c>
      <c r="R446" s="19" t="s">
        <v>15</v>
      </c>
      <c r="S446" s="19">
        <v>237801</v>
      </c>
      <c r="T446" s="77">
        <v>832</v>
      </c>
      <c r="U446" s="20">
        <v>236969</v>
      </c>
    </row>
    <row r="447" spans="1:21">
      <c r="A447" s="5">
        <v>121980</v>
      </c>
      <c r="B447" s="5" t="s">
        <v>16</v>
      </c>
      <c r="C447" s="5" t="s">
        <v>22</v>
      </c>
      <c r="D447" s="5" t="s">
        <v>33</v>
      </c>
      <c r="E447" s="5" t="s">
        <v>19</v>
      </c>
      <c r="F447" s="5" t="s">
        <v>14</v>
      </c>
      <c r="G447" s="5" t="s">
        <v>15</v>
      </c>
      <c r="H447" s="5">
        <v>53978</v>
      </c>
      <c r="I447" s="5">
        <v>3983</v>
      </c>
      <c r="J447" s="6">
        <f t="shared" si="6"/>
        <v>49995</v>
      </c>
      <c r="L447" s="21">
        <v>167309</v>
      </c>
      <c r="M447" s="22" t="s">
        <v>16</v>
      </c>
      <c r="N447" s="22" t="s">
        <v>22</v>
      </c>
      <c r="O447" s="22" t="s">
        <v>33</v>
      </c>
      <c r="P447" s="22" t="s">
        <v>13</v>
      </c>
      <c r="Q447" s="22" t="s">
        <v>14</v>
      </c>
      <c r="R447" s="22" t="s">
        <v>15</v>
      </c>
      <c r="S447" s="22">
        <v>81663</v>
      </c>
      <c r="T447" s="78">
        <v>1090</v>
      </c>
      <c r="U447" s="23">
        <v>80573</v>
      </c>
    </row>
    <row r="448" spans="1:21">
      <c r="A448" s="5">
        <v>71975</v>
      </c>
      <c r="B448" s="5" t="s">
        <v>16</v>
      </c>
      <c r="C448" s="5" t="s">
        <v>27</v>
      </c>
      <c r="D448" s="5" t="s">
        <v>30</v>
      </c>
      <c r="E448" s="5" t="s">
        <v>19</v>
      </c>
      <c r="F448" s="5" t="s">
        <v>28</v>
      </c>
      <c r="G448" s="5" t="s">
        <v>15</v>
      </c>
      <c r="H448" s="5">
        <v>45598</v>
      </c>
      <c r="I448" s="5">
        <v>4271</v>
      </c>
      <c r="J448" s="6">
        <f t="shared" si="6"/>
        <v>41327</v>
      </c>
      <c r="L448" s="18">
        <v>184813</v>
      </c>
      <c r="M448" s="19" t="s">
        <v>10</v>
      </c>
      <c r="N448" s="19" t="s">
        <v>34</v>
      </c>
      <c r="O448" s="19" t="s">
        <v>32</v>
      </c>
      <c r="P448" s="19" t="s">
        <v>19</v>
      </c>
      <c r="Q448" s="19" t="s">
        <v>14</v>
      </c>
      <c r="R448" s="19" t="s">
        <v>15</v>
      </c>
      <c r="S448" s="19">
        <v>91021</v>
      </c>
      <c r="T448" s="77">
        <v>865</v>
      </c>
      <c r="U448" s="20">
        <v>90156</v>
      </c>
    </row>
    <row r="449" spans="1:21">
      <c r="A449" s="5">
        <v>46864</v>
      </c>
      <c r="B449" s="5" t="s">
        <v>16</v>
      </c>
      <c r="C449" s="5" t="s">
        <v>34</v>
      </c>
      <c r="D449" s="5" t="s">
        <v>12</v>
      </c>
      <c r="E449" s="5" t="s">
        <v>19</v>
      </c>
      <c r="F449" s="5" t="s">
        <v>14</v>
      </c>
      <c r="G449" s="5" t="s">
        <v>15</v>
      </c>
      <c r="H449" s="5">
        <v>16347</v>
      </c>
      <c r="I449" s="5">
        <v>0</v>
      </c>
      <c r="J449" s="6">
        <f t="shared" si="6"/>
        <v>16347</v>
      </c>
      <c r="L449" s="21">
        <v>169601</v>
      </c>
      <c r="M449" s="22" t="s">
        <v>16</v>
      </c>
      <c r="N449" s="22" t="s">
        <v>34</v>
      </c>
      <c r="O449" s="22" t="s">
        <v>32</v>
      </c>
      <c r="P449" s="22" t="s">
        <v>19</v>
      </c>
      <c r="Q449" s="22" t="s">
        <v>14</v>
      </c>
      <c r="R449" s="22" t="s">
        <v>15</v>
      </c>
      <c r="S449" s="22">
        <v>4044</v>
      </c>
      <c r="T449" s="78">
        <v>378</v>
      </c>
      <c r="U449" s="23">
        <v>3666</v>
      </c>
    </row>
    <row r="450" spans="1:21">
      <c r="A450" s="5">
        <v>234024</v>
      </c>
      <c r="B450" s="5" t="s">
        <v>16</v>
      </c>
      <c r="C450" s="5" t="s">
        <v>17</v>
      </c>
      <c r="D450" s="5" t="s">
        <v>21</v>
      </c>
      <c r="E450" s="5" t="s">
        <v>13</v>
      </c>
      <c r="F450" s="5" t="s">
        <v>28</v>
      </c>
      <c r="G450" s="5" t="s">
        <v>24</v>
      </c>
      <c r="H450" s="5">
        <v>52820</v>
      </c>
      <c r="I450" s="5">
        <v>1692</v>
      </c>
      <c r="J450" s="6">
        <f t="shared" ref="J450:J513" si="7">H450-I450</f>
        <v>51128</v>
      </c>
      <c r="L450" s="18">
        <v>54095</v>
      </c>
      <c r="M450" s="19" t="s">
        <v>16</v>
      </c>
      <c r="N450" s="19" t="s">
        <v>35</v>
      </c>
      <c r="O450" s="19" t="s">
        <v>33</v>
      </c>
      <c r="P450" s="19" t="s">
        <v>13</v>
      </c>
      <c r="Q450" s="19" t="s">
        <v>14</v>
      </c>
      <c r="R450" s="19" t="s">
        <v>15</v>
      </c>
      <c r="S450" s="19">
        <v>5990</v>
      </c>
      <c r="T450" s="77">
        <v>271</v>
      </c>
      <c r="U450" s="20">
        <v>5719</v>
      </c>
    </row>
    <row r="451" spans="1:21">
      <c r="A451" s="5">
        <v>94855</v>
      </c>
      <c r="B451" s="5" t="s">
        <v>10</v>
      </c>
      <c r="C451" s="5" t="s">
        <v>37</v>
      </c>
      <c r="D451" s="5" t="s">
        <v>12</v>
      </c>
      <c r="E451" s="5" t="s">
        <v>13</v>
      </c>
      <c r="F451" s="5" t="s">
        <v>28</v>
      </c>
      <c r="G451" s="5" t="s">
        <v>15</v>
      </c>
      <c r="H451" s="5">
        <v>196896</v>
      </c>
      <c r="I451" s="5">
        <v>2282</v>
      </c>
      <c r="J451" s="6">
        <f t="shared" si="7"/>
        <v>194614</v>
      </c>
      <c r="L451" s="21">
        <v>169039</v>
      </c>
      <c r="M451" s="22" t="s">
        <v>10</v>
      </c>
      <c r="N451" s="22" t="s">
        <v>38</v>
      </c>
      <c r="O451" s="22" t="s">
        <v>21</v>
      </c>
      <c r="P451" s="22" t="s">
        <v>19</v>
      </c>
      <c r="Q451" s="22" t="s">
        <v>14</v>
      </c>
      <c r="R451" s="22" t="s">
        <v>24</v>
      </c>
      <c r="S451" s="22">
        <v>62292</v>
      </c>
      <c r="T451" s="78">
        <v>896</v>
      </c>
      <c r="U451" s="23">
        <v>61396</v>
      </c>
    </row>
    <row r="452" spans="1:21">
      <c r="A452" s="5">
        <v>72779</v>
      </c>
      <c r="B452" s="5" t="s">
        <v>10</v>
      </c>
      <c r="C452" s="5" t="s">
        <v>27</v>
      </c>
      <c r="D452" s="5" t="s">
        <v>23</v>
      </c>
      <c r="E452" s="5" t="s">
        <v>13</v>
      </c>
      <c r="F452" s="5" t="s">
        <v>14</v>
      </c>
      <c r="G452" s="5" t="s">
        <v>15</v>
      </c>
      <c r="H452" s="5">
        <v>68475</v>
      </c>
      <c r="I452" s="5">
        <v>1263</v>
      </c>
      <c r="J452" s="6">
        <f t="shared" si="7"/>
        <v>67212</v>
      </c>
      <c r="L452" s="18">
        <v>204571</v>
      </c>
      <c r="M452" s="19" t="s">
        <v>16</v>
      </c>
      <c r="N452" s="19" t="s">
        <v>34</v>
      </c>
      <c r="O452" s="19" t="s">
        <v>30</v>
      </c>
      <c r="P452" s="19" t="s">
        <v>19</v>
      </c>
      <c r="Q452" s="19" t="s">
        <v>14</v>
      </c>
      <c r="R452" s="19" t="s">
        <v>24</v>
      </c>
      <c r="S452" s="19">
        <v>105916</v>
      </c>
      <c r="T452" s="77">
        <v>2762</v>
      </c>
      <c r="U452" s="20">
        <v>103154</v>
      </c>
    </row>
    <row r="453" spans="1:21">
      <c r="A453" s="5">
        <v>223660</v>
      </c>
      <c r="B453" s="5" t="s">
        <v>16</v>
      </c>
      <c r="C453" s="5" t="s">
        <v>25</v>
      </c>
      <c r="D453" s="5" t="s">
        <v>18</v>
      </c>
      <c r="E453" s="5" t="s">
        <v>19</v>
      </c>
      <c r="F453" s="5" t="s">
        <v>14</v>
      </c>
      <c r="G453" s="5" t="s">
        <v>24</v>
      </c>
      <c r="H453" s="5">
        <v>22999</v>
      </c>
      <c r="I453" s="5">
        <v>105</v>
      </c>
      <c r="J453" s="6">
        <f t="shared" si="7"/>
        <v>22894</v>
      </c>
      <c r="L453" s="21">
        <v>60814</v>
      </c>
      <c r="M453" s="22" t="s">
        <v>16</v>
      </c>
      <c r="N453" s="22" t="s">
        <v>11</v>
      </c>
      <c r="O453" s="22" t="s">
        <v>33</v>
      </c>
      <c r="P453" s="22" t="s">
        <v>13</v>
      </c>
      <c r="Q453" s="22" t="s">
        <v>14</v>
      </c>
      <c r="R453" s="22" t="s">
        <v>15</v>
      </c>
      <c r="S453" s="22">
        <v>47672</v>
      </c>
      <c r="T453" s="78">
        <v>140</v>
      </c>
      <c r="U453" s="23">
        <v>47532</v>
      </c>
    </row>
    <row r="454" spans="1:21">
      <c r="A454" s="5">
        <v>127595</v>
      </c>
      <c r="B454" s="5" t="s">
        <v>10</v>
      </c>
      <c r="C454" s="5" t="s">
        <v>34</v>
      </c>
      <c r="D454" s="5" t="s">
        <v>30</v>
      </c>
      <c r="E454" s="5" t="s">
        <v>13</v>
      </c>
      <c r="F454" s="5" t="s">
        <v>28</v>
      </c>
      <c r="G454" s="5" t="s">
        <v>15</v>
      </c>
      <c r="H454" s="5">
        <v>112532</v>
      </c>
      <c r="I454" s="5">
        <v>2038</v>
      </c>
      <c r="J454" s="6">
        <f t="shared" si="7"/>
        <v>110494</v>
      </c>
      <c r="L454" s="18">
        <v>16942</v>
      </c>
      <c r="M454" s="19" t="s">
        <v>16</v>
      </c>
      <c r="N454" s="19" t="s">
        <v>20</v>
      </c>
      <c r="O454" s="19" t="s">
        <v>32</v>
      </c>
      <c r="P454" s="19" t="s">
        <v>13</v>
      </c>
      <c r="Q454" s="19" t="s">
        <v>14</v>
      </c>
      <c r="R454" s="19" t="s">
        <v>15</v>
      </c>
      <c r="S454" s="19">
        <v>24936</v>
      </c>
      <c r="T454" s="77">
        <v>0</v>
      </c>
      <c r="U454" s="20">
        <v>24936</v>
      </c>
    </row>
    <row r="455" spans="1:21">
      <c r="A455" s="5">
        <v>183779</v>
      </c>
      <c r="B455" s="5" t="s">
        <v>10</v>
      </c>
      <c r="C455" s="5" t="s">
        <v>37</v>
      </c>
      <c r="D455" s="5" t="s">
        <v>36</v>
      </c>
      <c r="E455" s="5" t="s">
        <v>19</v>
      </c>
      <c r="F455" s="5" t="s">
        <v>14</v>
      </c>
      <c r="G455" s="5" t="s">
        <v>24</v>
      </c>
      <c r="H455" s="5">
        <v>70096</v>
      </c>
      <c r="I455" s="5">
        <v>1626</v>
      </c>
      <c r="J455" s="6">
        <f t="shared" si="7"/>
        <v>68470</v>
      </c>
      <c r="L455" s="21">
        <v>7186</v>
      </c>
      <c r="M455" s="22" t="s">
        <v>16</v>
      </c>
      <c r="N455" s="22" t="s">
        <v>38</v>
      </c>
      <c r="O455" s="22" t="s">
        <v>32</v>
      </c>
      <c r="P455" s="22" t="s">
        <v>13</v>
      </c>
      <c r="Q455" s="22" t="s">
        <v>14</v>
      </c>
      <c r="R455" s="22" t="s">
        <v>15</v>
      </c>
      <c r="S455" s="22">
        <v>39321</v>
      </c>
      <c r="T455" s="78">
        <v>5554</v>
      </c>
      <c r="U455" s="23">
        <v>33767</v>
      </c>
    </row>
    <row r="456" spans="1:21">
      <c r="A456" s="5">
        <v>236263</v>
      </c>
      <c r="B456" s="5" t="s">
        <v>10</v>
      </c>
      <c r="C456" s="5" t="s">
        <v>17</v>
      </c>
      <c r="D456" s="5" t="s">
        <v>36</v>
      </c>
      <c r="E456" s="5" t="s">
        <v>19</v>
      </c>
      <c r="F456" s="5" t="s">
        <v>28</v>
      </c>
      <c r="G456" s="5" t="s">
        <v>24</v>
      </c>
      <c r="H456" s="5">
        <v>51388</v>
      </c>
      <c r="I456" s="5">
        <v>0</v>
      </c>
      <c r="J456" s="6">
        <f t="shared" si="7"/>
        <v>51388</v>
      </c>
      <c r="L456" s="18">
        <v>70782</v>
      </c>
      <c r="M456" s="19" t="s">
        <v>16</v>
      </c>
      <c r="N456" s="19" t="s">
        <v>35</v>
      </c>
      <c r="O456" s="19" t="s">
        <v>32</v>
      </c>
      <c r="P456" s="19" t="s">
        <v>13</v>
      </c>
      <c r="Q456" s="19" t="s">
        <v>14</v>
      </c>
      <c r="R456" s="19" t="s">
        <v>15</v>
      </c>
      <c r="S456" s="19">
        <v>31208</v>
      </c>
      <c r="T456" s="77">
        <v>0</v>
      </c>
      <c r="U456" s="20">
        <v>31208</v>
      </c>
    </row>
    <row r="457" spans="1:21">
      <c r="A457" s="5">
        <v>218730</v>
      </c>
      <c r="B457" s="5" t="s">
        <v>10</v>
      </c>
      <c r="C457" s="5" t="s">
        <v>34</v>
      </c>
      <c r="D457" s="5" t="s">
        <v>33</v>
      </c>
      <c r="E457" s="5" t="s">
        <v>13</v>
      </c>
      <c r="F457" s="5" t="s">
        <v>14</v>
      </c>
      <c r="G457" s="5" t="s">
        <v>24</v>
      </c>
      <c r="H457" s="5">
        <v>80691</v>
      </c>
      <c r="I457" s="5">
        <v>1091</v>
      </c>
      <c r="J457" s="6">
        <f t="shared" si="7"/>
        <v>79600</v>
      </c>
      <c r="L457" s="21">
        <v>96703</v>
      </c>
      <c r="M457" s="22" t="s">
        <v>16</v>
      </c>
      <c r="N457" s="22" t="s">
        <v>37</v>
      </c>
      <c r="O457" s="22" t="s">
        <v>36</v>
      </c>
      <c r="P457" s="22" t="s">
        <v>13</v>
      </c>
      <c r="Q457" s="22" t="s">
        <v>14</v>
      </c>
      <c r="R457" s="22" t="s">
        <v>15</v>
      </c>
      <c r="S457" s="22">
        <v>83915</v>
      </c>
      <c r="T457" s="78">
        <v>867</v>
      </c>
      <c r="U457" s="23">
        <v>83048</v>
      </c>
    </row>
    <row r="458" spans="1:21">
      <c r="A458" s="5">
        <v>244216</v>
      </c>
      <c r="B458" s="5" t="s">
        <v>16</v>
      </c>
      <c r="C458" s="5" t="s">
        <v>35</v>
      </c>
      <c r="D458" s="5" t="s">
        <v>32</v>
      </c>
      <c r="E458" s="5" t="s">
        <v>13</v>
      </c>
      <c r="F458" s="5" t="s">
        <v>14</v>
      </c>
      <c r="G458" s="5" t="s">
        <v>24</v>
      </c>
      <c r="H458" s="5">
        <v>12875</v>
      </c>
      <c r="I458" s="5">
        <v>0</v>
      </c>
      <c r="J458" s="6">
        <f t="shared" si="7"/>
        <v>12875</v>
      </c>
      <c r="L458" s="18">
        <v>16984</v>
      </c>
      <c r="M458" s="19" t="s">
        <v>10</v>
      </c>
      <c r="N458" s="19" t="s">
        <v>11</v>
      </c>
      <c r="O458" s="19" t="s">
        <v>33</v>
      </c>
      <c r="P458" s="19" t="s">
        <v>13</v>
      </c>
      <c r="Q458" s="19" t="s">
        <v>14</v>
      </c>
      <c r="R458" s="19" t="s">
        <v>15</v>
      </c>
      <c r="S458" s="19">
        <v>145000</v>
      </c>
      <c r="T458" s="77">
        <v>5396</v>
      </c>
      <c r="U458" s="20">
        <v>139604</v>
      </c>
    </row>
    <row r="459" spans="1:21">
      <c r="A459" s="5">
        <v>175921</v>
      </c>
      <c r="B459" s="5" t="s">
        <v>16</v>
      </c>
      <c r="C459" s="5" t="s">
        <v>25</v>
      </c>
      <c r="D459" s="5" t="s">
        <v>30</v>
      </c>
      <c r="E459" s="5" t="s">
        <v>13</v>
      </c>
      <c r="F459" s="5" t="s">
        <v>28</v>
      </c>
      <c r="G459" s="5" t="s">
        <v>15</v>
      </c>
      <c r="H459" s="5">
        <v>66797</v>
      </c>
      <c r="I459" s="5">
        <v>1379</v>
      </c>
      <c r="J459" s="6">
        <f t="shared" si="7"/>
        <v>65418</v>
      </c>
      <c r="L459" s="21">
        <v>237682</v>
      </c>
      <c r="M459" s="22" t="s">
        <v>10</v>
      </c>
      <c r="N459" s="22" t="s">
        <v>25</v>
      </c>
      <c r="O459" s="22" t="s">
        <v>23</v>
      </c>
      <c r="P459" s="22" t="s">
        <v>19</v>
      </c>
      <c r="Q459" s="22" t="s">
        <v>14</v>
      </c>
      <c r="R459" s="22" t="s">
        <v>24</v>
      </c>
      <c r="S459" s="22">
        <v>48411</v>
      </c>
      <c r="T459" s="78">
        <v>5010</v>
      </c>
      <c r="U459" s="23">
        <v>43401</v>
      </c>
    </row>
    <row r="460" spans="1:21">
      <c r="A460" s="5">
        <v>169547</v>
      </c>
      <c r="B460" s="5" t="s">
        <v>10</v>
      </c>
      <c r="C460" s="5" t="s">
        <v>35</v>
      </c>
      <c r="D460" s="5" t="s">
        <v>29</v>
      </c>
      <c r="E460" s="5" t="s">
        <v>13</v>
      </c>
      <c r="F460" s="5" t="s">
        <v>28</v>
      </c>
      <c r="G460" s="5" t="s">
        <v>15</v>
      </c>
      <c r="H460" s="5">
        <v>60159</v>
      </c>
      <c r="I460" s="5">
        <v>0</v>
      </c>
      <c r="J460" s="6">
        <f t="shared" si="7"/>
        <v>60159</v>
      </c>
      <c r="L460" s="18">
        <v>216659</v>
      </c>
      <c r="M460" s="19" t="s">
        <v>16</v>
      </c>
      <c r="N460" s="19" t="s">
        <v>34</v>
      </c>
      <c r="O460" s="19" t="s">
        <v>18</v>
      </c>
      <c r="P460" s="19" t="s">
        <v>13</v>
      </c>
      <c r="Q460" s="19" t="s">
        <v>14</v>
      </c>
      <c r="R460" s="19" t="s">
        <v>15</v>
      </c>
      <c r="S460" s="19">
        <v>40311</v>
      </c>
      <c r="T460" s="77">
        <v>232</v>
      </c>
      <c r="U460" s="20">
        <v>40079</v>
      </c>
    </row>
    <row r="461" spans="1:21">
      <c r="A461" s="5">
        <v>149381</v>
      </c>
      <c r="B461" s="5" t="s">
        <v>10</v>
      </c>
      <c r="C461" s="5" t="s">
        <v>25</v>
      </c>
      <c r="D461" s="5" t="s">
        <v>18</v>
      </c>
      <c r="E461" s="5" t="s">
        <v>19</v>
      </c>
      <c r="F461" s="5" t="s">
        <v>14</v>
      </c>
      <c r="G461" s="5" t="s">
        <v>24</v>
      </c>
      <c r="H461" s="5">
        <v>2731</v>
      </c>
      <c r="I461" s="5">
        <v>0</v>
      </c>
      <c r="J461" s="6">
        <f t="shared" si="7"/>
        <v>2731</v>
      </c>
      <c r="L461" s="21">
        <v>19279</v>
      </c>
      <c r="M461" s="22" t="s">
        <v>10</v>
      </c>
      <c r="N461" s="22" t="s">
        <v>11</v>
      </c>
      <c r="O461" s="22" t="s">
        <v>23</v>
      </c>
      <c r="P461" s="22" t="s">
        <v>13</v>
      </c>
      <c r="Q461" s="22" t="s">
        <v>14</v>
      </c>
      <c r="R461" s="22" t="s">
        <v>24</v>
      </c>
      <c r="S461" s="22">
        <v>105741</v>
      </c>
      <c r="T461" s="78">
        <v>8422</v>
      </c>
      <c r="U461" s="23">
        <v>97319</v>
      </c>
    </row>
    <row r="462" spans="1:21">
      <c r="A462" s="5">
        <v>87906</v>
      </c>
      <c r="B462" s="5" t="s">
        <v>16</v>
      </c>
      <c r="C462" s="5" t="s">
        <v>39</v>
      </c>
      <c r="D462" s="5" t="s">
        <v>36</v>
      </c>
      <c r="E462" s="5" t="s">
        <v>19</v>
      </c>
      <c r="F462" s="5" t="s">
        <v>14</v>
      </c>
      <c r="G462" s="5" t="s">
        <v>15</v>
      </c>
      <c r="H462" s="5">
        <v>60031</v>
      </c>
      <c r="I462" s="5">
        <v>3018</v>
      </c>
      <c r="J462" s="6">
        <f t="shared" si="7"/>
        <v>57013</v>
      </c>
      <c r="L462" s="18">
        <v>133859</v>
      </c>
      <c r="M462" s="19" t="s">
        <v>10</v>
      </c>
      <c r="N462" s="19" t="s">
        <v>27</v>
      </c>
      <c r="O462" s="19" t="s">
        <v>26</v>
      </c>
      <c r="P462" s="19" t="s">
        <v>19</v>
      </c>
      <c r="Q462" s="19" t="s">
        <v>14</v>
      </c>
      <c r="R462" s="19" t="s">
        <v>24</v>
      </c>
      <c r="S462" s="19">
        <v>33833</v>
      </c>
      <c r="T462" s="77">
        <v>5360</v>
      </c>
      <c r="U462" s="20">
        <v>28473</v>
      </c>
    </row>
    <row r="463" spans="1:21">
      <c r="A463" s="5">
        <v>78327</v>
      </c>
      <c r="B463" s="5" t="s">
        <v>16</v>
      </c>
      <c r="C463" s="5" t="s">
        <v>27</v>
      </c>
      <c r="D463" s="5" t="s">
        <v>36</v>
      </c>
      <c r="E463" s="5" t="s">
        <v>19</v>
      </c>
      <c r="F463" s="5" t="s">
        <v>14</v>
      </c>
      <c r="G463" s="5" t="s">
        <v>24</v>
      </c>
      <c r="H463" s="5">
        <v>39657</v>
      </c>
      <c r="I463" s="5">
        <v>864</v>
      </c>
      <c r="J463" s="6">
        <f t="shared" si="7"/>
        <v>38793</v>
      </c>
      <c r="L463" s="21">
        <v>52974</v>
      </c>
      <c r="M463" s="22" t="s">
        <v>10</v>
      </c>
      <c r="N463" s="22" t="s">
        <v>22</v>
      </c>
      <c r="O463" s="22" t="s">
        <v>12</v>
      </c>
      <c r="P463" s="22" t="s">
        <v>19</v>
      </c>
      <c r="Q463" s="22" t="s">
        <v>14</v>
      </c>
      <c r="R463" s="22" t="s">
        <v>15</v>
      </c>
      <c r="S463" s="22">
        <v>39456</v>
      </c>
      <c r="T463" s="78">
        <v>268</v>
      </c>
      <c r="U463" s="23">
        <v>39188</v>
      </c>
    </row>
    <row r="464" spans="1:21">
      <c r="A464" s="5">
        <v>31266</v>
      </c>
      <c r="B464" s="5" t="s">
        <v>10</v>
      </c>
      <c r="C464" s="5" t="s">
        <v>11</v>
      </c>
      <c r="D464" s="5" t="s">
        <v>30</v>
      </c>
      <c r="E464" s="5" t="s">
        <v>19</v>
      </c>
      <c r="F464" s="5" t="s">
        <v>28</v>
      </c>
      <c r="G464" s="5" t="s">
        <v>15</v>
      </c>
      <c r="H464" s="5">
        <v>45622</v>
      </c>
      <c r="I464" s="5">
        <v>19379</v>
      </c>
      <c r="J464" s="6">
        <f t="shared" si="7"/>
        <v>26243</v>
      </c>
      <c r="L464" s="18">
        <v>44024</v>
      </c>
      <c r="M464" s="19" t="s">
        <v>10</v>
      </c>
      <c r="N464" s="19" t="s">
        <v>35</v>
      </c>
      <c r="O464" s="19" t="s">
        <v>30</v>
      </c>
      <c r="P464" s="19" t="s">
        <v>13</v>
      </c>
      <c r="Q464" s="19" t="s">
        <v>14</v>
      </c>
      <c r="R464" s="19" t="s">
        <v>15</v>
      </c>
      <c r="S464" s="19">
        <v>133990</v>
      </c>
      <c r="T464" s="77">
        <v>4877</v>
      </c>
      <c r="U464" s="20">
        <v>129113</v>
      </c>
    </row>
    <row r="465" spans="1:21">
      <c r="A465" s="5">
        <v>26718</v>
      </c>
      <c r="B465" s="5" t="s">
        <v>16</v>
      </c>
      <c r="C465" s="5" t="s">
        <v>34</v>
      </c>
      <c r="D465" s="5" t="s">
        <v>30</v>
      </c>
      <c r="E465" s="5" t="s">
        <v>13</v>
      </c>
      <c r="F465" s="5" t="s">
        <v>14</v>
      </c>
      <c r="G465" s="5" t="s">
        <v>24</v>
      </c>
      <c r="H465" s="5">
        <v>76989</v>
      </c>
      <c r="I465" s="5">
        <v>1290</v>
      </c>
      <c r="J465" s="6">
        <f t="shared" si="7"/>
        <v>75699</v>
      </c>
      <c r="L465" s="21">
        <v>195062</v>
      </c>
      <c r="M465" s="22" t="s">
        <v>16</v>
      </c>
      <c r="N465" s="22" t="s">
        <v>38</v>
      </c>
      <c r="O465" s="22" t="s">
        <v>32</v>
      </c>
      <c r="P465" s="22" t="s">
        <v>13</v>
      </c>
      <c r="Q465" s="22" t="s">
        <v>14</v>
      </c>
      <c r="R465" s="22" t="s">
        <v>15</v>
      </c>
      <c r="S465" s="22">
        <v>4439</v>
      </c>
      <c r="T465" s="78">
        <v>406</v>
      </c>
      <c r="U465" s="23">
        <v>4033</v>
      </c>
    </row>
    <row r="466" spans="1:21">
      <c r="A466" s="5">
        <v>185729</v>
      </c>
      <c r="B466" s="5" t="s">
        <v>16</v>
      </c>
      <c r="C466" s="5" t="s">
        <v>39</v>
      </c>
      <c r="D466" s="5" t="s">
        <v>32</v>
      </c>
      <c r="E466" s="5" t="s">
        <v>19</v>
      </c>
      <c r="F466" s="5" t="s">
        <v>28</v>
      </c>
      <c r="G466" s="5" t="s">
        <v>24</v>
      </c>
      <c r="H466" s="5">
        <v>3687</v>
      </c>
      <c r="I466" s="5">
        <v>0</v>
      </c>
      <c r="J466" s="6">
        <f t="shared" si="7"/>
        <v>3687</v>
      </c>
      <c r="L466" s="18">
        <v>55242</v>
      </c>
      <c r="M466" s="19" t="s">
        <v>10</v>
      </c>
      <c r="N466" s="19" t="s">
        <v>35</v>
      </c>
      <c r="O466" s="19" t="s">
        <v>30</v>
      </c>
      <c r="P466" s="19" t="s">
        <v>13</v>
      </c>
      <c r="Q466" s="19" t="s">
        <v>14</v>
      </c>
      <c r="R466" s="19" t="s">
        <v>15</v>
      </c>
      <c r="S466" s="19">
        <v>88399</v>
      </c>
      <c r="T466" s="77">
        <v>4158</v>
      </c>
      <c r="U466" s="20">
        <v>84241</v>
      </c>
    </row>
    <row r="467" spans="1:21">
      <c r="A467" s="5">
        <v>77260</v>
      </c>
      <c r="B467" s="5" t="s">
        <v>16</v>
      </c>
      <c r="C467" s="5" t="s">
        <v>34</v>
      </c>
      <c r="D467" s="5" t="s">
        <v>36</v>
      </c>
      <c r="E467" s="5" t="s">
        <v>19</v>
      </c>
      <c r="F467" s="5" t="s">
        <v>28</v>
      </c>
      <c r="G467" s="5" t="s">
        <v>24</v>
      </c>
      <c r="H467" s="5">
        <v>43819</v>
      </c>
      <c r="I467" s="5">
        <v>472</v>
      </c>
      <c r="J467" s="6">
        <f t="shared" si="7"/>
        <v>43347</v>
      </c>
      <c r="L467" s="21">
        <v>137262</v>
      </c>
      <c r="M467" s="22" t="s">
        <v>10</v>
      </c>
      <c r="N467" s="22" t="s">
        <v>22</v>
      </c>
      <c r="O467" s="22" t="s">
        <v>30</v>
      </c>
      <c r="P467" s="22" t="s">
        <v>19</v>
      </c>
      <c r="Q467" s="22" t="s">
        <v>14</v>
      </c>
      <c r="R467" s="22" t="s">
        <v>15</v>
      </c>
      <c r="S467" s="22">
        <v>142548</v>
      </c>
      <c r="T467" s="78">
        <v>7507</v>
      </c>
      <c r="U467" s="23">
        <v>135041</v>
      </c>
    </row>
    <row r="468" spans="1:21">
      <c r="A468" s="5">
        <v>73894</v>
      </c>
      <c r="B468" s="5" t="s">
        <v>10</v>
      </c>
      <c r="C468" s="5" t="s">
        <v>27</v>
      </c>
      <c r="D468" s="5" t="s">
        <v>36</v>
      </c>
      <c r="E468" s="5" t="s">
        <v>19</v>
      </c>
      <c r="F468" s="5" t="s">
        <v>14</v>
      </c>
      <c r="G468" s="5" t="s">
        <v>24</v>
      </c>
      <c r="H468" s="5">
        <v>77295</v>
      </c>
      <c r="I468" s="5">
        <v>2441</v>
      </c>
      <c r="J468" s="6">
        <f t="shared" si="7"/>
        <v>74854</v>
      </c>
      <c r="L468" s="18">
        <v>127619</v>
      </c>
      <c r="M468" s="19" t="s">
        <v>10</v>
      </c>
      <c r="N468" s="19" t="s">
        <v>22</v>
      </c>
      <c r="O468" s="19" t="s">
        <v>30</v>
      </c>
      <c r="P468" s="19" t="s">
        <v>13</v>
      </c>
      <c r="Q468" s="19" t="s">
        <v>14</v>
      </c>
      <c r="R468" s="19" t="s">
        <v>15</v>
      </c>
      <c r="S468" s="19">
        <v>82428</v>
      </c>
      <c r="T468" s="77">
        <v>3086</v>
      </c>
      <c r="U468" s="20">
        <v>79342</v>
      </c>
    </row>
    <row r="469" spans="1:21">
      <c r="A469" s="5">
        <v>249048</v>
      </c>
      <c r="B469" s="5" t="s">
        <v>10</v>
      </c>
      <c r="C469" s="5" t="s">
        <v>17</v>
      </c>
      <c r="D469" s="5" t="s">
        <v>26</v>
      </c>
      <c r="E469" s="5" t="s">
        <v>19</v>
      </c>
      <c r="F469" s="5" t="s">
        <v>28</v>
      </c>
      <c r="G469" s="5" t="s">
        <v>15</v>
      </c>
      <c r="H469" s="5">
        <v>57962</v>
      </c>
      <c r="I469" s="5">
        <v>4307</v>
      </c>
      <c r="J469" s="6">
        <f t="shared" si="7"/>
        <v>53655</v>
      </c>
      <c r="L469" s="21">
        <v>172619</v>
      </c>
      <c r="M469" s="22" t="s">
        <v>10</v>
      </c>
      <c r="N469" s="22" t="s">
        <v>31</v>
      </c>
      <c r="O469" s="22" t="s">
        <v>36</v>
      </c>
      <c r="P469" s="22" t="s">
        <v>19</v>
      </c>
      <c r="Q469" s="22" t="s">
        <v>14</v>
      </c>
      <c r="R469" s="22" t="s">
        <v>24</v>
      </c>
      <c r="S469" s="22">
        <v>13129</v>
      </c>
      <c r="T469" s="78">
        <v>0</v>
      </c>
      <c r="U469" s="23">
        <v>13129</v>
      </c>
    </row>
    <row r="470" spans="1:21">
      <c r="A470" s="5">
        <v>37325</v>
      </c>
      <c r="B470" s="5" t="s">
        <v>10</v>
      </c>
      <c r="C470" s="5" t="s">
        <v>35</v>
      </c>
      <c r="D470" s="5" t="s">
        <v>23</v>
      </c>
      <c r="E470" s="5" t="s">
        <v>13</v>
      </c>
      <c r="F470" s="5" t="s">
        <v>14</v>
      </c>
      <c r="G470" s="5" t="s">
        <v>15</v>
      </c>
      <c r="H470" s="5">
        <v>81639</v>
      </c>
      <c r="I470" s="5">
        <v>3385</v>
      </c>
      <c r="J470" s="6">
        <f t="shared" si="7"/>
        <v>78254</v>
      </c>
      <c r="L470" s="18">
        <v>121225</v>
      </c>
      <c r="M470" s="19" t="s">
        <v>16</v>
      </c>
      <c r="N470" s="19" t="s">
        <v>35</v>
      </c>
      <c r="O470" s="19" t="s">
        <v>32</v>
      </c>
      <c r="P470" s="19" t="s">
        <v>13</v>
      </c>
      <c r="Q470" s="19" t="s">
        <v>14</v>
      </c>
      <c r="R470" s="19" t="s">
        <v>24</v>
      </c>
      <c r="S470" s="19">
        <v>15146</v>
      </c>
      <c r="T470" s="77">
        <v>507</v>
      </c>
      <c r="U470" s="20">
        <v>14639</v>
      </c>
    </row>
    <row r="471" spans="1:21">
      <c r="A471" s="5">
        <v>187821</v>
      </c>
      <c r="B471" s="5" t="s">
        <v>10</v>
      </c>
      <c r="C471" s="5" t="s">
        <v>20</v>
      </c>
      <c r="D471" s="5" t="s">
        <v>32</v>
      </c>
      <c r="E471" s="5" t="s">
        <v>13</v>
      </c>
      <c r="F471" s="5" t="s">
        <v>14</v>
      </c>
      <c r="G471" s="5" t="s">
        <v>15</v>
      </c>
      <c r="H471" s="5">
        <v>8764</v>
      </c>
      <c r="I471" s="5">
        <v>0</v>
      </c>
      <c r="J471" s="6">
        <f t="shared" si="7"/>
        <v>8764</v>
      </c>
      <c r="L471" s="21">
        <v>28463</v>
      </c>
      <c r="M471" s="22" t="s">
        <v>10</v>
      </c>
      <c r="N471" s="22" t="s">
        <v>11</v>
      </c>
      <c r="O471" s="22" t="s">
        <v>12</v>
      </c>
      <c r="P471" s="22" t="s">
        <v>13</v>
      </c>
      <c r="Q471" s="22" t="s">
        <v>14</v>
      </c>
      <c r="R471" s="22" t="s">
        <v>15</v>
      </c>
      <c r="S471" s="22">
        <v>60783</v>
      </c>
      <c r="T471" s="78">
        <v>1813</v>
      </c>
      <c r="U471" s="23">
        <v>58970</v>
      </c>
    </row>
    <row r="472" spans="1:21">
      <c r="A472" s="5">
        <v>15987</v>
      </c>
      <c r="B472" s="5" t="s">
        <v>10</v>
      </c>
      <c r="C472" s="5" t="s">
        <v>11</v>
      </c>
      <c r="D472" s="5" t="s">
        <v>36</v>
      </c>
      <c r="E472" s="5" t="s">
        <v>13</v>
      </c>
      <c r="F472" s="5" t="s">
        <v>14</v>
      </c>
      <c r="G472" s="5" t="s">
        <v>15</v>
      </c>
      <c r="H472" s="5">
        <v>144106</v>
      </c>
      <c r="I472" s="5">
        <v>7641</v>
      </c>
      <c r="J472" s="6">
        <f t="shared" si="7"/>
        <v>136465</v>
      </c>
      <c r="L472" s="18">
        <v>63865</v>
      </c>
      <c r="M472" s="19" t="s">
        <v>16</v>
      </c>
      <c r="N472" s="19" t="s">
        <v>27</v>
      </c>
      <c r="O472" s="19" t="s">
        <v>32</v>
      </c>
      <c r="P472" s="19" t="s">
        <v>13</v>
      </c>
      <c r="Q472" s="19" t="s">
        <v>14</v>
      </c>
      <c r="R472" s="19" t="s">
        <v>15</v>
      </c>
      <c r="S472" s="19">
        <v>177</v>
      </c>
      <c r="T472" s="77">
        <v>0</v>
      </c>
      <c r="U472" s="20">
        <v>177</v>
      </c>
    </row>
    <row r="473" spans="1:21">
      <c r="A473" s="5">
        <v>6290</v>
      </c>
      <c r="B473" s="5" t="s">
        <v>10</v>
      </c>
      <c r="C473" s="5" t="s">
        <v>38</v>
      </c>
      <c r="D473" s="5" t="s">
        <v>32</v>
      </c>
      <c r="E473" s="5" t="s">
        <v>19</v>
      </c>
      <c r="F473" s="5" t="s">
        <v>14</v>
      </c>
      <c r="G473" s="5" t="s">
        <v>15</v>
      </c>
      <c r="H473" s="5">
        <v>21902</v>
      </c>
      <c r="I473" s="5">
        <v>0</v>
      </c>
      <c r="J473" s="6">
        <f t="shared" si="7"/>
        <v>21902</v>
      </c>
      <c r="L473" s="21">
        <v>55997</v>
      </c>
      <c r="M473" s="22" t="s">
        <v>10</v>
      </c>
      <c r="N473" s="22" t="s">
        <v>35</v>
      </c>
      <c r="O473" s="22" t="s">
        <v>12</v>
      </c>
      <c r="P473" s="22" t="s">
        <v>13</v>
      </c>
      <c r="Q473" s="22" t="s">
        <v>14</v>
      </c>
      <c r="R473" s="22" t="s">
        <v>15</v>
      </c>
      <c r="S473" s="22">
        <v>215415</v>
      </c>
      <c r="T473" s="78">
        <v>15780</v>
      </c>
      <c r="U473" s="23">
        <v>199635</v>
      </c>
    </row>
    <row r="474" spans="1:21">
      <c r="A474" s="5">
        <v>75024</v>
      </c>
      <c r="B474" s="5" t="s">
        <v>16</v>
      </c>
      <c r="C474" s="5" t="s">
        <v>27</v>
      </c>
      <c r="D474" s="5" t="s">
        <v>36</v>
      </c>
      <c r="E474" s="5" t="s">
        <v>19</v>
      </c>
      <c r="F474" s="5" t="s">
        <v>14</v>
      </c>
      <c r="G474" s="5" t="s">
        <v>24</v>
      </c>
      <c r="H474" s="5">
        <v>38707</v>
      </c>
      <c r="I474" s="5">
        <v>1531</v>
      </c>
      <c r="J474" s="6">
        <f t="shared" si="7"/>
        <v>37176</v>
      </c>
      <c r="L474" s="18">
        <v>112043</v>
      </c>
      <c r="M474" s="19" t="s">
        <v>10</v>
      </c>
      <c r="N474" s="19" t="s">
        <v>22</v>
      </c>
      <c r="O474" s="19" t="s">
        <v>32</v>
      </c>
      <c r="P474" s="19" t="s">
        <v>19</v>
      </c>
      <c r="Q474" s="19" t="s">
        <v>14</v>
      </c>
      <c r="R474" s="19" t="s">
        <v>24</v>
      </c>
      <c r="S474" s="19">
        <v>3</v>
      </c>
      <c r="T474" s="77">
        <v>0</v>
      </c>
      <c r="U474" s="20">
        <v>3</v>
      </c>
    </row>
    <row r="475" spans="1:21">
      <c r="A475" s="5">
        <v>40281</v>
      </c>
      <c r="B475" s="5" t="s">
        <v>10</v>
      </c>
      <c r="C475" s="5" t="s">
        <v>35</v>
      </c>
      <c r="D475" s="5" t="s">
        <v>12</v>
      </c>
      <c r="E475" s="5" t="s">
        <v>13</v>
      </c>
      <c r="F475" s="5" t="s">
        <v>14</v>
      </c>
      <c r="G475" s="5" t="s">
        <v>24</v>
      </c>
      <c r="H475" s="5">
        <v>67891</v>
      </c>
      <c r="I475" s="5">
        <v>2932</v>
      </c>
      <c r="J475" s="6">
        <f t="shared" si="7"/>
        <v>64959</v>
      </c>
      <c r="L475" s="21">
        <v>176713</v>
      </c>
      <c r="M475" s="22" t="s">
        <v>16</v>
      </c>
      <c r="N475" s="22" t="s">
        <v>25</v>
      </c>
      <c r="O475" s="22" t="s">
        <v>32</v>
      </c>
      <c r="P475" s="22" t="s">
        <v>13</v>
      </c>
      <c r="Q475" s="22" t="s">
        <v>14</v>
      </c>
      <c r="R475" s="22" t="s">
        <v>15</v>
      </c>
      <c r="S475" s="22">
        <v>12694</v>
      </c>
      <c r="T475" s="78">
        <v>0</v>
      </c>
      <c r="U475" s="23">
        <v>12694</v>
      </c>
    </row>
    <row r="476" spans="1:21">
      <c r="A476" s="5">
        <v>220032</v>
      </c>
      <c r="B476" s="5" t="s">
        <v>16</v>
      </c>
      <c r="C476" s="5" t="s">
        <v>22</v>
      </c>
      <c r="D476" s="5" t="s">
        <v>30</v>
      </c>
      <c r="E476" s="5" t="s">
        <v>19</v>
      </c>
      <c r="F476" s="5" t="s">
        <v>28</v>
      </c>
      <c r="G476" s="5" t="s">
        <v>15</v>
      </c>
      <c r="H476" s="5">
        <v>144994</v>
      </c>
      <c r="I476" s="5">
        <v>5530</v>
      </c>
      <c r="J476" s="6">
        <f t="shared" si="7"/>
        <v>139464</v>
      </c>
      <c r="L476" s="18">
        <v>55269</v>
      </c>
      <c r="M476" s="19" t="s">
        <v>10</v>
      </c>
      <c r="N476" s="19" t="s">
        <v>35</v>
      </c>
      <c r="O476" s="19" t="s">
        <v>29</v>
      </c>
      <c r="P476" s="19" t="s">
        <v>19</v>
      </c>
      <c r="Q476" s="19" t="s">
        <v>14</v>
      </c>
      <c r="R476" s="19" t="s">
        <v>15</v>
      </c>
      <c r="S476" s="19">
        <v>76009</v>
      </c>
      <c r="T476" s="77">
        <v>1474</v>
      </c>
      <c r="U476" s="20">
        <v>74535</v>
      </c>
    </row>
    <row r="477" spans="1:21">
      <c r="A477" s="5">
        <v>46724</v>
      </c>
      <c r="B477" s="5" t="s">
        <v>16</v>
      </c>
      <c r="C477" s="5" t="s">
        <v>35</v>
      </c>
      <c r="D477" s="5" t="s">
        <v>36</v>
      </c>
      <c r="E477" s="5" t="s">
        <v>13</v>
      </c>
      <c r="F477" s="5" t="s">
        <v>14</v>
      </c>
      <c r="G477" s="5" t="s">
        <v>24</v>
      </c>
      <c r="H477" s="5">
        <v>39871</v>
      </c>
      <c r="I477" s="5">
        <v>8274</v>
      </c>
      <c r="J477" s="6">
        <f t="shared" si="7"/>
        <v>31597</v>
      </c>
      <c r="L477" s="21">
        <v>115766</v>
      </c>
      <c r="M477" s="22" t="s">
        <v>10</v>
      </c>
      <c r="N477" s="22" t="s">
        <v>22</v>
      </c>
      <c r="O477" s="22" t="s">
        <v>32</v>
      </c>
      <c r="P477" s="22" t="s">
        <v>13</v>
      </c>
      <c r="Q477" s="22" t="s">
        <v>14</v>
      </c>
      <c r="R477" s="22" t="s">
        <v>24</v>
      </c>
      <c r="S477" s="22">
        <v>43753</v>
      </c>
      <c r="T477" s="78">
        <v>874</v>
      </c>
      <c r="U477" s="23">
        <v>42879</v>
      </c>
    </row>
    <row r="478" spans="1:21">
      <c r="A478" s="5">
        <v>139387</v>
      </c>
      <c r="B478" s="5" t="s">
        <v>10</v>
      </c>
      <c r="C478" s="5" t="s">
        <v>25</v>
      </c>
      <c r="D478" s="5" t="s">
        <v>23</v>
      </c>
      <c r="E478" s="5" t="s">
        <v>19</v>
      </c>
      <c r="F478" s="5" t="s">
        <v>28</v>
      </c>
      <c r="G478" s="5" t="s">
        <v>15</v>
      </c>
      <c r="H478" s="5">
        <v>97853</v>
      </c>
      <c r="I478" s="5">
        <v>576</v>
      </c>
      <c r="J478" s="6">
        <f t="shared" si="7"/>
        <v>97277</v>
      </c>
      <c r="L478" s="18">
        <v>35054</v>
      </c>
      <c r="M478" s="19" t="s">
        <v>10</v>
      </c>
      <c r="N478" s="19" t="s">
        <v>35</v>
      </c>
      <c r="O478" s="19" t="s">
        <v>12</v>
      </c>
      <c r="P478" s="19" t="s">
        <v>13</v>
      </c>
      <c r="Q478" s="19" t="s">
        <v>14</v>
      </c>
      <c r="R478" s="19" t="s">
        <v>15</v>
      </c>
      <c r="S478" s="19">
        <v>158820</v>
      </c>
      <c r="T478" s="77">
        <v>326</v>
      </c>
      <c r="U478" s="20">
        <v>158494</v>
      </c>
    </row>
    <row r="479" spans="1:21">
      <c r="A479" s="5">
        <v>99351</v>
      </c>
      <c r="B479" s="5" t="s">
        <v>10</v>
      </c>
      <c r="C479" s="5" t="s">
        <v>34</v>
      </c>
      <c r="D479" s="5" t="s">
        <v>29</v>
      </c>
      <c r="E479" s="5" t="s">
        <v>13</v>
      </c>
      <c r="F479" s="5" t="s">
        <v>14</v>
      </c>
      <c r="G479" s="5" t="s">
        <v>24</v>
      </c>
      <c r="H479" s="5">
        <v>60979</v>
      </c>
      <c r="I479" s="5">
        <v>1805</v>
      </c>
      <c r="J479" s="6">
        <f t="shared" si="7"/>
        <v>59174</v>
      </c>
      <c r="L479" s="21">
        <v>211834</v>
      </c>
      <c r="M479" s="22" t="s">
        <v>16</v>
      </c>
      <c r="N479" s="22" t="s">
        <v>34</v>
      </c>
      <c r="O479" s="22" t="s">
        <v>18</v>
      </c>
      <c r="P479" s="22" t="s">
        <v>13</v>
      </c>
      <c r="Q479" s="22" t="s">
        <v>14</v>
      </c>
      <c r="R479" s="22" t="s">
        <v>15</v>
      </c>
      <c r="S479" s="22">
        <v>54082</v>
      </c>
      <c r="T479" s="78">
        <v>212</v>
      </c>
      <c r="U479" s="23">
        <v>53870</v>
      </c>
    </row>
    <row r="480" spans="1:21">
      <c r="A480" s="5">
        <v>79595</v>
      </c>
      <c r="B480" s="5" t="s">
        <v>10</v>
      </c>
      <c r="C480" s="5" t="s">
        <v>39</v>
      </c>
      <c r="D480" s="5" t="s">
        <v>26</v>
      </c>
      <c r="E480" s="5" t="s">
        <v>13</v>
      </c>
      <c r="F480" s="5" t="s">
        <v>14</v>
      </c>
      <c r="G480" s="5" t="s">
        <v>15</v>
      </c>
      <c r="H480" s="5">
        <v>87680</v>
      </c>
      <c r="I480" s="5">
        <v>750</v>
      </c>
      <c r="J480" s="6">
        <f t="shared" si="7"/>
        <v>86930</v>
      </c>
      <c r="L480" s="18">
        <v>121434</v>
      </c>
      <c r="M480" s="19" t="s">
        <v>16</v>
      </c>
      <c r="N480" s="19" t="s">
        <v>22</v>
      </c>
      <c r="O480" s="19" t="s">
        <v>30</v>
      </c>
      <c r="P480" s="19" t="s">
        <v>13</v>
      </c>
      <c r="Q480" s="19" t="s">
        <v>14</v>
      </c>
      <c r="R480" s="19" t="s">
        <v>24</v>
      </c>
      <c r="S480" s="19">
        <v>39567</v>
      </c>
      <c r="T480" s="77">
        <v>220</v>
      </c>
      <c r="U480" s="20">
        <v>39347</v>
      </c>
    </row>
    <row r="481" spans="1:21">
      <c r="A481" s="5">
        <v>206957</v>
      </c>
      <c r="B481" s="5" t="s">
        <v>10</v>
      </c>
      <c r="C481" s="5" t="s">
        <v>38</v>
      </c>
      <c r="D481" s="5" t="s">
        <v>12</v>
      </c>
      <c r="E481" s="5" t="s">
        <v>13</v>
      </c>
      <c r="F481" s="5" t="s">
        <v>14</v>
      </c>
      <c r="G481" s="5" t="s">
        <v>15</v>
      </c>
      <c r="H481" s="5">
        <v>92333</v>
      </c>
      <c r="I481" s="5">
        <v>6486</v>
      </c>
      <c r="J481" s="6">
        <f t="shared" si="7"/>
        <v>85847</v>
      </c>
      <c r="L481" s="21">
        <v>33356</v>
      </c>
      <c r="M481" s="22" t="s">
        <v>16</v>
      </c>
      <c r="N481" s="22" t="s">
        <v>35</v>
      </c>
      <c r="O481" s="22" t="s">
        <v>30</v>
      </c>
      <c r="P481" s="22" t="s">
        <v>13</v>
      </c>
      <c r="Q481" s="22" t="s">
        <v>14</v>
      </c>
      <c r="R481" s="22" t="s">
        <v>15</v>
      </c>
      <c r="S481" s="22">
        <v>11117</v>
      </c>
      <c r="T481" s="78">
        <v>23</v>
      </c>
      <c r="U481" s="23">
        <v>11094</v>
      </c>
    </row>
    <row r="482" spans="1:21">
      <c r="A482" s="5">
        <v>29576</v>
      </c>
      <c r="B482" s="5" t="s">
        <v>10</v>
      </c>
      <c r="C482" s="5" t="s">
        <v>35</v>
      </c>
      <c r="D482" s="5" t="s">
        <v>23</v>
      </c>
      <c r="E482" s="5" t="s">
        <v>13</v>
      </c>
      <c r="F482" s="5" t="s">
        <v>28</v>
      </c>
      <c r="G482" s="5" t="s">
        <v>24</v>
      </c>
      <c r="H482" s="5">
        <v>72324</v>
      </c>
      <c r="I482" s="5">
        <v>5444</v>
      </c>
      <c r="J482" s="6">
        <f t="shared" si="7"/>
        <v>66880</v>
      </c>
      <c r="L482" s="18">
        <v>146947</v>
      </c>
      <c r="M482" s="19" t="s">
        <v>10</v>
      </c>
      <c r="N482" s="19" t="s">
        <v>25</v>
      </c>
      <c r="O482" s="19" t="s">
        <v>23</v>
      </c>
      <c r="P482" s="19" t="s">
        <v>19</v>
      </c>
      <c r="Q482" s="19" t="s">
        <v>14</v>
      </c>
      <c r="R482" s="19" t="s">
        <v>24</v>
      </c>
      <c r="S482" s="19">
        <v>92653</v>
      </c>
      <c r="T482" s="77">
        <v>11799</v>
      </c>
      <c r="U482" s="20">
        <v>80854</v>
      </c>
    </row>
    <row r="483" spans="1:21">
      <c r="A483" s="5">
        <v>114135</v>
      </c>
      <c r="B483" s="5" t="s">
        <v>10</v>
      </c>
      <c r="C483" s="5" t="s">
        <v>22</v>
      </c>
      <c r="D483" s="5" t="s">
        <v>26</v>
      </c>
      <c r="E483" s="5" t="s">
        <v>19</v>
      </c>
      <c r="F483" s="5" t="s">
        <v>28</v>
      </c>
      <c r="G483" s="5" t="s">
        <v>24</v>
      </c>
      <c r="H483" s="5">
        <v>34884</v>
      </c>
      <c r="I483" s="5">
        <v>999</v>
      </c>
      <c r="J483" s="6">
        <f t="shared" si="7"/>
        <v>33885</v>
      </c>
      <c r="L483" s="21">
        <v>252868</v>
      </c>
      <c r="M483" s="22" t="s">
        <v>10</v>
      </c>
      <c r="N483" s="22" t="s">
        <v>27</v>
      </c>
      <c r="O483" s="22" t="s">
        <v>30</v>
      </c>
      <c r="P483" s="22" t="s">
        <v>13</v>
      </c>
      <c r="Q483" s="22" t="s">
        <v>14</v>
      </c>
      <c r="R483" s="22" t="s">
        <v>15</v>
      </c>
      <c r="S483" s="22">
        <v>127193</v>
      </c>
      <c r="T483" s="78">
        <v>999</v>
      </c>
      <c r="U483" s="23">
        <v>126194</v>
      </c>
    </row>
    <row r="484" spans="1:21">
      <c r="A484" s="5">
        <v>223583</v>
      </c>
      <c r="B484" s="5" t="s">
        <v>10</v>
      </c>
      <c r="C484" s="5" t="s">
        <v>25</v>
      </c>
      <c r="D484" s="5" t="s">
        <v>30</v>
      </c>
      <c r="E484" s="5" t="s">
        <v>19</v>
      </c>
      <c r="F484" s="5" t="s">
        <v>14</v>
      </c>
      <c r="G484" s="5" t="s">
        <v>15</v>
      </c>
      <c r="H484" s="5">
        <v>78906</v>
      </c>
      <c r="I484" s="5">
        <v>244</v>
      </c>
      <c r="J484" s="6">
        <f t="shared" si="7"/>
        <v>78662</v>
      </c>
      <c r="L484" s="18">
        <v>64907</v>
      </c>
      <c r="M484" s="19" t="s">
        <v>16</v>
      </c>
      <c r="N484" s="19" t="s">
        <v>35</v>
      </c>
      <c r="O484" s="19" t="s">
        <v>32</v>
      </c>
      <c r="P484" s="19" t="s">
        <v>13</v>
      </c>
      <c r="Q484" s="19" t="s">
        <v>14</v>
      </c>
      <c r="R484" s="19" t="s">
        <v>24</v>
      </c>
      <c r="S484" s="19">
        <v>11963</v>
      </c>
      <c r="T484" s="77">
        <v>0</v>
      </c>
      <c r="U484" s="20">
        <v>11963</v>
      </c>
    </row>
    <row r="485" spans="1:21">
      <c r="A485" s="5">
        <v>90156</v>
      </c>
      <c r="B485" s="5" t="s">
        <v>16</v>
      </c>
      <c r="C485" s="5" t="s">
        <v>38</v>
      </c>
      <c r="D485" s="5" t="s">
        <v>32</v>
      </c>
      <c r="E485" s="5" t="s">
        <v>13</v>
      </c>
      <c r="F485" s="5" t="s">
        <v>28</v>
      </c>
      <c r="G485" s="5" t="s">
        <v>24</v>
      </c>
      <c r="H485" s="5">
        <v>8035</v>
      </c>
      <c r="I485" s="5">
        <v>0</v>
      </c>
      <c r="J485" s="6">
        <f t="shared" si="7"/>
        <v>8035</v>
      </c>
      <c r="L485" s="21">
        <v>122922</v>
      </c>
      <c r="M485" s="22" t="s">
        <v>10</v>
      </c>
      <c r="N485" s="22" t="s">
        <v>22</v>
      </c>
      <c r="O485" s="22" t="s">
        <v>12</v>
      </c>
      <c r="P485" s="22" t="s">
        <v>19</v>
      </c>
      <c r="Q485" s="22" t="s">
        <v>14</v>
      </c>
      <c r="R485" s="22" t="s">
        <v>15</v>
      </c>
      <c r="S485" s="22">
        <v>129812</v>
      </c>
      <c r="T485" s="78">
        <v>920</v>
      </c>
      <c r="U485" s="23">
        <v>128892</v>
      </c>
    </row>
    <row r="486" spans="1:21">
      <c r="A486" s="5">
        <v>24234</v>
      </c>
      <c r="B486" s="5" t="s">
        <v>16</v>
      </c>
      <c r="C486" s="5" t="s">
        <v>11</v>
      </c>
      <c r="D486" s="5" t="s">
        <v>30</v>
      </c>
      <c r="E486" s="5" t="s">
        <v>13</v>
      </c>
      <c r="F486" s="5" t="s">
        <v>14</v>
      </c>
      <c r="G486" s="5" t="s">
        <v>15</v>
      </c>
      <c r="H486" s="5">
        <v>34772</v>
      </c>
      <c r="I486" s="5">
        <v>3448</v>
      </c>
      <c r="J486" s="6">
        <f t="shared" si="7"/>
        <v>31324</v>
      </c>
      <c r="L486" s="18">
        <v>253796</v>
      </c>
      <c r="M486" s="19" t="s">
        <v>10</v>
      </c>
      <c r="N486" s="19" t="s">
        <v>31</v>
      </c>
      <c r="O486" s="19" t="s">
        <v>30</v>
      </c>
      <c r="P486" s="19" t="s">
        <v>19</v>
      </c>
      <c r="Q486" s="19" t="s">
        <v>14</v>
      </c>
      <c r="R486" s="19" t="s">
        <v>15</v>
      </c>
      <c r="S486" s="19">
        <v>6611</v>
      </c>
      <c r="T486" s="77">
        <v>0</v>
      </c>
      <c r="U486" s="20">
        <v>6611</v>
      </c>
    </row>
    <row r="487" spans="1:21">
      <c r="A487" s="5">
        <v>5389</v>
      </c>
      <c r="B487" s="5" t="s">
        <v>16</v>
      </c>
      <c r="C487" s="5" t="s">
        <v>37</v>
      </c>
      <c r="D487" s="5" t="s">
        <v>26</v>
      </c>
      <c r="E487" s="5" t="s">
        <v>13</v>
      </c>
      <c r="F487" s="5" t="s">
        <v>14</v>
      </c>
      <c r="G487" s="5" t="s">
        <v>24</v>
      </c>
      <c r="H487" s="5">
        <v>51584</v>
      </c>
      <c r="I487" s="5">
        <v>1079</v>
      </c>
      <c r="J487" s="6">
        <f t="shared" si="7"/>
        <v>50505</v>
      </c>
      <c r="L487" s="21">
        <v>75102</v>
      </c>
      <c r="M487" s="22" t="s">
        <v>16</v>
      </c>
      <c r="N487" s="22" t="s">
        <v>27</v>
      </c>
      <c r="O487" s="22" t="s">
        <v>33</v>
      </c>
      <c r="P487" s="22" t="s">
        <v>13</v>
      </c>
      <c r="Q487" s="22" t="s">
        <v>14</v>
      </c>
      <c r="R487" s="22" t="s">
        <v>15</v>
      </c>
      <c r="S487" s="22">
        <v>36406</v>
      </c>
      <c r="T487" s="78">
        <v>251</v>
      </c>
      <c r="U487" s="23">
        <v>36155</v>
      </c>
    </row>
    <row r="488" spans="1:21">
      <c r="A488" s="5">
        <v>86248</v>
      </c>
      <c r="B488" s="5" t="s">
        <v>10</v>
      </c>
      <c r="C488" s="5" t="s">
        <v>39</v>
      </c>
      <c r="D488" s="5" t="s">
        <v>12</v>
      </c>
      <c r="E488" s="5" t="s">
        <v>13</v>
      </c>
      <c r="F488" s="5" t="s">
        <v>14</v>
      </c>
      <c r="G488" s="5" t="s">
        <v>24</v>
      </c>
      <c r="H488" s="5">
        <v>43261</v>
      </c>
      <c r="I488" s="5">
        <v>0</v>
      </c>
      <c r="J488" s="6">
        <f t="shared" si="7"/>
        <v>43261</v>
      </c>
      <c r="L488" s="18">
        <v>36699</v>
      </c>
      <c r="M488" s="19" t="s">
        <v>10</v>
      </c>
      <c r="N488" s="19" t="s">
        <v>11</v>
      </c>
      <c r="O488" s="19" t="s">
        <v>36</v>
      </c>
      <c r="P488" s="19" t="s">
        <v>13</v>
      </c>
      <c r="Q488" s="19" t="s">
        <v>14</v>
      </c>
      <c r="R488" s="19" t="s">
        <v>15</v>
      </c>
      <c r="S488" s="19">
        <v>83674</v>
      </c>
      <c r="T488" s="77">
        <v>2605</v>
      </c>
      <c r="U488" s="20">
        <v>81069</v>
      </c>
    </row>
    <row r="489" spans="1:21">
      <c r="A489" s="5">
        <v>102378</v>
      </c>
      <c r="B489" s="5" t="s">
        <v>16</v>
      </c>
      <c r="C489" s="5" t="s">
        <v>34</v>
      </c>
      <c r="D489" s="5" t="s">
        <v>30</v>
      </c>
      <c r="E489" s="5" t="s">
        <v>13</v>
      </c>
      <c r="F489" s="5" t="s">
        <v>28</v>
      </c>
      <c r="G489" s="5" t="s">
        <v>15</v>
      </c>
      <c r="H489" s="5">
        <v>65772</v>
      </c>
      <c r="I489" s="5">
        <v>856</v>
      </c>
      <c r="J489" s="6">
        <f t="shared" si="7"/>
        <v>64916</v>
      </c>
      <c r="L489" s="21">
        <v>52470</v>
      </c>
      <c r="M489" s="22" t="s">
        <v>16</v>
      </c>
      <c r="N489" s="22" t="s">
        <v>35</v>
      </c>
      <c r="O489" s="22" t="s">
        <v>33</v>
      </c>
      <c r="P489" s="22" t="s">
        <v>13</v>
      </c>
      <c r="Q489" s="22" t="s">
        <v>14</v>
      </c>
      <c r="R489" s="22" t="s">
        <v>15</v>
      </c>
      <c r="S489" s="22">
        <v>37169</v>
      </c>
      <c r="T489" s="78">
        <v>2445</v>
      </c>
      <c r="U489" s="23">
        <v>34724</v>
      </c>
    </row>
    <row r="490" spans="1:21">
      <c r="A490" s="5">
        <v>117780</v>
      </c>
      <c r="B490" s="5" t="s">
        <v>10</v>
      </c>
      <c r="C490" s="5" t="s">
        <v>27</v>
      </c>
      <c r="D490" s="5" t="s">
        <v>30</v>
      </c>
      <c r="E490" s="5" t="s">
        <v>13</v>
      </c>
      <c r="F490" s="5" t="s">
        <v>14</v>
      </c>
      <c r="G490" s="5" t="s">
        <v>15</v>
      </c>
      <c r="H490" s="5">
        <v>133661</v>
      </c>
      <c r="I490" s="5">
        <v>6493</v>
      </c>
      <c r="J490" s="6">
        <f t="shared" si="7"/>
        <v>127168</v>
      </c>
      <c r="L490" s="18">
        <v>232596</v>
      </c>
      <c r="M490" s="19" t="s">
        <v>16</v>
      </c>
      <c r="N490" s="19" t="s">
        <v>35</v>
      </c>
      <c r="O490" s="19" t="s">
        <v>33</v>
      </c>
      <c r="P490" s="19" t="s">
        <v>13</v>
      </c>
      <c r="Q490" s="19" t="s">
        <v>14</v>
      </c>
      <c r="R490" s="19" t="s">
        <v>15</v>
      </c>
      <c r="S490" s="19">
        <v>99167</v>
      </c>
      <c r="T490" s="77">
        <v>274</v>
      </c>
      <c r="U490" s="20">
        <v>98893</v>
      </c>
    </row>
    <row r="491" spans="1:21">
      <c r="A491" s="5">
        <v>26057</v>
      </c>
      <c r="B491" s="5" t="s">
        <v>16</v>
      </c>
      <c r="C491" s="5" t="s">
        <v>11</v>
      </c>
      <c r="D491" s="5" t="s">
        <v>30</v>
      </c>
      <c r="E491" s="5" t="s">
        <v>19</v>
      </c>
      <c r="F491" s="5" t="s">
        <v>14</v>
      </c>
      <c r="G491" s="5" t="s">
        <v>15</v>
      </c>
      <c r="H491" s="5">
        <v>77401</v>
      </c>
      <c r="I491" s="5">
        <v>1806</v>
      </c>
      <c r="J491" s="6">
        <f t="shared" si="7"/>
        <v>75595</v>
      </c>
      <c r="L491" s="21">
        <v>41510</v>
      </c>
      <c r="M491" s="22" t="s">
        <v>16</v>
      </c>
      <c r="N491" s="22" t="s">
        <v>37</v>
      </c>
      <c r="O491" s="22" t="s">
        <v>30</v>
      </c>
      <c r="P491" s="22" t="s">
        <v>19</v>
      </c>
      <c r="Q491" s="22" t="s">
        <v>14</v>
      </c>
      <c r="R491" s="22" t="s">
        <v>24</v>
      </c>
      <c r="S491" s="22">
        <v>49651</v>
      </c>
      <c r="T491" s="78">
        <v>1663</v>
      </c>
      <c r="U491" s="23">
        <v>47988</v>
      </c>
    </row>
    <row r="492" spans="1:21">
      <c r="A492" s="5">
        <v>106196</v>
      </c>
      <c r="B492" s="5" t="s">
        <v>16</v>
      </c>
      <c r="C492" s="5" t="s">
        <v>17</v>
      </c>
      <c r="D492" s="5" t="s">
        <v>23</v>
      </c>
      <c r="E492" s="5" t="s">
        <v>19</v>
      </c>
      <c r="F492" s="5" t="s">
        <v>28</v>
      </c>
      <c r="G492" s="5" t="s">
        <v>15</v>
      </c>
      <c r="H492" s="5">
        <v>12723</v>
      </c>
      <c r="I492" s="5">
        <v>132</v>
      </c>
      <c r="J492" s="6">
        <f t="shared" si="7"/>
        <v>12591</v>
      </c>
      <c r="L492" s="18">
        <v>191551</v>
      </c>
      <c r="M492" s="19" t="s">
        <v>16</v>
      </c>
      <c r="N492" s="19" t="s">
        <v>38</v>
      </c>
      <c r="O492" s="19" t="s">
        <v>32</v>
      </c>
      <c r="P492" s="19" t="s">
        <v>13</v>
      </c>
      <c r="Q492" s="19" t="s">
        <v>14</v>
      </c>
      <c r="R492" s="19" t="s">
        <v>15</v>
      </c>
      <c r="S492" s="19">
        <v>48603</v>
      </c>
      <c r="T492" s="77">
        <v>29728</v>
      </c>
      <c r="U492" s="20">
        <v>18875</v>
      </c>
    </row>
    <row r="493" spans="1:21">
      <c r="A493" s="5">
        <v>7825</v>
      </c>
      <c r="B493" s="5" t="s">
        <v>16</v>
      </c>
      <c r="C493" s="5" t="s">
        <v>37</v>
      </c>
      <c r="D493" s="5" t="s">
        <v>12</v>
      </c>
      <c r="E493" s="5" t="s">
        <v>13</v>
      </c>
      <c r="F493" s="5" t="s">
        <v>14</v>
      </c>
      <c r="G493" s="5" t="s">
        <v>24</v>
      </c>
      <c r="H493" s="5">
        <v>29394</v>
      </c>
      <c r="I493" s="5">
        <v>1053</v>
      </c>
      <c r="J493" s="6">
        <f t="shared" si="7"/>
        <v>28341</v>
      </c>
      <c r="L493" s="21">
        <v>186536</v>
      </c>
      <c r="M493" s="22" t="s">
        <v>10</v>
      </c>
      <c r="N493" s="22" t="s">
        <v>37</v>
      </c>
      <c r="O493" s="22" t="s">
        <v>32</v>
      </c>
      <c r="P493" s="22" t="s">
        <v>13</v>
      </c>
      <c r="Q493" s="22" t="s">
        <v>14</v>
      </c>
      <c r="R493" s="22" t="s">
        <v>15</v>
      </c>
      <c r="S493" s="22">
        <v>1187</v>
      </c>
      <c r="T493" s="78">
        <v>1035</v>
      </c>
      <c r="U493" s="23">
        <v>152</v>
      </c>
    </row>
    <row r="494" spans="1:21">
      <c r="A494" s="5">
        <v>155591</v>
      </c>
      <c r="B494" s="5" t="s">
        <v>16</v>
      </c>
      <c r="C494" s="5" t="s">
        <v>31</v>
      </c>
      <c r="D494" s="5" t="s">
        <v>36</v>
      </c>
      <c r="E494" s="5" t="s">
        <v>19</v>
      </c>
      <c r="F494" s="5" t="s">
        <v>28</v>
      </c>
      <c r="G494" s="5" t="s">
        <v>15</v>
      </c>
      <c r="H494" s="5">
        <v>39927</v>
      </c>
      <c r="I494" s="5">
        <v>0</v>
      </c>
      <c r="J494" s="6">
        <f t="shared" si="7"/>
        <v>39927</v>
      </c>
      <c r="L494" s="18">
        <v>111889</v>
      </c>
      <c r="M494" s="19" t="s">
        <v>16</v>
      </c>
      <c r="N494" s="19" t="s">
        <v>22</v>
      </c>
      <c r="O494" s="19" t="s">
        <v>18</v>
      </c>
      <c r="P494" s="19" t="s">
        <v>13</v>
      </c>
      <c r="Q494" s="19" t="s">
        <v>14</v>
      </c>
      <c r="R494" s="19" t="s">
        <v>24</v>
      </c>
      <c r="S494" s="19">
        <v>26551</v>
      </c>
      <c r="T494" s="77">
        <v>1252</v>
      </c>
      <c r="U494" s="20">
        <v>25299</v>
      </c>
    </row>
    <row r="495" spans="1:21">
      <c r="A495" s="5">
        <v>39078</v>
      </c>
      <c r="B495" s="5" t="s">
        <v>10</v>
      </c>
      <c r="C495" s="5" t="s">
        <v>35</v>
      </c>
      <c r="D495" s="5" t="s">
        <v>23</v>
      </c>
      <c r="E495" s="5" t="s">
        <v>13</v>
      </c>
      <c r="F495" s="5" t="s">
        <v>28</v>
      </c>
      <c r="G495" s="5" t="s">
        <v>15</v>
      </c>
      <c r="H495" s="5">
        <v>130740</v>
      </c>
      <c r="I495" s="5">
        <v>893</v>
      </c>
      <c r="J495" s="6">
        <f t="shared" si="7"/>
        <v>129847</v>
      </c>
      <c r="L495" s="21">
        <v>32273</v>
      </c>
      <c r="M495" s="22" t="s">
        <v>16</v>
      </c>
      <c r="N495" s="22" t="s">
        <v>35</v>
      </c>
      <c r="O495" s="22" t="s">
        <v>12</v>
      </c>
      <c r="P495" s="22" t="s">
        <v>19</v>
      </c>
      <c r="Q495" s="22" t="s">
        <v>14</v>
      </c>
      <c r="R495" s="22" t="s">
        <v>24</v>
      </c>
      <c r="S495" s="22">
        <v>49649</v>
      </c>
      <c r="T495" s="78">
        <v>5532</v>
      </c>
      <c r="U495" s="23">
        <v>44117</v>
      </c>
    </row>
    <row r="496" spans="1:21">
      <c r="A496" s="5">
        <v>205166</v>
      </c>
      <c r="B496" s="5" t="s">
        <v>16</v>
      </c>
      <c r="C496" s="5" t="s">
        <v>34</v>
      </c>
      <c r="D496" s="5" t="s">
        <v>21</v>
      </c>
      <c r="E496" s="5" t="s">
        <v>13</v>
      </c>
      <c r="F496" s="5" t="s">
        <v>28</v>
      </c>
      <c r="G496" s="5" t="s">
        <v>24</v>
      </c>
      <c r="H496" s="5">
        <v>46461</v>
      </c>
      <c r="I496" s="5">
        <v>274</v>
      </c>
      <c r="J496" s="6">
        <f t="shared" si="7"/>
        <v>46187</v>
      </c>
      <c r="L496" s="18">
        <v>37949</v>
      </c>
      <c r="M496" s="19" t="s">
        <v>16</v>
      </c>
      <c r="N496" s="19" t="s">
        <v>35</v>
      </c>
      <c r="O496" s="19" t="s">
        <v>30</v>
      </c>
      <c r="P496" s="19" t="s">
        <v>13</v>
      </c>
      <c r="Q496" s="19" t="s">
        <v>14</v>
      </c>
      <c r="R496" s="19" t="s">
        <v>15</v>
      </c>
      <c r="S496" s="19">
        <v>20337</v>
      </c>
      <c r="T496" s="77">
        <v>1623</v>
      </c>
      <c r="U496" s="20">
        <v>18714</v>
      </c>
    </row>
    <row r="497" spans="1:21">
      <c r="A497" s="5">
        <v>212188</v>
      </c>
      <c r="B497" s="5" t="s">
        <v>16</v>
      </c>
      <c r="C497" s="5" t="s">
        <v>37</v>
      </c>
      <c r="D497" s="5" t="s">
        <v>33</v>
      </c>
      <c r="E497" s="5" t="s">
        <v>19</v>
      </c>
      <c r="F497" s="5" t="s">
        <v>14</v>
      </c>
      <c r="G497" s="5" t="s">
        <v>24</v>
      </c>
      <c r="H497" s="5">
        <v>67632</v>
      </c>
      <c r="I497" s="5">
        <v>281</v>
      </c>
      <c r="J497" s="6">
        <f t="shared" si="7"/>
        <v>67351</v>
      </c>
      <c r="L497" s="21">
        <v>197972</v>
      </c>
      <c r="M497" s="22" t="s">
        <v>16</v>
      </c>
      <c r="N497" s="22" t="s">
        <v>38</v>
      </c>
      <c r="O497" s="22" t="s">
        <v>30</v>
      </c>
      <c r="P497" s="22" t="s">
        <v>13</v>
      </c>
      <c r="Q497" s="22" t="s">
        <v>14</v>
      </c>
      <c r="R497" s="22" t="s">
        <v>15</v>
      </c>
      <c r="S497" s="22">
        <v>40411</v>
      </c>
      <c r="T497" s="78">
        <v>1526</v>
      </c>
      <c r="U497" s="23">
        <v>38885</v>
      </c>
    </row>
    <row r="498" spans="1:21">
      <c r="A498" s="5">
        <v>22419</v>
      </c>
      <c r="B498" s="5" t="s">
        <v>10</v>
      </c>
      <c r="C498" s="5" t="s">
        <v>11</v>
      </c>
      <c r="D498" s="5" t="s">
        <v>32</v>
      </c>
      <c r="E498" s="5" t="s">
        <v>13</v>
      </c>
      <c r="F498" s="5" t="s">
        <v>14</v>
      </c>
      <c r="G498" s="5" t="s">
        <v>15</v>
      </c>
      <c r="H498" s="5">
        <v>110728</v>
      </c>
      <c r="I498" s="5">
        <v>0</v>
      </c>
      <c r="J498" s="6">
        <f t="shared" si="7"/>
        <v>110728</v>
      </c>
      <c r="L498" s="18">
        <v>189845</v>
      </c>
      <c r="M498" s="19" t="s">
        <v>10</v>
      </c>
      <c r="N498" s="19" t="s">
        <v>37</v>
      </c>
      <c r="O498" s="19" t="s">
        <v>32</v>
      </c>
      <c r="P498" s="19" t="s">
        <v>13</v>
      </c>
      <c r="Q498" s="19" t="s">
        <v>14</v>
      </c>
      <c r="R498" s="19" t="s">
        <v>15</v>
      </c>
      <c r="S498" s="19">
        <v>253296</v>
      </c>
      <c r="T498" s="77">
        <v>23237</v>
      </c>
      <c r="U498" s="20">
        <v>230059</v>
      </c>
    </row>
    <row r="499" spans="1:21">
      <c r="A499" s="5">
        <v>82244</v>
      </c>
      <c r="B499" s="5" t="s">
        <v>10</v>
      </c>
      <c r="C499" s="5" t="s">
        <v>37</v>
      </c>
      <c r="D499" s="5" t="s">
        <v>32</v>
      </c>
      <c r="E499" s="5" t="s">
        <v>19</v>
      </c>
      <c r="F499" s="5" t="s">
        <v>14</v>
      </c>
      <c r="G499" s="5" t="s">
        <v>24</v>
      </c>
      <c r="H499" s="5">
        <v>2364</v>
      </c>
      <c r="I499" s="5">
        <v>201</v>
      </c>
      <c r="J499" s="6">
        <f t="shared" si="7"/>
        <v>2163</v>
      </c>
      <c r="L499" s="21">
        <v>173099</v>
      </c>
      <c r="M499" s="22" t="s">
        <v>16</v>
      </c>
      <c r="N499" s="22" t="s">
        <v>27</v>
      </c>
      <c r="O499" s="22" t="s">
        <v>30</v>
      </c>
      <c r="P499" s="22" t="s">
        <v>19</v>
      </c>
      <c r="Q499" s="22" t="s">
        <v>14</v>
      </c>
      <c r="R499" s="22" t="s">
        <v>24</v>
      </c>
      <c r="S499" s="22">
        <v>39295</v>
      </c>
      <c r="T499" s="78">
        <v>6133</v>
      </c>
      <c r="U499" s="23">
        <v>33162</v>
      </c>
    </row>
    <row r="500" spans="1:21">
      <c r="A500" s="5">
        <v>75618</v>
      </c>
      <c r="B500" s="5" t="s">
        <v>16</v>
      </c>
      <c r="C500" s="5" t="s">
        <v>27</v>
      </c>
      <c r="D500" s="5" t="s">
        <v>12</v>
      </c>
      <c r="E500" s="5" t="s">
        <v>13</v>
      </c>
      <c r="F500" s="5" t="s">
        <v>14</v>
      </c>
      <c r="G500" s="5" t="s">
        <v>15</v>
      </c>
      <c r="H500" s="5">
        <v>75547</v>
      </c>
      <c r="I500" s="5">
        <v>630</v>
      </c>
      <c r="J500" s="6">
        <f t="shared" si="7"/>
        <v>74917</v>
      </c>
      <c r="L500" s="18">
        <v>95275</v>
      </c>
      <c r="M500" s="19" t="s">
        <v>16</v>
      </c>
      <c r="N500" s="19" t="s">
        <v>20</v>
      </c>
      <c r="O500" s="19" t="s">
        <v>21</v>
      </c>
      <c r="P500" s="19" t="s">
        <v>13</v>
      </c>
      <c r="Q500" s="19" t="s">
        <v>14</v>
      </c>
      <c r="R500" s="19" t="s">
        <v>24</v>
      </c>
      <c r="S500" s="19">
        <v>5175</v>
      </c>
      <c r="T500" s="77">
        <v>369</v>
      </c>
      <c r="U500" s="20">
        <v>4806</v>
      </c>
    </row>
    <row r="501" spans="1:21">
      <c r="A501" s="5">
        <v>217563</v>
      </c>
      <c r="B501" s="5" t="s">
        <v>10</v>
      </c>
      <c r="C501" s="5" t="s">
        <v>38</v>
      </c>
      <c r="D501" s="5" t="s">
        <v>33</v>
      </c>
      <c r="E501" s="5" t="s">
        <v>13</v>
      </c>
      <c r="F501" s="5" t="s">
        <v>14</v>
      </c>
      <c r="G501" s="5" t="s">
        <v>15</v>
      </c>
      <c r="H501" s="5">
        <v>45100</v>
      </c>
      <c r="I501" s="5">
        <v>273</v>
      </c>
      <c r="J501" s="6">
        <f t="shared" si="7"/>
        <v>44827</v>
      </c>
      <c r="L501" s="21">
        <v>235464</v>
      </c>
      <c r="M501" s="22" t="s">
        <v>16</v>
      </c>
      <c r="N501" s="22" t="s">
        <v>17</v>
      </c>
      <c r="O501" s="22" t="s">
        <v>21</v>
      </c>
      <c r="P501" s="22" t="s">
        <v>19</v>
      </c>
      <c r="Q501" s="22" t="s">
        <v>14</v>
      </c>
      <c r="R501" s="22" t="s">
        <v>24</v>
      </c>
      <c r="S501" s="22">
        <v>17679</v>
      </c>
      <c r="T501" s="78">
        <v>189</v>
      </c>
      <c r="U501" s="23">
        <v>17490</v>
      </c>
    </row>
    <row r="502" spans="1:21">
      <c r="A502" s="5">
        <v>227714</v>
      </c>
      <c r="B502" s="5" t="s">
        <v>16</v>
      </c>
      <c r="C502" s="5" t="s">
        <v>17</v>
      </c>
      <c r="D502" s="5" t="s">
        <v>12</v>
      </c>
      <c r="E502" s="5" t="s">
        <v>19</v>
      </c>
      <c r="F502" s="5" t="s">
        <v>14</v>
      </c>
      <c r="G502" s="5" t="s">
        <v>15</v>
      </c>
      <c r="H502" s="5">
        <v>51449</v>
      </c>
      <c r="I502" s="5">
        <v>5316</v>
      </c>
      <c r="J502" s="6">
        <f t="shared" si="7"/>
        <v>46133</v>
      </c>
      <c r="L502" s="18">
        <v>172726</v>
      </c>
      <c r="M502" s="19" t="s">
        <v>10</v>
      </c>
      <c r="N502" s="19" t="s">
        <v>17</v>
      </c>
      <c r="O502" s="19" t="s">
        <v>36</v>
      </c>
      <c r="P502" s="19" t="s">
        <v>19</v>
      </c>
      <c r="Q502" s="19" t="s">
        <v>14</v>
      </c>
      <c r="R502" s="19" t="s">
        <v>24</v>
      </c>
      <c r="S502" s="19">
        <v>10504</v>
      </c>
      <c r="T502" s="77">
        <v>0</v>
      </c>
      <c r="U502" s="20">
        <v>10504</v>
      </c>
    </row>
    <row r="503" spans="1:21">
      <c r="A503" s="5">
        <v>40627</v>
      </c>
      <c r="B503" s="5" t="s">
        <v>10</v>
      </c>
      <c r="C503" s="5" t="s">
        <v>35</v>
      </c>
      <c r="D503" s="5" t="s">
        <v>29</v>
      </c>
      <c r="E503" s="5" t="s">
        <v>13</v>
      </c>
      <c r="F503" s="5" t="s">
        <v>14</v>
      </c>
      <c r="G503" s="5" t="s">
        <v>15</v>
      </c>
      <c r="H503" s="5">
        <v>111011</v>
      </c>
      <c r="I503" s="5">
        <v>160</v>
      </c>
      <c r="J503" s="6">
        <f t="shared" si="7"/>
        <v>110851</v>
      </c>
      <c r="L503" s="21">
        <v>107317</v>
      </c>
      <c r="M503" s="22" t="s">
        <v>16</v>
      </c>
      <c r="N503" s="22" t="s">
        <v>22</v>
      </c>
      <c r="O503" s="22" t="s">
        <v>33</v>
      </c>
      <c r="P503" s="22" t="s">
        <v>13</v>
      </c>
      <c r="Q503" s="22" t="s">
        <v>14</v>
      </c>
      <c r="R503" s="22" t="s">
        <v>15</v>
      </c>
      <c r="S503" s="22">
        <v>45279</v>
      </c>
      <c r="T503" s="78">
        <v>494</v>
      </c>
      <c r="U503" s="23">
        <v>44785</v>
      </c>
    </row>
    <row r="504" spans="1:21">
      <c r="A504" s="5">
        <v>198644</v>
      </c>
      <c r="B504" s="5" t="s">
        <v>10</v>
      </c>
      <c r="C504" s="5" t="s">
        <v>38</v>
      </c>
      <c r="D504" s="5" t="s">
        <v>29</v>
      </c>
      <c r="E504" s="5" t="s">
        <v>19</v>
      </c>
      <c r="F504" s="5" t="s">
        <v>14</v>
      </c>
      <c r="G504" s="5" t="s">
        <v>24</v>
      </c>
      <c r="H504" s="5">
        <v>99465</v>
      </c>
      <c r="I504" s="5">
        <v>15802</v>
      </c>
      <c r="J504" s="6">
        <f t="shared" si="7"/>
        <v>83663</v>
      </c>
      <c r="L504" s="18">
        <v>209852</v>
      </c>
      <c r="M504" s="19" t="s">
        <v>16</v>
      </c>
      <c r="N504" s="19" t="s">
        <v>37</v>
      </c>
      <c r="O504" s="19" t="s">
        <v>30</v>
      </c>
      <c r="P504" s="19" t="s">
        <v>19</v>
      </c>
      <c r="Q504" s="19" t="s">
        <v>14</v>
      </c>
      <c r="R504" s="19" t="s">
        <v>15</v>
      </c>
      <c r="S504" s="19">
        <v>175816</v>
      </c>
      <c r="T504" s="77">
        <v>3756</v>
      </c>
      <c r="U504" s="20">
        <v>172060</v>
      </c>
    </row>
    <row r="505" spans="1:21">
      <c r="A505" s="5">
        <v>194736</v>
      </c>
      <c r="B505" s="5" t="s">
        <v>16</v>
      </c>
      <c r="C505" s="5" t="s">
        <v>37</v>
      </c>
      <c r="D505" s="5" t="s">
        <v>12</v>
      </c>
      <c r="E505" s="5" t="s">
        <v>19</v>
      </c>
      <c r="F505" s="5" t="s">
        <v>14</v>
      </c>
      <c r="G505" s="5" t="s">
        <v>15</v>
      </c>
      <c r="H505" s="5">
        <v>43529</v>
      </c>
      <c r="I505" s="5">
        <v>1919</v>
      </c>
      <c r="J505" s="6">
        <f t="shared" si="7"/>
        <v>41610</v>
      </c>
      <c r="L505" s="21">
        <v>250962</v>
      </c>
      <c r="M505" s="22" t="s">
        <v>10</v>
      </c>
      <c r="N505" s="22" t="s">
        <v>27</v>
      </c>
      <c r="O505" s="22" t="s">
        <v>32</v>
      </c>
      <c r="P505" s="22" t="s">
        <v>13</v>
      </c>
      <c r="Q505" s="22" t="s">
        <v>14</v>
      </c>
      <c r="R505" s="22" t="s">
        <v>15</v>
      </c>
      <c r="S505" s="22">
        <v>54064</v>
      </c>
      <c r="T505" s="78">
        <v>0</v>
      </c>
      <c r="U505" s="23">
        <v>54064</v>
      </c>
    </row>
    <row r="506" spans="1:21">
      <c r="A506" s="5">
        <v>93695</v>
      </c>
      <c r="B506" s="5" t="s">
        <v>10</v>
      </c>
      <c r="C506" s="5" t="s">
        <v>20</v>
      </c>
      <c r="D506" s="5" t="s">
        <v>32</v>
      </c>
      <c r="E506" s="5" t="s">
        <v>13</v>
      </c>
      <c r="F506" s="5" t="s">
        <v>14</v>
      </c>
      <c r="G506" s="5" t="s">
        <v>15</v>
      </c>
      <c r="H506" s="5">
        <v>57321</v>
      </c>
      <c r="I506" s="5">
        <v>1352</v>
      </c>
      <c r="J506" s="6">
        <f t="shared" si="7"/>
        <v>55969</v>
      </c>
      <c r="L506" s="18">
        <v>170523</v>
      </c>
      <c r="M506" s="19" t="s">
        <v>16</v>
      </c>
      <c r="N506" s="19" t="s">
        <v>17</v>
      </c>
      <c r="O506" s="19" t="s">
        <v>36</v>
      </c>
      <c r="P506" s="19" t="s">
        <v>19</v>
      </c>
      <c r="Q506" s="19" t="s">
        <v>14</v>
      </c>
      <c r="R506" s="19" t="s">
        <v>15</v>
      </c>
      <c r="S506" s="19">
        <v>33202</v>
      </c>
      <c r="T506" s="77">
        <v>866</v>
      </c>
      <c r="U506" s="20">
        <v>32336</v>
      </c>
    </row>
    <row r="507" spans="1:21">
      <c r="A507" s="5">
        <v>177062</v>
      </c>
      <c r="B507" s="5" t="s">
        <v>16</v>
      </c>
      <c r="C507" s="5" t="s">
        <v>25</v>
      </c>
      <c r="D507" s="5" t="s">
        <v>30</v>
      </c>
      <c r="E507" s="5" t="s">
        <v>13</v>
      </c>
      <c r="F507" s="5" t="s">
        <v>28</v>
      </c>
      <c r="G507" s="5" t="s">
        <v>24</v>
      </c>
      <c r="H507" s="5">
        <v>96524</v>
      </c>
      <c r="I507" s="5">
        <v>235</v>
      </c>
      <c r="J507" s="6">
        <f t="shared" si="7"/>
        <v>96289</v>
      </c>
      <c r="L507" s="21">
        <v>226101</v>
      </c>
      <c r="M507" s="22" t="s">
        <v>16</v>
      </c>
      <c r="N507" s="22" t="s">
        <v>25</v>
      </c>
      <c r="O507" s="22" t="s">
        <v>18</v>
      </c>
      <c r="P507" s="22" t="s">
        <v>13</v>
      </c>
      <c r="Q507" s="22" t="s">
        <v>14</v>
      </c>
      <c r="R507" s="22" t="s">
        <v>15</v>
      </c>
      <c r="S507" s="22">
        <v>22870</v>
      </c>
      <c r="T507" s="78">
        <v>3572</v>
      </c>
      <c r="U507" s="23">
        <v>19298</v>
      </c>
    </row>
    <row r="508" spans="1:21">
      <c r="A508" s="5">
        <v>28691</v>
      </c>
      <c r="B508" s="5" t="s">
        <v>16</v>
      </c>
      <c r="C508" s="5" t="s">
        <v>35</v>
      </c>
      <c r="D508" s="5" t="s">
        <v>33</v>
      </c>
      <c r="E508" s="5" t="s">
        <v>13</v>
      </c>
      <c r="F508" s="5" t="s">
        <v>14</v>
      </c>
      <c r="G508" s="5" t="s">
        <v>24</v>
      </c>
      <c r="H508" s="5">
        <v>74897</v>
      </c>
      <c r="I508" s="5">
        <v>11511</v>
      </c>
      <c r="J508" s="6">
        <f t="shared" si="7"/>
        <v>63386</v>
      </c>
      <c r="L508" s="18">
        <v>62139</v>
      </c>
      <c r="M508" s="19" t="s">
        <v>16</v>
      </c>
      <c r="N508" s="19" t="s">
        <v>27</v>
      </c>
      <c r="O508" s="19" t="s">
        <v>33</v>
      </c>
      <c r="P508" s="19" t="s">
        <v>19</v>
      </c>
      <c r="Q508" s="19" t="s">
        <v>14</v>
      </c>
      <c r="R508" s="19" t="s">
        <v>24</v>
      </c>
      <c r="S508" s="19">
        <v>61229</v>
      </c>
      <c r="T508" s="77">
        <v>346</v>
      </c>
      <c r="U508" s="20">
        <v>60883</v>
      </c>
    </row>
    <row r="509" spans="1:21">
      <c r="A509" s="5">
        <v>216619</v>
      </c>
      <c r="B509" s="5" t="s">
        <v>10</v>
      </c>
      <c r="C509" s="5" t="s">
        <v>34</v>
      </c>
      <c r="D509" s="5" t="s">
        <v>29</v>
      </c>
      <c r="E509" s="5" t="s">
        <v>13</v>
      </c>
      <c r="F509" s="5" t="s">
        <v>14</v>
      </c>
      <c r="G509" s="5" t="s">
        <v>24</v>
      </c>
      <c r="H509" s="5">
        <v>84918</v>
      </c>
      <c r="I509" s="5">
        <v>4984</v>
      </c>
      <c r="J509" s="6">
        <f t="shared" si="7"/>
        <v>79934</v>
      </c>
      <c r="L509" s="21">
        <v>78798</v>
      </c>
      <c r="M509" s="22" t="s">
        <v>10</v>
      </c>
      <c r="N509" s="22" t="s">
        <v>20</v>
      </c>
      <c r="O509" s="22" t="s">
        <v>29</v>
      </c>
      <c r="P509" s="22" t="s">
        <v>13</v>
      </c>
      <c r="Q509" s="22" t="s">
        <v>14</v>
      </c>
      <c r="R509" s="22" t="s">
        <v>15</v>
      </c>
      <c r="S509" s="22">
        <v>32718</v>
      </c>
      <c r="T509" s="78">
        <v>936</v>
      </c>
      <c r="U509" s="23">
        <v>31782</v>
      </c>
    </row>
    <row r="510" spans="1:21">
      <c r="A510" s="5">
        <v>187319</v>
      </c>
      <c r="B510" s="5" t="s">
        <v>16</v>
      </c>
      <c r="C510" s="5" t="s">
        <v>20</v>
      </c>
      <c r="D510" s="5" t="s">
        <v>32</v>
      </c>
      <c r="E510" s="5" t="s">
        <v>19</v>
      </c>
      <c r="F510" s="5" t="s">
        <v>14</v>
      </c>
      <c r="G510" s="5" t="s">
        <v>15</v>
      </c>
      <c r="H510" s="5">
        <v>32111</v>
      </c>
      <c r="I510" s="5">
        <v>190</v>
      </c>
      <c r="J510" s="6">
        <f t="shared" si="7"/>
        <v>31921</v>
      </c>
      <c r="L510" s="18">
        <v>91400</v>
      </c>
      <c r="M510" s="19" t="s">
        <v>16</v>
      </c>
      <c r="N510" s="19" t="s">
        <v>39</v>
      </c>
      <c r="O510" s="19" t="s">
        <v>33</v>
      </c>
      <c r="P510" s="19" t="s">
        <v>13</v>
      </c>
      <c r="Q510" s="19" t="s">
        <v>14</v>
      </c>
      <c r="R510" s="19" t="s">
        <v>15</v>
      </c>
      <c r="S510" s="19">
        <v>17334</v>
      </c>
      <c r="T510" s="77">
        <v>323</v>
      </c>
      <c r="U510" s="20">
        <v>17011</v>
      </c>
    </row>
    <row r="511" spans="1:21">
      <c r="A511" s="5">
        <v>238726</v>
      </c>
      <c r="B511" s="5" t="s">
        <v>16</v>
      </c>
      <c r="C511" s="5" t="s">
        <v>17</v>
      </c>
      <c r="D511" s="5" t="s">
        <v>33</v>
      </c>
      <c r="E511" s="5" t="s">
        <v>19</v>
      </c>
      <c r="F511" s="5" t="s">
        <v>14</v>
      </c>
      <c r="G511" s="5" t="s">
        <v>24</v>
      </c>
      <c r="H511" s="5">
        <v>103097</v>
      </c>
      <c r="I511" s="5">
        <v>318</v>
      </c>
      <c r="J511" s="6">
        <f t="shared" si="7"/>
        <v>102779</v>
      </c>
      <c r="L511" s="21">
        <v>110246</v>
      </c>
      <c r="M511" s="22" t="s">
        <v>16</v>
      </c>
      <c r="N511" s="22" t="s">
        <v>34</v>
      </c>
      <c r="O511" s="22" t="s">
        <v>36</v>
      </c>
      <c r="P511" s="22" t="s">
        <v>13</v>
      </c>
      <c r="Q511" s="22" t="s">
        <v>14</v>
      </c>
      <c r="R511" s="22" t="s">
        <v>24</v>
      </c>
      <c r="S511" s="22">
        <v>33678</v>
      </c>
      <c r="T511" s="78">
        <v>821</v>
      </c>
      <c r="U511" s="23">
        <v>32857</v>
      </c>
    </row>
    <row r="512" spans="1:21">
      <c r="A512" s="5">
        <v>245866</v>
      </c>
      <c r="B512" s="5" t="s">
        <v>10</v>
      </c>
      <c r="C512" s="5" t="s">
        <v>17</v>
      </c>
      <c r="D512" s="5" t="s">
        <v>29</v>
      </c>
      <c r="E512" s="5" t="s">
        <v>19</v>
      </c>
      <c r="F512" s="5" t="s">
        <v>28</v>
      </c>
      <c r="G512" s="5" t="s">
        <v>24</v>
      </c>
      <c r="H512" s="5">
        <v>41222</v>
      </c>
      <c r="I512" s="5">
        <v>323</v>
      </c>
      <c r="J512" s="6">
        <f t="shared" si="7"/>
        <v>40899</v>
      </c>
      <c r="L512" s="18">
        <v>243356</v>
      </c>
      <c r="M512" s="19" t="s">
        <v>16</v>
      </c>
      <c r="N512" s="19" t="s">
        <v>37</v>
      </c>
      <c r="O512" s="19" t="s">
        <v>32</v>
      </c>
      <c r="P512" s="19" t="s">
        <v>19</v>
      </c>
      <c r="Q512" s="19" t="s">
        <v>14</v>
      </c>
      <c r="R512" s="19" t="s">
        <v>24</v>
      </c>
      <c r="S512" s="19">
        <v>30975</v>
      </c>
      <c r="T512" s="77">
        <v>110</v>
      </c>
      <c r="U512" s="20">
        <v>30865</v>
      </c>
    </row>
    <row r="513" spans="1:21">
      <c r="A513" s="5">
        <v>112478</v>
      </c>
      <c r="B513" s="5" t="s">
        <v>16</v>
      </c>
      <c r="C513" s="5" t="s">
        <v>22</v>
      </c>
      <c r="D513" s="5" t="s">
        <v>33</v>
      </c>
      <c r="E513" s="5" t="s">
        <v>13</v>
      </c>
      <c r="F513" s="5" t="s">
        <v>14</v>
      </c>
      <c r="G513" s="5" t="s">
        <v>15</v>
      </c>
      <c r="H513" s="5">
        <v>15263</v>
      </c>
      <c r="I513" s="5">
        <v>384</v>
      </c>
      <c r="J513" s="6">
        <f t="shared" si="7"/>
        <v>14879</v>
      </c>
      <c r="L513" s="21">
        <v>140627</v>
      </c>
      <c r="M513" s="22" t="s">
        <v>10</v>
      </c>
      <c r="N513" s="22" t="s">
        <v>17</v>
      </c>
      <c r="O513" s="22" t="s">
        <v>29</v>
      </c>
      <c r="P513" s="22" t="s">
        <v>19</v>
      </c>
      <c r="Q513" s="22" t="s">
        <v>14</v>
      </c>
      <c r="R513" s="22" t="s">
        <v>24</v>
      </c>
      <c r="S513" s="22">
        <v>31818</v>
      </c>
      <c r="T513" s="78">
        <v>2273</v>
      </c>
      <c r="U513" s="23">
        <v>29545</v>
      </c>
    </row>
    <row r="514" spans="1:21">
      <c r="A514" s="5">
        <v>18289</v>
      </c>
      <c r="B514" s="5" t="s">
        <v>16</v>
      </c>
      <c r="C514" s="5" t="s">
        <v>11</v>
      </c>
      <c r="D514" s="5" t="s">
        <v>36</v>
      </c>
      <c r="E514" s="5" t="s">
        <v>13</v>
      </c>
      <c r="F514" s="5" t="s">
        <v>14</v>
      </c>
      <c r="G514" s="5" t="s">
        <v>24</v>
      </c>
      <c r="H514" s="5">
        <v>34985</v>
      </c>
      <c r="I514" s="5">
        <v>3365</v>
      </c>
      <c r="J514" s="6">
        <f t="shared" ref="J514:J577" si="8">H514-I514</f>
        <v>31620</v>
      </c>
      <c r="L514" s="18">
        <v>104734</v>
      </c>
      <c r="M514" s="19" t="s">
        <v>16</v>
      </c>
      <c r="N514" s="19" t="s">
        <v>27</v>
      </c>
      <c r="O514" s="19" t="s">
        <v>32</v>
      </c>
      <c r="P514" s="19" t="s">
        <v>13</v>
      </c>
      <c r="Q514" s="19" t="s">
        <v>14</v>
      </c>
      <c r="R514" s="19" t="s">
        <v>24</v>
      </c>
      <c r="S514" s="19">
        <v>5200</v>
      </c>
      <c r="T514" s="77">
        <v>0</v>
      </c>
      <c r="U514" s="20">
        <v>5200</v>
      </c>
    </row>
    <row r="515" spans="1:21">
      <c r="A515" s="5">
        <v>250653</v>
      </c>
      <c r="B515" s="5" t="s">
        <v>16</v>
      </c>
      <c r="C515" s="5" t="s">
        <v>17</v>
      </c>
      <c r="D515" s="5" t="s">
        <v>33</v>
      </c>
      <c r="E515" s="5" t="s">
        <v>19</v>
      </c>
      <c r="F515" s="5" t="s">
        <v>28</v>
      </c>
      <c r="G515" s="5" t="s">
        <v>15</v>
      </c>
      <c r="H515" s="5">
        <v>55677</v>
      </c>
      <c r="I515" s="5">
        <v>22</v>
      </c>
      <c r="J515" s="6">
        <f t="shared" si="8"/>
        <v>55655</v>
      </c>
      <c r="L515" s="21">
        <v>184775</v>
      </c>
      <c r="M515" s="22" t="s">
        <v>16</v>
      </c>
      <c r="N515" s="22" t="s">
        <v>34</v>
      </c>
      <c r="O515" s="22" t="s">
        <v>33</v>
      </c>
      <c r="P515" s="22" t="s">
        <v>13</v>
      </c>
      <c r="Q515" s="22" t="s">
        <v>14</v>
      </c>
      <c r="R515" s="22" t="s">
        <v>15</v>
      </c>
      <c r="S515" s="22">
        <v>62812</v>
      </c>
      <c r="T515" s="78">
        <v>321</v>
      </c>
      <c r="U515" s="23">
        <v>62491</v>
      </c>
    </row>
    <row r="516" spans="1:21">
      <c r="A516" s="5">
        <v>206747</v>
      </c>
      <c r="B516" s="5" t="s">
        <v>10</v>
      </c>
      <c r="C516" s="5" t="s">
        <v>11</v>
      </c>
      <c r="D516" s="5" t="s">
        <v>29</v>
      </c>
      <c r="E516" s="5" t="s">
        <v>19</v>
      </c>
      <c r="F516" s="5" t="s">
        <v>14</v>
      </c>
      <c r="G516" s="5" t="s">
        <v>24</v>
      </c>
      <c r="H516" s="5">
        <v>32695</v>
      </c>
      <c r="I516" s="5">
        <v>322</v>
      </c>
      <c r="J516" s="6">
        <f t="shared" si="8"/>
        <v>32373</v>
      </c>
      <c r="L516" s="18">
        <v>181468</v>
      </c>
      <c r="M516" s="19" t="s">
        <v>10</v>
      </c>
      <c r="N516" s="19" t="s">
        <v>20</v>
      </c>
      <c r="O516" s="19" t="s">
        <v>21</v>
      </c>
      <c r="P516" s="19" t="s">
        <v>19</v>
      </c>
      <c r="Q516" s="19" t="s">
        <v>14</v>
      </c>
      <c r="R516" s="19" t="s">
        <v>15</v>
      </c>
      <c r="S516" s="19">
        <v>33930</v>
      </c>
      <c r="T516" s="77">
        <v>348</v>
      </c>
      <c r="U516" s="20">
        <v>33582</v>
      </c>
    </row>
    <row r="517" spans="1:21">
      <c r="A517" s="5">
        <v>161848</v>
      </c>
      <c r="B517" s="5" t="s">
        <v>16</v>
      </c>
      <c r="C517" s="5" t="s">
        <v>25</v>
      </c>
      <c r="D517" s="5" t="s">
        <v>32</v>
      </c>
      <c r="E517" s="5" t="s">
        <v>13</v>
      </c>
      <c r="F517" s="5" t="s">
        <v>14</v>
      </c>
      <c r="G517" s="5" t="s">
        <v>15</v>
      </c>
      <c r="H517" s="5">
        <v>214767</v>
      </c>
      <c r="I517" s="5">
        <v>0</v>
      </c>
      <c r="J517" s="6">
        <f t="shared" si="8"/>
        <v>214767</v>
      </c>
      <c r="L517" s="21">
        <v>88841</v>
      </c>
      <c r="M517" s="22" t="s">
        <v>10</v>
      </c>
      <c r="N517" s="22" t="s">
        <v>38</v>
      </c>
      <c r="O517" s="22" t="s">
        <v>32</v>
      </c>
      <c r="P517" s="22" t="s">
        <v>13</v>
      </c>
      <c r="Q517" s="22" t="s">
        <v>14</v>
      </c>
      <c r="R517" s="22" t="s">
        <v>15</v>
      </c>
      <c r="S517" s="22">
        <v>3</v>
      </c>
      <c r="T517" s="78">
        <v>0</v>
      </c>
      <c r="U517" s="23">
        <v>3</v>
      </c>
    </row>
    <row r="518" spans="1:21">
      <c r="A518" s="5">
        <v>51805</v>
      </c>
      <c r="B518" s="5" t="s">
        <v>10</v>
      </c>
      <c r="C518" s="5" t="s">
        <v>35</v>
      </c>
      <c r="D518" s="5" t="s">
        <v>12</v>
      </c>
      <c r="E518" s="5" t="s">
        <v>19</v>
      </c>
      <c r="F518" s="5" t="s">
        <v>14</v>
      </c>
      <c r="G518" s="5" t="s">
        <v>24</v>
      </c>
      <c r="H518" s="5">
        <v>35588</v>
      </c>
      <c r="I518" s="5">
        <v>1600</v>
      </c>
      <c r="J518" s="6">
        <f t="shared" si="8"/>
        <v>33988</v>
      </c>
      <c r="L518" s="18">
        <v>199532</v>
      </c>
      <c r="M518" s="19" t="s">
        <v>10</v>
      </c>
      <c r="N518" s="19" t="s">
        <v>39</v>
      </c>
      <c r="O518" s="19" t="s">
        <v>23</v>
      </c>
      <c r="P518" s="19" t="s">
        <v>13</v>
      </c>
      <c r="Q518" s="19" t="s">
        <v>14</v>
      </c>
      <c r="R518" s="19" t="s">
        <v>15</v>
      </c>
      <c r="S518" s="19">
        <v>17570</v>
      </c>
      <c r="T518" s="77">
        <v>967</v>
      </c>
      <c r="U518" s="20">
        <v>16603</v>
      </c>
    </row>
    <row r="519" spans="1:21">
      <c r="A519" s="5">
        <v>134073</v>
      </c>
      <c r="B519" s="5" t="s">
        <v>16</v>
      </c>
      <c r="C519" s="5" t="s">
        <v>31</v>
      </c>
      <c r="D519" s="5" t="s">
        <v>33</v>
      </c>
      <c r="E519" s="5" t="s">
        <v>19</v>
      </c>
      <c r="F519" s="5" t="s">
        <v>14</v>
      </c>
      <c r="G519" s="5" t="s">
        <v>24</v>
      </c>
      <c r="H519" s="5">
        <v>38729</v>
      </c>
      <c r="I519" s="5">
        <v>0</v>
      </c>
      <c r="J519" s="6">
        <f t="shared" si="8"/>
        <v>38729</v>
      </c>
      <c r="L519" s="21">
        <v>23643</v>
      </c>
      <c r="M519" s="22" t="s">
        <v>10</v>
      </c>
      <c r="N519" s="22" t="s">
        <v>11</v>
      </c>
      <c r="O519" s="22" t="s">
        <v>32</v>
      </c>
      <c r="P519" s="22" t="s">
        <v>13</v>
      </c>
      <c r="Q519" s="22" t="s">
        <v>14</v>
      </c>
      <c r="R519" s="22" t="s">
        <v>15</v>
      </c>
      <c r="S519" s="22">
        <v>41594</v>
      </c>
      <c r="T519" s="78">
        <v>5775</v>
      </c>
      <c r="U519" s="23">
        <v>35819</v>
      </c>
    </row>
    <row r="520" spans="1:21">
      <c r="A520" s="5">
        <v>114901</v>
      </c>
      <c r="B520" s="5" t="s">
        <v>10</v>
      </c>
      <c r="C520" s="5" t="s">
        <v>22</v>
      </c>
      <c r="D520" s="5" t="s">
        <v>32</v>
      </c>
      <c r="E520" s="5" t="s">
        <v>19</v>
      </c>
      <c r="F520" s="5" t="s">
        <v>14</v>
      </c>
      <c r="G520" s="5" t="s">
        <v>24</v>
      </c>
      <c r="H520" s="5">
        <v>19963</v>
      </c>
      <c r="I520" s="5">
        <v>0</v>
      </c>
      <c r="J520" s="6">
        <f t="shared" si="8"/>
        <v>19963</v>
      </c>
      <c r="L520" s="18">
        <v>234031</v>
      </c>
      <c r="M520" s="19" t="s">
        <v>16</v>
      </c>
      <c r="N520" s="19" t="s">
        <v>17</v>
      </c>
      <c r="O520" s="19" t="s">
        <v>36</v>
      </c>
      <c r="P520" s="19" t="s">
        <v>13</v>
      </c>
      <c r="Q520" s="19" t="s">
        <v>14</v>
      </c>
      <c r="R520" s="19" t="s">
        <v>24</v>
      </c>
      <c r="S520" s="19">
        <v>32571</v>
      </c>
      <c r="T520" s="77">
        <v>780</v>
      </c>
      <c r="U520" s="20">
        <v>31791</v>
      </c>
    </row>
    <row r="521" spans="1:21">
      <c r="A521" s="5">
        <v>24578</v>
      </c>
      <c r="B521" s="5" t="s">
        <v>16</v>
      </c>
      <c r="C521" s="5" t="s">
        <v>11</v>
      </c>
      <c r="D521" s="5" t="s">
        <v>32</v>
      </c>
      <c r="E521" s="5" t="s">
        <v>13</v>
      </c>
      <c r="F521" s="5" t="s">
        <v>14</v>
      </c>
      <c r="G521" s="5" t="s">
        <v>15</v>
      </c>
      <c r="H521" s="5">
        <v>33963</v>
      </c>
      <c r="I521" s="5">
        <v>0</v>
      </c>
      <c r="J521" s="6">
        <f t="shared" si="8"/>
        <v>33963</v>
      </c>
      <c r="L521" s="21">
        <v>163500</v>
      </c>
      <c r="M521" s="22" t="s">
        <v>16</v>
      </c>
      <c r="N521" s="22" t="s">
        <v>27</v>
      </c>
      <c r="O521" s="22" t="s">
        <v>21</v>
      </c>
      <c r="P521" s="22" t="s">
        <v>19</v>
      </c>
      <c r="Q521" s="22" t="s">
        <v>14</v>
      </c>
      <c r="R521" s="22" t="s">
        <v>24</v>
      </c>
      <c r="S521" s="22">
        <v>39858</v>
      </c>
      <c r="T521" s="78">
        <v>316</v>
      </c>
      <c r="U521" s="23">
        <v>39542</v>
      </c>
    </row>
    <row r="522" spans="1:21">
      <c r="A522" s="5">
        <v>78551</v>
      </c>
      <c r="B522" s="5" t="s">
        <v>16</v>
      </c>
      <c r="C522" s="5" t="s">
        <v>20</v>
      </c>
      <c r="D522" s="5" t="s">
        <v>21</v>
      </c>
      <c r="E522" s="5" t="s">
        <v>13</v>
      </c>
      <c r="F522" s="5" t="s">
        <v>14</v>
      </c>
      <c r="G522" s="5" t="s">
        <v>15</v>
      </c>
      <c r="H522" s="5">
        <v>-192</v>
      </c>
      <c r="I522" s="5">
        <v>0</v>
      </c>
      <c r="J522" s="6">
        <f t="shared" si="8"/>
        <v>-192</v>
      </c>
      <c r="L522" s="18">
        <v>179672</v>
      </c>
      <c r="M522" s="19" t="s">
        <v>16</v>
      </c>
      <c r="N522" s="19" t="s">
        <v>31</v>
      </c>
      <c r="O522" s="19" t="s">
        <v>18</v>
      </c>
      <c r="P522" s="19" t="s">
        <v>19</v>
      </c>
      <c r="Q522" s="19" t="s">
        <v>14</v>
      </c>
      <c r="R522" s="19" t="s">
        <v>24</v>
      </c>
      <c r="S522" s="19">
        <v>17427</v>
      </c>
      <c r="T522" s="77">
        <v>164</v>
      </c>
      <c r="U522" s="20">
        <v>17263</v>
      </c>
    </row>
    <row r="523" spans="1:21">
      <c r="A523" s="5">
        <v>210996</v>
      </c>
      <c r="B523" s="5" t="s">
        <v>10</v>
      </c>
      <c r="C523" s="5" t="s">
        <v>38</v>
      </c>
      <c r="D523" s="5" t="s">
        <v>23</v>
      </c>
      <c r="E523" s="5" t="s">
        <v>13</v>
      </c>
      <c r="F523" s="5" t="s">
        <v>14</v>
      </c>
      <c r="G523" s="5" t="s">
        <v>15</v>
      </c>
      <c r="H523" s="5">
        <v>87649</v>
      </c>
      <c r="I523" s="5">
        <v>1265</v>
      </c>
      <c r="J523" s="6">
        <f t="shared" si="8"/>
        <v>86384</v>
      </c>
      <c r="L523" s="21">
        <v>29681</v>
      </c>
      <c r="M523" s="22" t="s">
        <v>16</v>
      </c>
      <c r="N523" s="22" t="s">
        <v>11</v>
      </c>
      <c r="O523" s="22" t="s">
        <v>32</v>
      </c>
      <c r="P523" s="22" t="s">
        <v>13</v>
      </c>
      <c r="Q523" s="22" t="s">
        <v>14</v>
      </c>
      <c r="R523" s="22" t="s">
        <v>15</v>
      </c>
      <c r="S523" s="22">
        <v>27854</v>
      </c>
      <c r="T523" s="78">
        <v>3</v>
      </c>
      <c r="U523" s="23">
        <v>27851</v>
      </c>
    </row>
    <row r="524" spans="1:21">
      <c r="A524" s="5">
        <v>173575</v>
      </c>
      <c r="B524" s="5" t="s">
        <v>10</v>
      </c>
      <c r="C524" s="5" t="s">
        <v>27</v>
      </c>
      <c r="D524" s="5" t="s">
        <v>32</v>
      </c>
      <c r="E524" s="5" t="s">
        <v>13</v>
      </c>
      <c r="F524" s="5" t="s">
        <v>14</v>
      </c>
      <c r="G524" s="5" t="s">
        <v>15</v>
      </c>
      <c r="H524" s="5">
        <v>74993</v>
      </c>
      <c r="I524" s="5">
        <v>69</v>
      </c>
      <c r="J524" s="6">
        <f t="shared" si="8"/>
        <v>74924</v>
      </c>
      <c r="L524" s="18">
        <v>100138</v>
      </c>
      <c r="M524" s="19" t="s">
        <v>16</v>
      </c>
      <c r="N524" s="19" t="s">
        <v>11</v>
      </c>
      <c r="O524" s="19" t="s">
        <v>30</v>
      </c>
      <c r="P524" s="19" t="s">
        <v>13</v>
      </c>
      <c r="Q524" s="19" t="s">
        <v>14</v>
      </c>
      <c r="R524" s="19" t="s">
        <v>15</v>
      </c>
      <c r="S524" s="19">
        <v>23903</v>
      </c>
      <c r="T524" s="77">
        <v>490</v>
      </c>
      <c r="U524" s="20">
        <v>23413</v>
      </c>
    </row>
    <row r="525" spans="1:21">
      <c r="A525" s="5">
        <v>35088</v>
      </c>
      <c r="B525" s="5" t="s">
        <v>16</v>
      </c>
      <c r="C525" s="5" t="s">
        <v>35</v>
      </c>
      <c r="D525" s="5" t="s">
        <v>32</v>
      </c>
      <c r="E525" s="5" t="s">
        <v>13</v>
      </c>
      <c r="F525" s="5" t="s">
        <v>14</v>
      </c>
      <c r="G525" s="5" t="s">
        <v>15</v>
      </c>
      <c r="H525" s="5">
        <v>33402</v>
      </c>
      <c r="I525" s="5">
        <v>0</v>
      </c>
      <c r="J525" s="6">
        <f t="shared" si="8"/>
        <v>33402</v>
      </c>
      <c r="L525" s="21">
        <v>183256</v>
      </c>
      <c r="M525" s="22" t="s">
        <v>10</v>
      </c>
      <c r="N525" s="22" t="s">
        <v>20</v>
      </c>
      <c r="O525" s="22" t="s">
        <v>32</v>
      </c>
      <c r="P525" s="22" t="s">
        <v>13</v>
      </c>
      <c r="Q525" s="22" t="s">
        <v>14</v>
      </c>
      <c r="R525" s="22" t="s">
        <v>15</v>
      </c>
      <c r="S525" s="22">
        <v>12859</v>
      </c>
      <c r="T525" s="78">
        <v>0</v>
      </c>
      <c r="U525" s="23">
        <v>12859</v>
      </c>
    </row>
    <row r="526" spans="1:21">
      <c r="A526" s="5">
        <v>185786</v>
      </c>
      <c r="B526" s="5" t="s">
        <v>10</v>
      </c>
      <c r="C526" s="5" t="s">
        <v>39</v>
      </c>
      <c r="D526" s="5" t="s">
        <v>33</v>
      </c>
      <c r="E526" s="5" t="s">
        <v>13</v>
      </c>
      <c r="F526" s="5" t="s">
        <v>14</v>
      </c>
      <c r="G526" s="5" t="s">
        <v>15</v>
      </c>
      <c r="H526" s="5">
        <v>39656</v>
      </c>
      <c r="I526" s="5">
        <v>344</v>
      </c>
      <c r="J526" s="6">
        <f t="shared" si="8"/>
        <v>39312</v>
      </c>
      <c r="L526" s="18">
        <v>215528</v>
      </c>
      <c r="M526" s="19" t="s">
        <v>10</v>
      </c>
      <c r="N526" s="19" t="s">
        <v>39</v>
      </c>
      <c r="O526" s="19" t="s">
        <v>30</v>
      </c>
      <c r="P526" s="19" t="s">
        <v>13</v>
      </c>
      <c r="Q526" s="19" t="s">
        <v>14</v>
      </c>
      <c r="R526" s="19" t="s">
        <v>15</v>
      </c>
      <c r="S526" s="19">
        <v>23531</v>
      </c>
      <c r="T526" s="77">
        <v>164</v>
      </c>
      <c r="U526" s="20">
        <v>23367</v>
      </c>
    </row>
    <row r="527" spans="1:21">
      <c r="A527" s="5">
        <v>164270</v>
      </c>
      <c r="B527" s="5" t="s">
        <v>16</v>
      </c>
      <c r="C527" s="5" t="s">
        <v>25</v>
      </c>
      <c r="D527" s="5" t="s">
        <v>30</v>
      </c>
      <c r="E527" s="5" t="s">
        <v>19</v>
      </c>
      <c r="F527" s="5" t="s">
        <v>14</v>
      </c>
      <c r="G527" s="5" t="s">
        <v>24</v>
      </c>
      <c r="H527" s="5">
        <v>67007</v>
      </c>
      <c r="I527" s="5">
        <v>693</v>
      </c>
      <c r="J527" s="6">
        <f t="shared" si="8"/>
        <v>66314</v>
      </c>
      <c r="L527" s="21">
        <v>255425</v>
      </c>
      <c r="M527" s="22" t="s">
        <v>10</v>
      </c>
      <c r="N527" s="22" t="s">
        <v>17</v>
      </c>
      <c r="O527" s="22" t="s">
        <v>21</v>
      </c>
      <c r="P527" s="22" t="s">
        <v>19</v>
      </c>
      <c r="Q527" s="22" t="s">
        <v>14</v>
      </c>
      <c r="R527" s="22" t="s">
        <v>24</v>
      </c>
      <c r="S527" s="22">
        <v>28105</v>
      </c>
      <c r="T527" s="78">
        <v>4479</v>
      </c>
      <c r="U527" s="23">
        <v>23626</v>
      </c>
    </row>
    <row r="528" spans="1:21">
      <c r="A528" s="5">
        <v>224088</v>
      </c>
      <c r="B528" s="5" t="s">
        <v>10</v>
      </c>
      <c r="C528" s="5" t="s">
        <v>25</v>
      </c>
      <c r="D528" s="5" t="s">
        <v>23</v>
      </c>
      <c r="E528" s="5" t="s">
        <v>13</v>
      </c>
      <c r="F528" s="5" t="s">
        <v>14</v>
      </c>
      <c r="G528" s="5" t="s">
        <v>15</v>
      </c>
      <c r="H528" s="5">
        <v>75178</v>
      </c>
      <c r="I528" s="5">
        <v>902</v>
      </c>
      <c r="J528" s="6">
        <f t="shared" si="8"/>
        <v>74276</v>
      </c>
      <c r="L528" s="18">
        <v>90196</v>
      </c>
      <c r="M528" s="19" t="s">
        <v>10</v>
      </c>
      <c r="N528" s="19" t="s">
        <v>37</v>
      </c>
      <c r="O528" s="19" t="s">
        <v>30</v>
      </c>
      <c r="P528" s="19" t="s">
        <v>13</v>
      </c>
      <c r="Q528" s="19" t="s">
        <v>14</v>
      </c>
      <c r="R528" s="19" t="s">
        <v>15</v>
      </c>
      <c r="S528" s="19">
        <v>184333</v>
      </c>
      <c r="T528" s="77">
        <v>3533</v>
      </c>
      <c r="U528" s="20">
        <v>180800</v>
      </c>
    </row>
    <row r="529" spans="1:21">
      <c r="A529" s="5">
        <v>187047</v>
      </c>
      <c r="B529" s="5" t="s">
        <v>16</v>
      </c>
      <c r="C529" s="5" t="s">
        <v>38</v>
      </c>
      <c r="D529" s="5" t="s">
        <v>33</v>
      </c>
      <c r="E529" s="5" t="s">
        <v>13</v>
      </c>
      <c r="F529" s="5" t="s">
        <v>14</v>
      </c>
      <c r="G529" s="5" t="s">
        <v>15</v>
      </c>
      <c r="H529" s="5">
        <v>13433</v>
      </c>
      <c r="I529" s="5">
        <v>0</v>
      </c>
      <c r="J529" s="6">
        <f t="shared" si="8"/>
        <v>13433</v>
      </c>
      <c r="L529" s="21">
        <v>50413</v>
      </c>
      <c r="M529" s="22" t="s">
        <v>16</v>
      </c>
      <c r="N529" s="22" t="s">
        <v>35</v>
      </c>
      <c r="O529" s="22" t="s">
        <v>30</v>
      </c>
      <c r="P529" s="22" t="s">
        <v>13</v>
      </c>
      <c r="Q529" s="22" t="s">
        <v>14</v>
      </c>
      <c r="R529" s="22" t="s">
        <v>15</v>
      </c>
      <c r="S529" s="22">
        <v>53904</v>
      </c>
      <c r="T529" s="78">
        <v>1732</v>
      </c>
      <c r="U529" s="23">
        <v>52172</v>
      </c>
    </row>
    <row r="530" spans="1:21">
      <c r="A530" s="5">
        <v>93720</v>
      </c>
      <c r="B530" s="5" t="s">
        <v>10</v>
      </c>
      <c r="C530" s="5" t="s">
        <v>20</v>
      </c>
      <c r="D530" s="5" t="s">
        <v>32</v>
      </c>
      <c r="E530" s="5" t="s">
        <v>13</v>
      </c>
      <c r="F530" s="5" t="s">
        <v>14</v>
      </c>
      <c r="G530" s="5" t="s">
        <v>15</v>
      </c>
      <c r="H530" s="5">
        <v>17622</v>
      </c>
      <c r="I530" s="5">
        <v>603</v>
      </c>
      <c r="J530" s="6">
        <f t="shared" si="8"/>
        <v>17019</v>
      </c>
      <c r="L530" s="18">
        <v>210414</v>
      </c>
      <c r="M530" s="19" t="s">
        <v>10</v>
      </c>
      <c r="N530" s="19" t="s">
        <v>37</v>
      </c>
      <c r="O530" s="19" t="s">
        <v>29</v>
      </c>
      <c r="P530" s="19" t="s">
        <v>19</v>
      </c>
      <c r="Q530" s="19" t="s">
        <v>14</v>
      </c>
      <c r="R530" s="19" t="s">
        <v>15</v>
      </c>
      <c r="S530" s="19">
        <v>175129</v>
      </c>
      <c r="T530" s="77">
        <v>326</v>
      </c>
      <c r="U530" s="20">
        <v>174803</v>
      </c>
    </row>
    <row r="531" spans="1:21">
      <c r="A531" s="5">
        <v>244437</v>
      </c>
      <c r="B531" s="5" t="s">
        <v>10</v>
      </c>
      <c r="C531" s="5" t="s">
        <v>17</v>
      </c>
      <c r="D531" s="5" t="s">
        <v>23</v>
      </c>
      <c r="E531" s="5" t="s">
        <v>19</v>
      </c>
      <c r="F531" s="5" t="s">
        <v>14</v>
      </c>
      <c r="G531" s="5" t="s">
        <v>24</v>
      </c>
      <c r="H531" s="5">
        <v>17979</v>
      </c>
      <c r="I531" s="5">
        <v>759</v>
      </c>
      <c r="J531" s="6">
        <f t="shared" si="8"/>
        <v>17220</v>
      </c>
      <c r="L531" s="21">
        <v>93194</v>
      </c>
      <c r="M531" s="22" t="s">
        <v>10</v>
      </c>
      <c r="N531" s="22" t="s">
        <v>20</v>
      </c>
      <c r="O531" s="22" t="s">
        <v>21</v>
      </c>
      <c r="P531" s="22" t="s">
        <v>13</v>
      </c>
      <c r="Q531" s="22" t="s">
        <v>14</v>
      </c>
      <c r="R531" s="22" t="s">
        <v>15</v>
      </c>
      <c r="S531" s="22">
        <v>25284</v>
      </c>
      <c r="T531" s="78">
        <v>10570</v>
      </c>
      <c r="U531" s="23">
        <v>14714</v>
      </c>
    </row>
    <row r="532" spans="1:21">
      <c r="A532" s="5">
        <v>18498</v>
      </c>
      <c r="B532" s="5" t="s">
        <v>10</v>
      </c>
      <c r="C532" s="5" t="s">
        <v>11</v>
      </c>
      <c r="D532" s="5" t="s">
        <v>32</v>
      </c>
      <c r="E532" s="5" t="s">
        <v>13</v>
      </c>
      <c r="F532" s="5" t="s">
        <v>14</v>
      </c>
      <c r="G532" s="5" t="s">
        <v>15</v>
      </c>
      <c r="H532" s="5">
        <v>23328</v>
      </c>
      <c r="I532" s="5">
        <v>413</v>
      </c>
      <c r="J532" s="6">
        <f t="shared" si="8"/>
        <v>22915</v>
      </c>
      <c r="L532" s="18">
        <v>200380</v>
      </c>
      <c r="M532" s="19" t="s">
        <v>10</v>
      </c>
      <c r="N532" s="19" t="s">
        <v>37</v>
      </c>
      <c r="O532" s="19" t="s">
        <v>30</v>
      </c>
      <c r="P532" s="19" t="s">
        <v>13</v>
      </c>
      <c r="Q532" s="19" t="s">
        <v>14</v>
      </c>
      <c r="R532" s="19" t="s">
        <v>15</v>
      </c>
      <c r="S532" s="19">
        <v>329651</v>
      </c>
      <c r="T532" s="77">
        <v>46867</v>
      </c>
      <c r="U532" s="20">
        <v>282784</v>
      </c>
    </row>
    <row r="533" spans="1:21">
      <c r="A533" s="5">
        <v>243191</v>
      </c>
      <c r="B533" s="5" t="s">
        <v>16</v>
      </c>
      <c r="C533" s="5" t="s">
        <v>11</v>
      </c>
      <c r="D533" s="5" t="s">
        <v>12</v>
      </c>
      <c r="E533" s="5" t="s">
        <v>13</v>
      </c>
      <c r="F533" s="5" t="s">
        <v>14</v>
      </c>
      <c r="G533" s="5" t="s">
        <v>24</v>
      </c>
      <c r="H533" s="5">
        <v>69146</v>
      </c>
      <c r="I533" s="5">
        <v>344</v>
      </c>
      <c r="J533" s="6">
        <f t="shared" si="8"/>
        <v>68802</v>
      </c>
      <c r="L533" s="21">
        <v>9396</v>
      </c>
      <c r="M533" s="22" t="s">
        <v>10</v>
      </c>
      <c r="N533" s="22" t="s">
        <v>20</v>
      </c>
      <c r="O533" s="22" t="s">
        <v>32</v>
      </c>
      <c r="P533" s="22" t="s">
        <v>13</v>
      </c>
      <c r="Q533" s="22" t="s">
        <v>14</v>
      </c>
      <c r="R533" s="22" t="s">
        <v>15</v>
      </c>
      <c r="S533" s="22">
        <v>23983</v>
      </c>
      <c r="T533" s="78">
        <v>832</v>
      </c>
      <c r="U533" s="23">
        <v>23151</v>
      </c>
    </row>
    <row r="534" spans="1:21">
      <c r="A534" s="5">
        <v>209392</v>
      </c>
      <c r="B534" s="5" t="s">
        <v>10</v>
      </c>
      <c r="C534" s="5" t="s">
        <v>38</v>
      </c>
      <c r="D534" s="5" t="s">
        <v>30</v>
      </c>
      <c r="E534" s="5" t="s">
        <v>13</v>
      </c>
      <c r="F534" s="5" t="s">
        <v>28</v>
      </c>
      <c r="G534" s="5" t="s">
        <v>15</v>
      </c>
      <c r="H534" s="5">
        <v>57304</v>
      </c>
      <c r="I534" s="5">
        <v>453</v>
      </c>
      <c r="J534" s="6">
        <f t="shared" si="8"/>
        <v>56851</v>
      </c>
      <c r="L534" s="18">
        <v>32871</v>
      </c>
      <c r="M534" s="19" t="s">
        <v>10</v>
      </c>
      <c r="N534" s="19" t="s">
        <v>35</v>
      </c>
      <c r="O534" s="19" t="s">
        <v>30</v>
      </c>
      <c r="P534" s="19" t="s">
        <v>19</v>
      </c>
      <c r="Q534" s="19" t="s">
        <v>14</v>
      </c>
      <c r="R534" s="19" t="s">
        <v>24</v>
      </c>
      <c r="S534" s="19">
        <v>79165</v>
      </c>
      <c r="T534" s="77">
        <v>6037</v>
      </c>
      <c r="U534" s="20">
        <v>73128</v>
      </c>
    </row>
    <row r="535" spans="1:21">
      <c r="A535" s="5">
        <v>88731</v>
      </c>
      <c r="B535" s="5" t="s">
        <v>10</v>
      </c>
      <c r="C535" s="5" t="s">
        <v>20</v>
      </c>
      <c r="D535" s="5" t="s">
        <v>32</v>
      </c>
      <c r="E535" s="5" t="s">
        <v>13</v>
      </c>
      <c r="F535" s="5" t="s">
        <v>14</v>
      </c>
      <c r="G535" s="5" t="s">
        <v>15</v>
      </c>
      <c r="H535" s="5">
        <v>5908</v>
      </c>
      <c r="I535" s="5">
        <v>0</v>
      </c>
      <c r="J535" s="6">
        <f t="shared" si="8"/>
        <v>5908</v>
      </c>
      <c r="L535" s="21">
        <v>199881</v>
      </c>
      <c r="M535" s="22" t="s">
        <v>10</v>
      </c>
      <c r="N535" s="22" t="s">
        <v>37</v>
      </c>
      <c r="O535" s="22" t="s">
        <v>36</v>
      </c>
      <c r="P535" s="22" t="s">
        <v>13</v>
      </c>
      <c r="Q535" s="22" t="s">
        <v>14</v>
      </c>
      <c r="R535" s="22" t="s">
        <v>15</v>
      </c>
      <c r="S535" s="22">
        <v>92935</v>
      </c>
      <c r="T535" s="78">
        <v>1255</v>
      </c>
      <c r="U535" s="23">
        <v>91680</v>
      </c>
    </row>
    <row r="536" spans="1:21">
      <c r="A536" s="5">
        <v>237983</v>
      </c>
      <c r="B536" s="5" t="s">
        <v>16</v>
      </c>
      <c r="C536" s="5" t="s">
        <v>25</v>
      </c>
      <c r="D536" s="5" t="s">
        <v>12</v>
      </c>
      <c r="E536" s="5" t="s">
        <v>19</v>
      </c>
      <c r="F536" s="5" t="s">
        <v>28</v>
      </c>
      <c r="G536" s="5" t="s">
        <v>15</v>
      </c>
      <c r="H536" s="5">
        <v>44531</v>
      </c>
      <c r="I536" s="5">
        <v>434</v>
      </c>
      <c r="J536" s="6">
        <f t="shared" si="8"/>
        <v>44097</v>
      </c>
      <c r="L536" s="18">
        <v>252786</v>
      </c>
      <c r="M536" s="19" t="s">
        <v>16</v>
      </c>
      <c r="N536" s="19" t="s">
        <v>17</v>
      </c>
      <c r="O536" s="19" t="s">
        <v>32</v>
      </c>
      <c r="P536" s="19" t="s">
        <v>13</v>
      </c>
      <c r="Q536" s="19" t="s">
        <v>14</v>
      </c>
      <c r="R536" s="19" t="s">
        <v>24</v>
      </c>
      <c r="S536" s="19">
        <v>5023</v>
      </c>
      <c r="T536" s="77">
        <v>0</v>
      </c>
      <c r="U536" s="20">
        <v>5023</v>
      </c>
    </row>
    <row r="537" spans="1:21">
      <c r="A537" s="5">
        <v>190555</v>
      </c>
      <c r="B537" s="5" t="s">
        <v>16</v>
      </c>
      <c r="C537" s="5" t="s">
        <v>34</v>
      </c>
      <c r="D537" s="5" t="s">
        <v>12</v>
      </c>
      <c r="E537" s="5" t="s">
        <v>13</v>
      </c>
      <c r="F537" s="5" t="s">
        <v>14</v>
      </c>
      <c r="G537" s="5" t="s">
        <v>15</v>
      </c>
      <c r="H537" s="5">
        <v>19884</v>
      </c>
      <c r="I537" s="5">
        <v>0</v>
      </c>
      <c r="J537" s="6">
        <f t="shared" si="8"/>
        <v>19884</v>
      </c>
      <c r="L537" s="21">
        <v>235265</v>
      </c>
      <c r="M537" s="22" t="s">
        <v>10</v>
      </c>
      <c r="N537" s="22" t="s">
        <v>17</v>
      </c>
      <c r="O537" s="22" t="s">
        <v>23</v>
      </c>
      <c r="P537" s="22" t="s">
        <v>13</v>
      </c>
      <c r="Q537" s="22" t="s">
        <v>14</v>
      </c>
      <c r="R537" s="22" t="s">
        <v>15</v>
      </c>
      <c r="S537" s="22">
        <v>43712</v>
      </c>
      <c r="T537" s="78">
        <v>538</v>
      </c>
      <c r="U537" s="23">
        <v>43174</v>
      </c>
    </row>
    <row r="538" spans="1:21">
      <c r="A538" s="5">
        <v>108809</v>
      </c>
      <c r="B538" s="5" t="s">
        <v>10</v>
      </c>
      <c r="C538" s="5" t="s">
        <v>17</v>
      </c>
      <c r="D538" s="5" t="s">
        <v>21</v>
      </c>
      <c r="E538" s="5" t="s">
        <v>19</v>
      </c>
      <c r="F538" s="5" t="s">
        <v>14</v>
      </c>
      <c r="G538" s="5" t="s">
        <v>24</v>
      </c>
      <c r="H538" s="5">
        <v>38875</v>
      </c>
      <c r="I538" s="5">
        <v>0</v>
      </c>
      <c r="J538" s="6">
        <f t="shared" si="8"/>
        <v>38875</v>
      </c>
      <c r="L538" s="18">
        <v>130304</v>
      </c>
      <c r="M538" s="19" t="s">
        <v>16</v>
      </c>
      <c r="N538" s="19" t="s">
        <v>22</v>
      </c>
      <c r="O538" s="19" t="s">
        <v>36</v>
      </c>
      <c r="P538" s="19" t="s">
        <v>19</v>
      </c>
      <c r="Q538" s="19" t="s">
        <v>14</v>
      </c>
      <c r="R538" s="19" t="s">
        <v>24</v>
      </c>
      <c r="S538" s="19">
        <v>29568</v>
      </c>
      <c r="T538" s="77">
        <v>614</v>
      </c>
      <c r="U538" s="20">
        <v>28954</v>
      </c>
    </row>
    <row r="539" spans="1:21">
      <c r="A539" s="5">
        <v>186195</v>
      </c>
      <c r="B539" s="5" t="s">
        <v>10</v>
      </c>
      <c r="C539" s="5" t="s">
        <v>20</v>
      </c>
      <c r="D539" s="5" t="s">
        <v>32</v>
      </c>
      <c r="E539" s="5" t="s">
        <v>13</v>
      </c>
      <c r="F539" s="5" t="s">
        <v>14</v>
      </c>
      <c r="G539" s="5" t="s">
        <v>15</v>
      </c>
      <c r="H539" s="5">
        <v>32784</v>
      </c>
      <c r="I539" s="5">
        <v>4378</v>
      </c>
      <c r="J539" s="6">
        <f t="shared" si="8"/>
        <v>28406</v>
      </c>
      <c r="L539" s="21">
        <v>24753</v>
      </c>
      <c r="M539" s="22" t="s">
        <v>10</v>
      </c>
      <c r="N539" s="22" t="s">
        <v>11</v>
      </c>
      <c r="O539" s="22" t="s">
        <v>23</v>
      </c>
      <c r="P539" s="22" t="s">
        <v>13</v>
      </c>
      <c r="Q539" s="22" t="s">
        <v>14</v>
      </c>
      <c r="R539" s="22" t="s">
        <v>15</v>
      </c>
      <c r="S539" s="22">
        <v>72248</v>
      </c>
      <c r="T539" s="78">
        <v>1331</v>
      </c>
      <c r="U539" s="23">
        <v>70917</v>
      </c>
    </row>
    <row r="540" spans="1:21">
      <c r="A540" s="5">
        <v>130105</v>
      </c>
      <c r="B540" s="5" t="s">
        <v>16</v>
      </c>
      <c r="C540" s="5" t="s">
        <v>22</v>
      </c>
      <c r="D540" s="5" t="s">
        <v>36</v>
      </c>
      <c r="E540" s="5" t="s">
        <v>13</v>
      </c>
      <c r="F540" s="5" t="s">
        <v>14</v>
      </c>
      <c r="G540" s="5" t="s">
        <v>24</v>
      </c>
      <c r="H540" s="5">
        <v>1866</v>
      </c>
      <c r="I540" s="5">
        <v>0</v>
      </c>
      <c r="J540" s="6">
        <f t="shared" si="8"/>
        <v>1866</v>
      </c>
      <c r="L540" s="18">
        <v>112634</v>
      </c>
      <c r="M540" s="19" t="s">
        <v>10</v>
      </c>
      <c r="N540" s="19" t="s">
        <v>27</v>
      </c>
      <c r="O540" s="19" t="s">
        <v>23</v>
      </c>
      <c r="P540" s="19" t="s">
        <v>13</v>
      </c>
      <c r="Q540" s="19" t="s">
        <v>14</v>
      </c>
      <c r="R540" s="19" t="s">
        <v>24</v>
      </c>
      <c r="S540" s="19">
        <v>124770</v>
      </c>
      <c r="T540" s="77">
        <v>26221</v>
      </c>
      <c r="U540" s="20">
        <v>98549</v>
      </c>
    </row>
    <row r="541" spans="1:21">
      <c r="A541" s="5">
        <v>30113</v>
      </c>
      <c r="B541" s="5" t="s">
        <v>16</v>
      </c>
      <c r="C541" s="5" t="s">
        <v>35</v>
      </c>
      <c r="D541" s="5" t="s">
        <v>12</v>
      </c>
      <c r="E541" s="5" t="s">
        <v>19</v>
      </c>
      <c r="F541" s="5" t="s">
        <v>14</v>
      </c>
      <c r="G541" s="5" t="s">
        <v>15</v>
      </c>
      <c r="H541" s="5">
        <v>81416</v>
      </c>
      <c r="I541" s="5">
        <v>7752</v>
      </c>
      <c r="J541" s="6">
        <f t="shared" si="8"/>
        <v>73664</v>
      </c>
      <c r="L541" s="21">
        <v>244553</v>
      </c>
      <c r="M541" s="22" t="s">
        <v>16</v>
      </c>
      <c r="N541" s="22" t="s">
        <v>17</v>
      </c>
      <c r="O541" s="22" t="s">
        <v>12</v>
      </c>
      <c r="P541" s="22" t="s">
        <v>19</v>
      </c>
      <c r="Q541" s="22" t="s">
        <v>14</v>
      </c>
      <c r="R541" s="22" t="s">
        <v>24</v>
      </c>
      <c r="S541" s="22">
        <v>31481</v>
      </c>
      <c r="T541" s="78">
        <v>1182</v>
      </c>
      <c r="U541" s="23">
        <v>30299</v>
      </c>
    </row>
    <row r="542" spans="1:21">
      <c r="A542" s="5">
        <v>180305</v>
      </c>
      <c r="B542" s="5" t="s">
        <v>10</v>
      </c>
      <c r="C542" s="5" t="s">
        <v>31</v>
      </c>
      <c r="D542" s="5" t="s">
        <v>33</v>
      </c>
      <c r="E542" s="5" t="s">
        <v>19</v>
      </c>
      <c r="F542" s="5" t="s">
        <v>14</v>
      </c>
      <c r="G542" s="5" t="s">
        <v>24</v>
      </c>
      <c r="H542" s="5">
        <v>18203</v>
      </c>
      <c r="I542" s="5">
        <v>0</v>
      </c>
      <c r="J542" s="6">
        <f t="shared" si="8"/>
        <v>18203</v>
      </c>
      <c r="L542" s="18">
        <v>36295</v>
      </c>
      <c r="M542" s="19" t="s">
        <v>16</v>
      </c>
      <c r="N542" s="19" t="s">
        <v>11</v>
      </c>
      <c r="O542" s="19" t="s">
        <v>33</v>
      </c>
      <c r="P542" s="19" t="s">
        <v>13</v>
      </c>
      <c r="Q542" s="19" t="s">
        <v>14</v>
      </c>
      <c r="R542" s="19" t="s">
        <v>24</v>
      </c>
      <c r="S542" s="19">
        <v>55183</v>
      </c>
      <c r="T542" s="77">
        <v>520</v>
      </c>
      <c r="U542" s="20">
        <v>54663</v>
      </c>
    </row>
    <row r="543" spans="1:21">
      <c r="A543" s="5">
        <v>21972</v>
      </c>
      <c r="B543" s="5" t="s">
        <v>16</v>
      </c>
      <c r="C543" s="5" t="s">
        <v>11</v>
      </c>
      <c r="D543" s="5" t="s">
        <v>12</v>
      </c>
      <c r="E543" s="5" t="s">
        <v>13</v>
      </c>
      <c r="F543" s="5" t="s">
        <v>14</v>
      </c>
      <c r="G543" s="5" t="s">
        <v>15</v>
      </c>
      <c r="H543" s="5">
        <v>74260</v>
      </c>
      <c r="I543" s="5">
        <v>773</v>
      </c>
      <c r="J543" s="6">
        <f t="shared" si="8"/>
        <v>73487</v>
      </c>
      <c r="L543" s="21">
        <v>5787</v>
      </c>
      <c r="M543" s="22" t="s">
        <v>10</v>
      </c>
      <c r="N543" s="22" t="s">
        <v>38</v>
      </c>
      <c r="O543" s="22" t="s">
        <v>12</v>
      </c>
      <c r="P543" s="22" t="s">
        <v>13</v>
      </c>
      <c r="Q543" s="22" t="s">
        <v>14</v>
      </c>
      <c r="R543" s="22" t="s">
        <v>15</v>
      </c>
      <c r="S543" s="22">
        <v>403365</v>
      </c>
      <c r="T543" s="78">
        <v>7349</v>
      </c>
      <c r="U543" s="23">
        <v>396016</v>
      </c>
    </row>
    <row r="544" spans="1:21">
      <c r="A544" s="5">
        <v>53320</v>
      </c>
      <c r="B544" s="5" t="s">
        <v>16</v>
      </c>
      <c r="C544" s="5" t="s">
        <v>35</v>
      </c>
      <c r="D544" s="5" t="s">
        <v>30</v>
      </c>
      <c r="E544" s="5" t="s">
        <v>13</v>
      </c>
      <c r="F544" s="5" t="s">
        <v>14</v>
      </c>
      <c r="G544" s="5" t="s">
        <v>15</v>
      </c>
      <c r="H544" s="5">
        <v>81360</v>
      </c>
      <c r="I544" s="5">
        <v>5743</v>
      </c>
      <c r="J544" s="6">
        <f t="shared" si="8"/>
        <v>75617</v>
      </c>
      <c r="L544" s="18">
        <v>24663</v>
      </c>
      <c r="M544" s="19" t="s">
        <v>10</v>
      </c>
      <c r="N544" s="19" t="s">
        <v>11</v>
      </c>
      <c r="O544" s="19" t="s">
        <v>26</v>
      </c>
      <c r="P544" s="19" t="s">
        <v>13</v>
      </c>
      <c r="Q544" s="19" t="s">
        <v>14</v>
      </c>
      <c r="R544" s="19" t="s">
        <v>24</v>
      </c>
      <c r="S544" s="19">
        <v>161394</v>
      </c>
      <c r="T544" s="77">
        <v>4678</v>
      </c>
      <c r="U544" s="20">
        <v>156716</v>
      </c>
    </row>
    <row r="545" spans="1:21">
      <c r="A545" s="5">
        <v>252182</v>
      </c>
      <c r="B545" s="5" t="s">
        <v>10</v>
      </c>
      <c r="C545" s="5" t="s">
        <v>17</v>
      </c>
      <c r="D545" s="5" t="s">
        <v>21</v>
      </c>
      <c r="E545" s="5" t="s">
        <v>19</v>
      </c>
      <c r="F545" s="5" t="s">
        <v>14</v>
      </c>
      <c r="G545" s="5" t="s">
        <v>24</v>
      </c>
      <c r="H545" s="5">
        <v>73807</v>
      </c>
      <c r="I545" s="5">
        <v>4124</v>
      </c>
      <c r="J545" s="6">
        <f t="shared" si="8"/>
        <v>69683</v>
      </c>
      <c r="L545" s="21">
        <v>62368</v>
      </c>
      <c r="M545" s="22" t="s">
        <v>16</v>
      </c>
      <c r="N545" s="22" t="s">
        <v>38</v>
      </c>
      <c r="O545" s="22" t="s">
        <v>32</v>
      </c>
      <c r="P545" s="22" t="s">
        <v>13</v>
      </c>
      <c r="Q545" s="22" t="s">
        <v>14</v>
      </c>
      <c r="R545" s="22" t="s">
        <v>15</v>
      </c>
      <c r="S545" s="22">
        <v>26245</v>
      </c>
      <c r="T545" s="78">
        <v>1489</v>
      </c>
      <c r="U545" s="23">
        <v>24756</v>
      </c>
    </row>
    <row r="546" spans="1:21">
      <c r="A546" s="5">
        <v>54439</v>
      </c>
      <c r="B546" s="5" t="s">
        <v>10</v>
      </c>
      <c r="C546" s="5" t="s">
        <v>35</v>
      </c>
      <c r="D546" s="5" t="s">
        <v>36</v>
      </c>
      <c r="E546" s="5" t="s">
        <v>13</v>
      </c>
      <c r="F546" s="5" t="s">
        <v>28</v>
      </c>
      <c r="G546" s="5" t="s">
        <v>24</v>
      </c>
      <c r="H546" s="5">
        <v>80476</v>
      </c>
      <c r="I546" s="5">
        <v>5412</v>
      </c>
      <c r="J546" s="6">
        <f t="shared" si="8"/>
        <v>75064</v>
      </c>
      <c r="L546" s="18">
        <v>49875</v>
      </c>
      <c r="M546" s="19" t="s">
        <v>10</v>
      </c>
      <c r="N546" s="19" t="s">
        <v>35</v>
      </c>
      <c r="O546" s="19" t="s">
        <v>30</v>
      </c>
      <c r="P546" s="19" t="s">
        <v>13</v>
      </c>
      <c r="Q546" s="19" t="s">
        <v>14</v>
      </c>
      <c r="R546" s="19" t="s">
        <v>15</v>
      </c>
      <c r="S546" s="19">
        <v>308731</v>
      </c>
      <c r="T546" s="77">
        <v>4609</v>
      </c>
      <c r="U546" s="20">
        <v>304122</v>
      </c>
    </row>
    <row r="547" spans="1:21">
      <c r="A547" s="5">
        <v>76780</v>
      </c>
      <c r="B547" s="5" t="s">
        <v>16</v>
      </c>
      <c r="C547" s="5" t="s">
        <v>37</v>
      </c>
      <c r="D547" s="5" t="s">
        <v>12</v>
      </c>
      <c r="E547" s="5" t="s">
        <v>13</v>
      </c>
      <c r="F547" s="5" t="s">
        <v>14</v>
      </c>
      <c r="G547" s="5" t="s">
        <v>15</v>
      </c>
      <c r="H547" s="5">
        <v>69025</v>
      </c>
      <c r="I547" s="5">
        <v>576</v>
      </c>
      <c r="J547" s="6">
        <f t="shared" si="8"/>
        <v>68449</v>
      </c>
      <c r="L547" s="21">
        <v>235271</v>
      </c>
      <c r="M547" s="22" t="s">
        <v>10</v>
      </c>
      <c r="N547" s="22" t="s">
        <v>17</v>
      </c>
      <c r="O547" s="22" t="s">
        <v>21</v>
      </c>
      <c r="P547" s="22" t="s">
        <v>13</v>
      </c>
      <c r="Q547" s="22" t="s">
        <v>14</v>
      </c>
      <c r="R547" s="22" t="s">
        <v>24</v>
      </c>
      <c r="S547" s="22">
        <v>77110</v>
      </c>
      <c r="T547" s="78">
        <v>6523</v>
      </c>
      <c r="U547" s="23">
        <v>70587</v>
      </c>
    </row>
    <row r="548" spans="1:21">
      <c r="A548" s="5">
        <v>143797</v>
      </c>
      <c r="B548" s="5" t="s">
        <v>10</v>
      </c>
      <c r="C548" s="5" t="s">
        <v>27</v>
      </c>
      <c r="D548" s="5" t="s">
        <v>30</v>
      </c>
      <c r="E548" s="5" t="s">
        <v>13</v>
      </c>
      <c r="F548" s="5" t="s">
        <v>14</v>
      </c>
      <c r="G548" s="5" t="s">
        <v>15</v>
      </c>
      <c r="H548" s="5">
        <v>185032</v>
      </c>
      <c r="I548" s="5">
        <v>14037</v>
      </c>
      <c r="J548" s="6">
        <f t="shared" si="8"/>
        <v>170995</v>
      </c>
      <c r="L548" s="18">
        <v>229718</v>
      </c>
      <c r="M548" s="19" t="s">
        <v>10</v>
      </c>
      <c r="N548" s="19" t="s">
        <v>25</v>
      </c>
      <c r="O548" s="19" t="s">
        <v>29</v>
      </c>
      <c r="P548" s="19" t="s">
        <v>13</v>
      </c>
      <c r="Q548" s="19" t="s">
        <v>14</v>
      </c>
      <c r="R548" s="19" t="s">
        <v>15</v>
      </c>
      <c r="S548" s="19">
        <v>142769</v>
      </c>
      <c r="T548" s="77">
        <v>3344</v>
      </c>
      <c r="U548" s="20">
        <v>139425</v>
      </c>
    </row>
    <row r="549" spans="1:21">
      <c r="A549" s="5">
        <v>311</v>
      </c>
      <c r="B549" s="5" t="s">
        <v>10</v>
      </c>
      <c r="C549" s="5" t="s">
        <v>38</v>
      </c>
      <c r="D549" s="5" t="s">
        <v>26</v>
      </c>
      <c r="E549" s="5" t="s">
        <v>13</v>
      </c>
      <c r="F549" s="5" t="s">
        <v>14</v>
      </c>
      <c r="G549" s="5" t="s">
        <v>24</v>
      </c>
      <c r="H549" s="5">
        <v>17583</v>
      </c>
      <c r="I549" s="5">
        <v>0</v>
      </c>
      <c r="J549" s="6">
        <f t="shared" si="8"/>
        <v>17583</v>
      </c>
      <c r="L549" s="21">
        <v>238766</v>
      </c>
      <c r="M549" s="22" t="s">
        <v>10</v>
      </c>
      <c r="N549" s="22" t="s">
        <v>17</v>
      </c>
      <c r="O549" s="22" t="s">
        <v>23</v>
      </c>
      <c r="P549" s="22" t="s">
        <v>19</v>
      </c>
      <c r="Q549" s="22" t="s">
        <v>14</v>
      </c>
      <c r="R549" s="22" t="s">
        <v>24</v>
      </c>
      <c r="S549" s="22">
        <v>25625</v>
      </c>
      <c r="T549" s="78">
        <v>337</v>
      </c>
      <c r="U549" s="23">
        <v>25288</v>
      </c>
    </row>
    <row r="550" spans="1:21">
      <c r="A550" s="5">
        <v>132251</v>
      </c>
      <c r="B550" s="5" t="s">
        <v>10</v>
      </c>
      <c r="C550" s="5" t="s">
        <v>17</v>
      </c>
      <c r="D550" s="5" t="s">
        <v>21</v>
      </c>
      <c r="E550" s="5" t="s">
        <v>19</v>
      </c>
      <c r="F550" s="5" t="s">
        <v>14</v>
      </c>
      <c r="G550" s="5" t="s">
        <v>24</v>
      </c>
      <c r="H550" s="5">
        <v>29235</v>
      </c>
      <c r="I550" s="5">
        <v>8680</v>
      </c>
      <c r="J550" s="6">
        <f t="shared" si="8"/>
        <v>20555</v>
      </c>
      <c r="L550" s="18">
        <v>6340</v>
      </c>
      <c r="M550" s="19" t="s">
        <v>10</v>
      </c>
      <c r="N550" s="19" t="s">
        <v>39</v>
      </c>
      <c r="O550" s="19" t="s">
        <v>33</v>
      </c>
      <c r="P550" s="19" t="s">
        <v>13</v>
      </c>
      <c r="Q550" s="19" t="s">
        <v>14</v>
      </c>
      <c r="R550" s="19" t="s">
        <v>15</v>
      </c>
      <c r="S550" s="19">
        <v>74710</v>
      </c>
      <c r="T550" s="77">
        <v>8333</v>
      </c>
      <c r="U550" s="20">
        <v>66377</v>
      </c>
    </row>
    <row r="551" spans="1:21">
      <c r="A551" s="5">
        <v>243415</v>
      </c>
      <c r="B551" s="5" t="s">
        <v>16</v>
      </c>
      <c r="C551" s="5" t="s">
        <v>25</v>
      </c>
      <c r="D551" s="5" t="s">
        <v>21</v>
      </c>
      <c r="E551" s="5" t="s">
        <v>19</v>
      </c>
      <c r="F551" s="5" t="s">
        <v>28</v>
      </c>
      <c r="G551" s="5" t="s">
        <v>24</v>
      </c>
      <c r="H551" s="5">
        <v>33514</v>
      </c>
      <c r="I551" s="5">
        <v>218</v>
      </c>
      <c r="J551" s="6">
        <f t="shared" si="8"/>
        <v>33296</v>
      </c>
      <c r="L551" s="21">
        <v>151973</v>
      </c>
      <c r="M551" s="22" t="s">
        <v>16</v>
      </c>
      <c r="N551" s="22" t="s">
        <v>22</v>
      </c>
      <c r="O551" s="22" t="s">
        <v>30</v>
      </c>
      <c r="P551" s="22" t="s">
        <v>13</v>
      </c>
      <c r="Q551" s="22" t="s">
        <v>14</v>
      </c>
      <c r="R551" s="22" t="s">
        <v>15</v>
      </c>
      <c r="S551" s="22">
        <v>18458</v>
      </c>
      <c r="T551" s="78">
        <v>343</v>
      </c>
      <c r="U551" s="23">
        <v>18115</v>
      </c>
    </row>
    <row r="552" spans="1:21">
      <c r="A552" s="5">
        <v>68976</v>
      </c>
      <c r="B552" s="5" t="s">
        <v>10</v>
      </c>
      <c r="C552" s="5" t="s">
        <v>27</v>
      </c>
      <c r="D552" s="5" t="s">
        <v>29</v>
      </c>
      <c r="E552" s="5" t="s">
        <v>13</v>
      </c>
      <c r="F552" s="5" t="s">
        <v>14</v>
      </c>
      <c r="G552" s="5" t="s">
        <v>24</v>
      </c>
      <c r="H552" s="5">
        <v>54436</v>
      </c>
      <c r="I552" s="5">
        <v>541</v>
      </c>
      <c r="J552" s="6">
        <f t="shared" si="8"/>
        <v>53895</v>
      </c>
      <c r="L552" s="18">
        <v>141007</v>
      </c>
      <c r="M552" s="19" t="s">
        <v>10</v>
      </c>
      <c r="N552" s="19" t="s">
        <v>17</v>
      </c>
      <c r="O552" s="19" t="s">
        <v>18</v>
      </c>
      <c r="P552" s="19" t="s">
        <v>19</v>
      </c>
      <c r="Q552" s="19" t="s">
        <v>14</v>
      </c>
      <c r="R552" s="19" t="s">
        <v>24</v>
      </c>
      <c r="S552" s="19">
        <v>63024</v>
      </c>
      <c r="T552" s="77">
        <v>482</v>
      </c>
      <c r="U552" s="20">
        <v>62542</v>
      </c>
    </row>
    <row r="553" spans="1:21">
      <c r="A553" s="5">
        <v>53435</v>
      </c>
      <c r="B553" s="5" t="s">
        <v>10</v>
      </c>
      <c r="C553" s="5" t="s">
        <v>35</v>
      </c>
      <c r="D553" s="5" t="s">
        <v>12</v>
      </c>
      <c r="E553" s="5" t="s">
        <v>19</v>
      </c>
      <c r="F553" s="5" t="s">
        <v>14</v>
      </c>
      <c r="G553" s="5" t="s">
        <v>24</v>
      </c>
      <c r="H553" s="5">
        <v>72866</v>
      </c>
      <c r="I553" s="5">
        <v>732</v>
      </c>
      <c r="J553" s="6">
        <f t="shared" si="8"/>
        <v>72134</v>
      </c>
      <c r="L553" s="21">
        <v>15878</v>
      </c>
      <c r="M553" s="22" t="s">
        <v>10</v>
      </c>
      <c r="N553" s="22" t="s">
        <v>11</v>
      </c>
      <c r="O553" s="22" t="s">
        <v>30</v>
      </c>
      <c r="P553" s="22" t="s">
        <v>13</v>
      </c>
      <c r="Q553" s="22" t="s">
        <v>14</v>
      </c>
      <c r="R553" s="22" t="s">
        <v>15</v>
      </c>
      <c r="S553" s="22">
        <v>47465</v>
      </c>
      <c r="T553" s="78">
        <v>2527</v>
      </c>
      <c r="U553" s="23">
        <v>44938</v>
      </c>
    </row>
    <row r="554" spans="1:21">
      <c r="A554" s="5">
        <v>233092</v>
      </c>
      <c r="B554" s="5" t="s">
        <v>10</v>
      </c>
      <c r="C554" s="5" t="s">
        <v>22</v>
      </c>
      <c r="D554" s="5" t="s">
        <v>32</v>
      </c>
      <c r="E554" s="5" t="s">
        <v>13</v>
      </c>
      <c r="F554" s="5" t="s">
        <v>14</v>
      </c>
      <c r="G554" s="5" t="s">
        <v>15</v>
      </c>
      <c r="H554" s="5">
        <v>56080</v>
      </c>
      <c r="I554" s="5">
        <v>19</v>
      </c>
      <c r="J554" s="6">
        <f t="shared" si="8"/>
        <v>56061</v>
      </c>
      <c r="L554" s="18">
        <v>159237</v>
      </c>
      <c r="M554" s="19" t="s">
        <v>16</v>
      </c>
      <c r="N554" s="19" t="s">
        <v>34</v>
      </c>
      <c r="O554" s="19" t="s">
        <v>29</v>
      </c>
      <c r="P554" s="19" t="s">
        <v>19</v>
      </c>
      <c r="Q554" s="19" t="s">
        <v>14</v>
      </c>
      <c r="R554" s="19" t="s">
        <v>24</v>
      </c>
      <c r="S554" s="19">
        <v>29069</v>
      </c>
      <c r="T554" s="77">
        <v>2047</v>
      </c>
      <c r="U554" s="20">
        <v>27022</v>
      </c>
    </row>
    <row r="555" spans="1:21">
      <c r="A555" s="5">
        <v>89886</v>
      </c>
      <c r="B555" s="5" t="s">
        <v>10</v>
      </c>
      <c r="C555" s="5" t="s">
        <v>39</v>
      </c>
      <c r="D555" s="5" t="s">
        <v>23</v>
      </c>
      <c r="E555" s="5" t="s">
        <v>13</v>
      </c>
      <c r="F555" s="5" t="s">
        <v>14</v>
      </c>
      <c r="G555" s="5" t="s">
        <v>24</v>
      </c>
      <c r="H555" s="5">
        <v>92216</v>
      </c>
      <c r="I555" s="5">
        <v>445</v>
      </c>
      <c r="J555" s="6">
        <f t="shared" si="8"/>
        <v>91771</v>
      </c>
      <c r="L555" s="21">
        <v>17386</v>
      </c>
      <c r="M555" s="22" t="s">
        <v>16</v>
      </c>
      <c r="N555" s="22" t="s">
        <v>34</v>
      </c>
      <c r="O555" s="22" t="s">
        <v>36</v>
      </c>
      <c r="P555" s="22" t="s">
        <v>13</v>
      </c>
      <c r="Q555" s="22" t="s">
        <v>14</v>
      </c>
      <c r="R555" s="22" t="s">
        <v>15</v>
      </c>
      <c r="S555" s="22">
        <v>30106</v>
      </c>
      <c r="T555" s="78">
        <v>1183</v>
      </c>
      <c r="U555" s="23">
        <v>28923</v>
      </c>
    </row>
    <row r="556" spans="1:21">
      <c r="A556" s="5">
        <v>199563</v>
      </c>
      <c r="B556" s="5" t="s">
        <v>10</v>
      </c>
      <c r="C556" s="5" t="s">
        <v>38</v>
      </c>
      <c r="D556" s="5" t="s">
        <v>33</v>
      </c>
      <c r="E556" s="5" t="s">
        <v>13</v>
      </c>
      <c r="F556" s="5" t="s">
        <v>14</v>
      </c>
      <c r="G556" s="5" t="s">
        <v>15</v>
      </c>
      <c r="H556" s="5">
        <v>101435</v>
      </c>
      <c r="I556" s="5">
        <v>582</v>
      </c>
      <c r="J556" s="6">
        <f t="shared" si="8"/>
        <v>100853</v>
      </c>
      <c r="L556" s="18">
        <v>27609</v>
      </c>
      <c r="M556" s="19" t="s">
        <v>10</v>
      </c>
      <c r="N556" s="19" t="s">
        <v>11</v>
      </c>
      <c r="O556" s="19" t="s">
        <v>23</v>
      </c>
      <c r="P556" s="19" t="s">
        <v>19</v>
      </c>
      <c r="Q556" s="19" t="s">
        <v>14</v>
      </c>
      <c r="R556" s="19" t="s">
        <v>24</v>
      </c>
      <c r="S556" s="19">
        <v>12363</v>
      </c>
      <c r="T556" s="77">
        <v>168</v>
      </c>
      <c r="U556" s="20">
        <v>12195</v>
      </c>
    </row>
    <row r="557" spans="1:21">
      <c r="A557" s="5">
        <v>66419</v>
      </c>
      <c r="B557" s="5" t="s">
        <v>16</v>
      </c>
      <c r="C557" s="5" t="s">
        <v>27</v>
      </c>
      <c r="D557" s="5" t="s">
        <v>12</v>
      </c>
      <c r="E557" s="5" t="s">
        <v>19</v>
      </c>
      <c r="F557" s="5" t="s">
        <v>14</v>
      </c>
      <c r="G557" s="5" t="s">
        <v>24</v>
      </c>
      <c r="H557" s="5">
        <v>47949</v>
      </c>
      <c r="I557" s="5">
        <v>1474</v>
      </c>
      <c r="J557" s="6">
        <f t="shared" si="8"/>
        <v>46475</v>
      </c>
      <c r="L557" s="21">
        <v>176077</v>
      </c>
      <c r="M557" s="22" t="s">
        <v>10</v>
      </c>
      <c r="N557" s="22" t="s">
        <v>22</v>
      </c>
      <c r="O557" s="22" t="s">
        <v>12</v>
      </c>
      <c r="P557" s="22" t="s">
        <v>19</v>
      </c>
      <c r="Q557" s="22" t="s">
        <v>14</v>
      </c>
      <c r="R557" s="22" t="s">
        <v>15</v>
      </c>
      <c r="S557" s="22">
        <v>37747</v>
      </c>
      <c r="T557" s="78">
        <v>3058</v>
      </c>
      <c r="U557" s="23">
        <v>34689</v>
      </c>
    </row>
    <row r="558" spans="1:21">
      <c r="A558" s="5">
        <v>112035</v>
      </c>
      <c r="B558" s="5" t="s">
        <v>10</v>
      </c>
      <c r="C558" s="5" t="s">
        <v>17</v>
      </c>
      <c r="D558" s="5" t="s">
        <v>32</v>
      </c>
      <c r="E558" s="5" t="s">
        <v>19</v>
      </c>
      <c r="F558" s="5" t="s">
        <v>14</v>
      </c>
      <c r="G558" s="5" t="s">
        <v>24</v>
      </c>
      <c r="H558" s="5">
        <v>41048</v>
      </c>
      <c r="I558" s="5">
        <v>0</v>
      </c>
      <c r="J558" s="6">
        <f t="shared" si="8"/>
        <v>41048</v>
      </c>
      <c r="L558" s="18">
        <v>213900</v>
      </c>
      <c r="M558" s="19" t="s">
        <v>10</v>
      </c>
      <c r="N558" s="19" t="s">
        <v>11</v>
      </c>
      <c r="O558" s="19" t="s">
        <v>23</v>
      </c>
      <c r="P558" s="19" t="s">
        <v>13</v>
      </c>
      <c r="Q558" s="19" t="s">
        <v>14</v>
      </c>
      <c r="R558" s="19" t="s">
        <v>15</v>
      </c>
      <c r="S558" s="19">
        <v>179410</v>
      </c>
      <c r="T558" s="77">
        <v>3116</v>
      </c>
      <c r="U558" s="20">
        <v>176294</v>
      </c>
    </row>
    <row r="559" spans="1:21">
      <c r="A559" s="5">
        <v>11311</v>
      </c>
      <c r="B559" s="5" t="s">
        <v>10</v>
      </c>
      <c r="C559" s="5" t="s">
        <v>20</v>
      </c>
      <c r="D559" s="5" t="s">
        <v>32</v>
      </c>
      <c r="E559" s="5" t="s">
        <v>13</v>
      </c>
      <c r="F559" s="5" t="s">
        <v>14</v>
      </c>
      <c r="G559" s="5" t="s">
        <v>15</v>
      </c>
      <c r="H559" s="5">
        <v>22108</v>
      </c>
      <c r="I559" s="5">
        <v>585</v>
      </c>
      <c r="J559" s="6">
        <f t="shared" si="8"/>
        <v>21523</v>
      </c>
      <c r="L559" s="21">
        <v>63932</v>
      </c>
      <c r="M559" s="22" t="s">
        <v>10</v>
      </c>
      <c r="N559" s="22" t="s">
        <v>27</v>
      </c>
      <c r="O559" s="22" t="s">
        <v>29</v>
      </c>
      <c r="P559" s="22" t="s">
        <v>13</v>
      </c>
      <c r="Q559" s="22" t="s">
        <v>14</v>
      </c>
      <c r="R559" s="22" t="s">
        <v>15</v>
      </c>
      <c r="S559" s="22">
        <v>84562</v>
      </c>
      <c r="T559" s="78">
        <v>6401</v>
      </c>
      <c r="U559" s="23">
        <v>78161</v>
      </c>
    </row>
    <row r="560" spans="1:21">
      <c r="A560" s="5">
        <v>197314</v>
      </c>
      <c r="B560" s="5" t="s">
        <v>16</v>
      </c>
      <c r="C560" s="5" t="s">
        <v>22</v>
      </c>
      <c r="D560" s="5" t="s">
        <v>18</v>
      </c>
      <c r="E560" s="5" t="s">
        <v>13</v>
      </c>
      <c r="F560" s="5" t="s">
        <v>14</v>
      </c>
      <c r="G560" s="5" t="s">
        <v>15</v>
      </c>
      <c r="H560" s="5">
        <v>106867</v>
      </c>
      <c r="I560" s="5">
        <v>378</v>
      </c>
      <c r="J560" s="6">
        <f t="shared" si="8"/>
        <v>106489</v>
      </c>
      <c r="L560" s="18">
        <v>199294</v>
      </c>
      <c r="M560" s="19" t="s">
        <v>16</v>
      </c>
      <c r="N560" s="19" t="s">
        <v>39</v>
      </c>
      <c r="O560" s="19" t="s">
        <v>32</v>
      </c>
      <c r="P560" s="19" t="s">
        <v>13</v>
      </c>
      <c r="Q560" s="19" t="s">
        <v>14</v>
      </c>
      <c r="R560" s="19" t="s">
        <v>15</v>
      </c>
      <c r="S560" s="19">
        <v>33852</v>
      </c>
      <c r="T560" s="77">
        <v>528</v>
      </c>
      <c r="U560" s="20">
        <v>33324</v>
      </c>
    </row>
    <row r="561" spans="1:21">
      <c r="A561" s="5">
        <v>131871</v>
      </c>
      <c r="B561" s="5" t="s">
        <v>10</v>
      </c>
      <c r="C561" s="5" t="s">
        <v>35</v>
      </c>
      <c r="D561" s="5" t="s">
        <v>26</v>
      </c>
      <c r="E561" s="5" t="s">
        <v>13</v>
      </c>
      <c r="F561" s="5" t="s">
        <v>14</v>
      </c>
      <c r="G561" s="5" t="s">
        <v>24</v>
      </c>
      <c r="H561" s="5">
        <v>13695</v>
      </c>
      <c r="I561" s="5">
        <v>0</v>
      </c>
      <c r="J561" s="6">
        <f t="shared" si="8"/>
        <v>13695</v>
      </c>
      <c r="L561" s="21">
        <v>72731</v>
      </c>
      <c r="M561" s="22" t="s">
        <v>10</v>
      </c>
      <c r="N561" s="22" t="s">
        <v>27</v>
      </c>
      <c r="O561" s="22" t="s">
        <v>23</v>
      </c>
      <c r="P561" s="22" t="s">
        <v>13</v>
      </c>
      <c r="Q561" s="22" t="s">
        <v>14</v>
      </c>
      <c r="R561" s="22" t="s">
        <v>24</v>
      </c>
      <c r="S561" s="22">
        <v>41819</v>
      </c>
      <c r="T561" s="78">
        <v>1012</v>
      </c>
      <c r="U561" s="23">
        <v>40807</v>
      </c>
    </row>
    <row r="562" spans="1:21">
      <c r="A562" s="5">
        <v>187322</v>
      </c>
      <c r="B562" s="5" t="s">
        <v>10</v>
      </c>
      <c r="C562" s="5" t="s">
        <v>39</v>
      </c>
      <c r="D562" s="5" t="s">
        <v>32</v>
      </c>
      <c r="E562" s="5" t="s">
        <v>13</v>
      </c>
      <c r="F562" s="5" t="s">
        <v>14</v>
      </c>
      <c r="G562" s="5" t="s">
        <v>24</v>
      </c>
      <c r="H562" s="5">
        <v>29608</v>
      </c>
      <c r="I562" s="5">
        <v>1642</v>
      </c>
      <c r="J562" s="6">
        <f t="shared" si="8"/>
        <v>27966</v>
      </c>
      <c r="L562" s="18">
        <v>99834</v>
      </c>
      <c r="M562" s="19" t="s">
        <v>16</v>
      </c>
      <c r="N562" s="19" t="s">
        <v>34</v>
      </c>
      <c r="O562" s="19" t="s">
        <v>36</v>
      </c>
      <c r="P562" s="19" t="s">
        <v>19</v>
      </c>
      <c r="Q562" s="19" t="s">
        <v>14</v>
      </c>
      <c r="R562" s="19" t="s">
        <v>24</v>
      </c>
      <c r="S562" s="19">
        <v>38434</v>
      </c>
      <c r="T562" s="77">
        <v>317</v>
      </c>
      <c r="U562" s="20">
        <v>38117</v>
      </c>
    </row>
    <row r="563" spans="1:21">
      <c r="A563" s="5">
        <v>85203</v>
      </c>
      <c r="B563" s="5" t="s">
        <v>10</v>
      </c>
      <c r="C563" s="5" t="s">
        <v>34</v>
      </c>
      <c r="D563" s="5" t="s">
        <v>12</v>
      </c>
      <c r="E563" s="5" t="s">
        <v>13</v>
      </c>
      <c r="F563" s="5" t="s">
        <v>14</v>
      </c>
      <c r="G563" s="5" t="s">
        <v>15</v>
      </c>
      <c r="H563" s="5">
        <v>135187</v>
      </c>
      <c r="I563" s="5">
        <v>1483</v>
      </c>
      <c r="J563" s="6">
        <f t="shared" si="8"/>
        <v>133704</v>
      </c>
      <c r="L563" s="21">
        <v>161786</v>
      </c>
      <c r="M563" s="22" t="s">
        <v>16</v>
      </c>
      <c r="N563" s="22" t="s">
        <v>25</v>
      </c>
      <c r="O563" s="22" t="s">
        <v>30</v>
      </c>
      <c r="P563" s="22" t="s">
        <v>13</v>
      </c>
      <c r="Q563" s="22" t="s">
        <v>14</v>
      </c>
      <c r="R563" s="22" t="s">
        <v>24</v>
      </c>
      <c r="S563" s="22">
        <v>28082</v>
      </c>
      <c r="T563" s="78">
        <v>1764</v>
      </c>
      <c r="U563" s="23">
        <v>26318</v>
      </c>
    </row>
    <row r="564" spans="1:21">
      <c r="A564" s="5">
        <v>224455</v>
      </c>
      <c r="B564" s="5" t="s">
        <v>16</v>
      </c>
      <c r="C564" s="5" t="s">
        <v>11</v>
      </c>
      <c r="D564" s="5" t="s">
        <v>36</v>
      </c>
      <c r="E564" s="5" t="s">
        <v>13</v>
      </c>
      <c r="F564" s="5" t="s">
        <v>14</v>
      </c>
      <c r="G564" s="5" t="s">
        <v>15</v>
      </c>
      <c r="H564" s="5">
        <v>5448</v>
      </c>
      <c r="I564" s="5">
        <v>0</v>
      </c>
      <c r="J564" s="6">
        <f t="shared" si="8"/>
        <v>5448</v>
      </c>
      <c r="L564" s="18">
        <v>95259</v>
      </c>
      <c r="M564" s="19" t="s">
        <v>16</v>
      </c>
      <c r="N564" s="19" t="s">
        <v>38</v>
      </c>
      <c r="O564" s="19" t="s">
        <v>33</v>
      </c>
      <c r="P564" s="19" t="s">
        <v>13</v>
      </c>
      <c r="Q564" s="19" t="s">
        <v>14</v>
      </c>
      <c r="R564" s="19" t="s">
        <v>15</v>
      </c>
      <c r="S564" s="19">
        <v>23775</v>
      </c>
      <c r="T564" s="77">
        <v>833</v>
      </c>
      <c r="U564" s="20">
        <v>22942</v>
      </c>
    </row>
    <row r="565" spans="1:21">
      <c r="A565" s="5">
        <v>21467</v>
      </c>
      <c r="B565" s="5" t="s">
        <v>16</v>
      </c>
      <c r="C565" s="5" t="s">
        <v>11</v>
      </c>
      <c r="D565" s="5" t="s">
        <v>12</v>
      </c>
      <c r="E565" s="5" t="s">
        <v>13</v>
      </c>
      <c r="F565" s="5" t="s">
        <v>14</v>
      </c>
      <c r="G565" s="5" t="s">
        <v>15</v>
      </c>
      <c r="H565" s="5">
        <v>57626</v>
      </c>
      <c r="I565" s="5">
        <v>1361</v>
      </c>
      <c r="J565" s="6">
        <f t="shared" si="8"/>
        <v>56265</v>
      </c>
      <c r="L565" s="21">
        <v>97724</v>
      </c>
      <c r="M565" s="22" t="s">
        <v>16</v>
      </c>
      <c r="N565" s="22" t="s">
        <v>34</v>
      </c>
      <c r="O565" s="22" t="s">
        <v>36</v>
      </c>
      <c r="P565" s="22" t="s">
        <v>13</v>
      </c>
      <c r="Q565" s="22" t="s">
        <v>14</v>
      </c>
      <c r="R565" s="22" t="s">
        <v>24</v>
      </c>
      <c r="S565" s="22">
        <v>34074</v>
      </c>
      <c r="T565" s="78">
        <v>1060</v>
      </c>
      <c r="U565" s="23">
        <v>33014</v>
      </c>
    </row>
    <row r="566" spans="1:21">
      <c r="A566" s="5">
        <v>243829</v>
      </c>
      <c r="B566" s="5" t="s">
        <v>10</v>
      </c>
      <c r="C566" s="5" t="s">
        <v>25</v>
      </c>
      <c r="D566" s="5" t="s">
        <v>23</v>
      </c>
      <c r="E566" s="5" t="s">
        <v>19</v>
      </c>
      <c r="F566" s="5" t="s">
        <v>14</v>
      </c>
      <c r="G566" s="5" t="s">
        <v>24</v>
      </c>
      <c r="H566" s="5">
        <v>21353</v>
      </c>
      <c r="I566" s="5">
        <v>318</v>
      </c>
      <c r="J566" s="6">
        <f t="shared" si="8"/>
        <v>21035</v>
      </c>
      <c r="L566" s="18">
        <v>95696</v>
      </c>
      <c r="M566" s="19" t="s">
        <v>16</v>
      </c>
      <c r="N566" s="19" t="s">
        <v>39</v>
      </c>
      <c r="O566" s="19" t="s">
        <v>32</v>
      </c>
      <c r="P566" s="19" t="s">
        <v>13</v>
      </c>
      <c r="Q566" s="19" t="s">
        <v>14</v>
      </c>
      <c r="R566" s="19" t="s">
        <v>15</v>
      </c>
      <c r="S566" s="19">
        <v>83420</v>
      </c>
      <c r="T566" s="77">
        <v>2844</v>
      </c>
      <c r="U566" s="20">
        <v>80576</v>
      </c>
    </row>
    <row r="567" spans="1:21">
      <c r="A567" s="5">
        <v>144949</v>
      </c>
      <c r="B567" s="5" t="s">
        <v>16</v>
      </c>
      <c r="C567" s="5" t="s">
        <v>22</v>
      </c>
      <c r="D567" s="5" t="s">
        <v>33</v>
      </c>
      <c r="E567" s="5" t="s">
        <v>19</v>
      </c>
      <c r="F567" s="5" t="s">
        <v>14</v>
      </c>
      <c r="G567" s="5" t="s">
        <v>24</v>
      </c>
      <c r="H567" s="5">
        <v>40308</v>
      </c>
      <c r="I567" s="5">
        <v>4473</v>
      </c>
      <c r="J567" s="6">
        <f t="shared" si="8"/>
        <v>35835</v>
      </c>
      <c r="L567" s="21">
        <v>115505</v>
      </c>
      <c r="M567" s="22" t="s">
        <v>10</v>
      </c>
      <c r="N567" s="22" t="s">
        <v>25</v>
      </c>
      <c r="O567" s="22" t="s">
        <v>12</v>
      </c>
      <c r="P567" s="22" t="s">
        <v>19</v>
      </c>
      <c r="Q567" s="22" t="s">
        <v>14</v>
      </c>
      <c r="R567" s="22" t="s">
        <v>15</v>
      </c>
      <c r="S567" s="22">
        <v>95614</v>
      </c>
      <c r="T567" s="78">
        <v>5867</v>
      </c>
      <c r="U567" s="23">
        <v>89747</v>
      </c>
    </row>
    <row r="568" spans="1:21">
      <c r="A568" s="5">
        <v>235712</v>
      </c>
      <c r="B568" s="5" t="s">
        <v>16</v>
      </c>
      <c r="C568" s="5" t="s">
        <v>17</v>
      </c>
      <c r="D568" s="5" t="s">
        <v>33</v>
      </c>
      <c r="E568" s="5" t="s">
        <v>19</v>
      </c>
      <c r="F568" s="5" t="s">
        <v>14</v>
      </c>
      <c r="G568" s="5" t="s">
        <v>15</v>
      </c>
      <c r="H568" s="5">
        <v>59108</v>
      </c>
      <c r="I568" s="5">
        <v>2907</v>
      </c>
      <c r="J568" s="6">
        <f t="shared" si="8"/>
        <v>56201</v>
      </c>
      <c r="L568" s="18">
        <v>109731</v>
      </c>
      <c r="M568" s="19" t="s">
        <v>16</v>
      </c>
      <c r="N568" s="19" t="s">
        <v>35</v>
      </c>
      <c r="O568" s="19" t="s">
        <v>26</v>
      </c>
      <c r="P568" s="19" t="s">
        <v>13</v>
      </c>
      <c r="Q568" s="19" t="s">
        <v>14</v>
      </c>
      <c r="R568" s="19" t="s">
        <v>24</v>
      </c>
      <c r="S568" s="19">
        <v>4857</v>
      </c>
      <c r="T568" s="77">
        <v>0</v>
      </c>
      <c r="U568" s="20">
        <v>4857</v>
      </c>
    </row>
    <row r="569" spans="1:21">
      <c r="A569" s="5">
        <v>147336</v>
      </c>
      <c r="B569" s="5" t="s">
        <v>16</v>
      </c>
      <c r="C569" s="5" t="s">
        <v>25</v>
      </c>
      <c r="D569" s="5" t="s">
        <v>18</v>
      </c>
      <c r="E569" s="5" t="s">
        <v>13</v>
      </c>
      <c r="F569" s="5" t="s">
        <v>14</v>
      </c>
      <c r="G569" s="5" t="s">
        <v>24</v>
      </c>
      <c r="H569" s="5">
        <v>30611</v>
      </c>
      <c r="I569" s="5">
        <v>330</v>
      </c>
      <c r="J569" s="6">
        <f t="shared" si="8"/>
        <v>30281</v>
      </c>
      <c r="L569" s="21">
        <v>171099</v>
      </c>
      <c r="M569" s="22" t="s">
        <v>10</v>
      </c>
      <c r="N569" s="22" t="s">
        <v>31</v>
      </c>
      <c r="O569" s="22" t="s">
        <v>21</v>
      </c>
      <c r="P569" s="22" t="s">
        <v>19</v>
      </c>
      <c r="Q569" s="22" t="s">
        <v>14</v>
      </c>
      <c r="R569" s="22" t="s">
        <v>24</v>
      </c>
      <c r="S569" s="22">
        <v>28839</v>
      </c>
      <c r="T569" s="78">
        <v>605</v>
      </c>
      <c r="U569" s="23">
        <v>28234</v>
      </c>
    </row>
    <row r="570" spans="1:21">
      <c r="A570" s="5">
        <v>121735</v>
      </c>
      <c r="B570" s="5" t="s">
        <v>16</v>
      </c>
      <c r="C570" s="5" t="s">
        <v>11</v>
      </c>
      <c r="D570" s="5" t="s">
        <v>33</v>
      </c>
      <c r="E570" s="5" t="s">
        <v>13</v>
      </c>
      <c r="F570" s="5" t="s">
        <v>14</v>
      </c>
      <c r="G570" s="5" t="s">
        <v>15</v>
      </c>
      <c r="H570" s="5">
        <v>63198</v>
      </c>
      <c r="I570" s="5">
        <v>1036</v>
      </c>
      <c r="J570" s="6">
        <f t="shared" si="8"/>
        <v>62162</v>
      </c>
      <c r="L570" s="18">
        <v>2664</v>
      </c>
      <c r="M570" s="19" t="s">
        <v>10</v>
      </c>
      <c r="N570" s="19" t="s">
        <v>20</v>
      </c>
      <c r="O570" s="19" t="s">
        <v>32</v>
      </c>
      <c r="P570" s="19" t="s">
        <v>13</v>
      </c>
      <c r="Q570" s="19" t="s">
        <v>14</v>
      </c>
      <c r="R570" s="19" t="s">
        <v>24</v>
      </c>
      <c r="S570" s="19">
        <v>17985</v>
      </c>
      <c r="T570" s="77">
        <v>322</v>
      </c>
      <c r="U570" s="20">
        <v>17663</v>
      </c>
    </row>
    <row r="571" spans="1:21">
      <c r="A571" s="5">
        <v>212466</v>
      </c>
      <c r="B571" s="5" t="s">
        <v>16</v>
      </c>
      <c r="C571" s="5" t="s">
        <v>34</v>
      </c>
      <c r="D571" s="5" t="s">
        <v>26</v>
      </c>
      <c r="E571" s="5" t="s">
        <v>13</v>
      </c>
      <c r="F571" s="5" t="s">
        <v>28</v>
      </c>
      <c r="G571" s="5" t="s">
        <v>15</v>
      </c>
      <c r="H571" s="5">
        <v>19465</v>
      </c>
      <c r="I571" s="5">
        <v>340</v>
      </c>
      <c r="J571" s="6">
        <f t="shared" si="8"/>
        <v>19125</v>
      </c>
      <c r="L571" s="21">
        <v>2057</v>
      </c>
      <c r="M571" s="22" t="s">
        <v>16</v>
      </c>
      <c r="N571" s="22" t="s">
        <v>39</v>
      </c>
      <c r="O571" s="22" t="s">
        <v>33</v>
      </c>
      <c r="P571" s="22" t="s">
        <v>19</v>
      </c>
      <c r="Q571" s="22" t="s">
        <v>14</v>
      </c>
      <c r="R571" s="22" t="s">
        <v>15</v>
      </c>
      <c r="S571" s="22">
        <v>36043</v>
      </c>
      <c r="T571" s="78">
        <v>7789</v>
      </c>
      <c r="U571" s="23">
        <v>28254</v>
      </c>
    </row>
    <row r="572" spans="1:21">
      <c r="A572" s="5">
        <v>254634</v>
      </c>
      <c r="B572" s="5" t="s">
        <v>10</v>
      </c>
      <c r="C572" s="5" t="s">
        <v>25</v>
      </c>
      <c r="D572" s="5" t="s">
        <v>30</v>
      </c>
      <c r="E572" s="5" t="s">
        <v>19</v>
      </c>
      <c r="F572" s="5" t="s">
        <v>14</v>
      </c>
      <c r="G572" s="5" t="s">
        <v>24</v>
      </c>
      <c r="H572" s="5">
        <v>42883</v>
      </c>
      <c r="I572" s="5">
        <v>3280</v>
      </c>
      <c r="J572" s="6">
        <f t="shared" si="8"/>
        <v>39603</v>
      </c>
      <c r="L572" s="18">
        <v>100751</v>
      </c>
      <c r="M572" s="19" t="s">
        <v>10</v>
      </c>
      <c r="N572" s="19" t="s">
        <v>34</v>
      </c>
      <c r="O572" s="19" t="s">
        <v>12</v>
      </c>
      <c r="P572" s="19" t="s">
        <v>13</v>
      </c>
      <c r="Q572" s="19" t="s">
        <v>14</v>
      </c>
      <c r="R572" s="19" t="s">
        <v>15</v>
      </c>
      <c r="S572" s="19">
        <v>82008</v>
      </c>
      <c r="T572" s="77">
        <v>4438</v>
      </c>
      <c r="U572" s="20">
        <v>77570</v>
      </c>
    </row>
    <row r="573" spans="1:21">
      <c r="A573" s="5">
        <v>122603</v>
      </c>
      <c r="B573" s="5" t="s">
        <v>10</v>
      </c>
      <c r="C573" s="5" t="s">
        <v>25</v>
      </c>
      <c r="D573" s="5" t="s">
        <v>23</v>
      </c>
      <c r="E573" s="5" t="s">
        <v>19</v>
      </c>
      <c r="F573" s="5" t="s">
        <v>14</v>
      </c>
      <c r="G573" s="5" t="s">
        <v>15</v>
      </c>
      <c r="H573" s="5">
        <v>119172</v>
      </c>
      <c r="I573" s="5">
        <v>1221</v>
      </c>
      <c r="J573" s="6">
        <f t="shared" si="8"/>
        <v>117951</v>
      </c>
      <c r="L573" s="21">
        <v>102449</v>
      </c>
      <c r="M573" s="22" t="s">
        <v>16</v>
      </c>
      <c r="N573" s="22" t="s">
        <v>34</v>
      </c>
      <c r="O573" s="22" t="s">
        <v>12</v>
      </c>
      <c r="P573" s="22" t="s">
        <v>13</v>
      </c>
      <c r="Q573" s="22" t="s">
        <v>14</v>
      </c>
      <c r="R573" s="22" t="s">
        <v>15</v>
      </c>
      <c r="S573" s="22">
        <v>84090</v>
      </c>
      <c r="T573" s="78">
        <v>4361</v>
      </c>
      <c r="U573" s="23">
        <v>79729</v>
      </c>
    </row>
    <row r="574" spans="1:21">
      <c r="A574" s="5">
        <v>243100</v>
      </c>
      <c r="B574" s="5" t="s">
        <v>16</v>
      </c>
      <c r="C574" s="5" t="s">
        <v>35</v>
      </c>
      <c r="D574" s="5" t="s">
        <v>12</v>
      </c>
      <c r="E574" s="5" t="s">
        <v>13</v>
      </c>
      <c r="F574" s="5" t="s">
        <v>14</v>
      </c>
      <c r="G574" s="5" t="s">
        <v>15</v>
      </c>
      <c r="H574" s="5">
        <v>66396</v>
      </c>
      <c r="I574" s="5">
        <v>2218</v>
      </c>
      <c r="J574" s="6">
        <f t="shared" si="8"/>
        <v>64178</v>
      </c>
      <c r="L574" s="18">
        <v>183143</v>
      </c>
      <c r="M574" s="19" t="s">
        <v>10</v>
      </c>
      <c r="N574" s="19" t="s">
        <v>37</v>
      </c>
      <c r="O574" s="19" t="s">
        <v>26</v>
      </c>
      <c r="P574" s="19" t="s">
        <v>13</v>
      </c>
      <c r="Q574" s="19" t="s">
        <v>14</v>
      </c>
      <c r="R574" s="19" t="s">
        <v>24</v>
      </c>
      <c r="S574" s="19">
        <v>55127</v>
      </c>
      <c r="T574" s="77">
        <v>1275</v>
      </c>
      <c r="U574" s="20">
        <v>53852</v>
      </c>
    </row>
    <row r="575" spans="1:21">
      <c r="A575" s="5">
        <v>61103</v>
      </c>
      <c r="B575" s="5" t="s">
        <v>10</v>
      </c>
      <c r="C575" s="5" t="s">
        <v>27</v>
      </c>
      <c r="D575" s="5" t="s">
        <v>12</v>
      </c>
      <c r="E575" s="5" t="s">
        <v>13</v>
      </c>
      <c r="F575" s="5" t="s">
        <v>14</v>
      </c>
      <c r="G575" s="5" t="s">
        <v>15</v>
      </c>
      <c r="H575" s="5">
        <v>137693</v>
      </c>
      <c r="I575" s="5">
        <v>13658</v>
      </c>
      <c r="J575" s="6">
        <f t="shared" si="8"/>
        <v>124035</v>
      </c>
      <c r="L575" s="21">
        <v>203773</v>
      </c>
      <c r="M575" s="22" t="s">
        <v>16</v>
      </c>
      <c r="N575" s="22" t="s">
        <v>37</v>
      </c>
      <c r="O575" s="22" t="s">
        <v>12</v>
      </c>
      <c r="P575" s="22" t="s">
        <v>13</v>
      </c>
      <c r="Q575" s="22" t="s">
        <v>14</v>
      </c>
      <c r="R575" s="22" t="s">
        <v>15</v>
      </c>
      <c r="S575" s="22">
        <v>46703</v>
      </c>
      <c r="T575" s="78">
        <v>325</v>
      </c>
      <c r="U575" s="23">
        <v>46378</v>
      </c>
    </row>
    <row r="576" spans="1:21">
      <c r="A576" s="5">
        <v>205433</v>
      </c>
      <c r="B576" s="5" t="s">
        <v>10</v>
      </c>
      <c r="C576" s="5" t="s">
        <v>34</v>
      </c>
      <c r="D576" s="5" t="s">
        <v>18</v>
      </c>
      <c r="E576" s="5" t="s">
        <v>13</v>
      </c>
      <c r="F576" s="5" t="s">
        <v>14</v>
      </c>
      <c r="G576" s="5" t="s">
        <v>15</v>
      </c>
      <c r="H576" s="5">
        <v>87853</v>
      </c>
      <c r="I576" s="5">
        <v>9952</v>
      </c>
      <c r="J576" s="6">
        <f t="shared" si="8"/>
        <v>77901</v>
      </c>
      <c r="L576" s="18">
        <v>48704</v>
      </c>
      <c r="M576" s="19" t="s">
        <v>10</v>
      </c>
      <c r="N576" s="19" t="s">
        <v>27</v>
      </c>
      <c r="O576" s="19" t="s">
        <v>30</v>
      </c>
      <c r="P576" s="19" t="s">
        <v>13</v>
      </c>
      <c r="Q576" s="19" t="s">
        <v>14</v>
      </c>
      <c r="R576" s="19" t="s">
        <v>15</v>
      </c>
      <c r="S576" s="19">
        <v>75992</v>
      </c>
      <c r="T576" s="77">
        <v>615</v>
      </c>
      <c r="U576" s="20">
        <v>75377</v>
      </c>
    </row>
    <row r="577" spans="1:21">
      <c r="A577" s="5">
        <v>201186</v>
      </c>
      <c r="B577" s="5" t="s">
        <v>10</v>
      </c>
      <c r="C577" s="5" t="s">
        <v>38</v>
      </c>
      <c r="D577" s="5" t="s">
        <v>18</v>
      </c>
      <c r="E577" s="5" t="s">
        <v>19</v>
      </c>
      <c r="F577" s="5" t="s">
        <v>14</v>
      </c>
      <c r="G577" s="5" t="s">
        <v>15</v>
      </c>
      <c r="H577" s="5">
        <v>9631</v>
      </c>
      <c r="I577" s="5">
        <v>1085</v>
      </c>
      <c r="J577" s="6">
        <f t="shared" si="8"/>
        <v>8546</v>
      </c>
      <c r="L577" s="21">
        <v>241385</v>
      </c>
      <c r="M577" s="22" t="s">
        <v>16</v>
      </c>
      <c r="N577" s="22" t="s">
        <v>35</v>
      </c>
      <c r="O577" s="22" t="s">
        <v>33</v>
      </c>
      <c r="P577" s="22" t="s">
        <v>13</v>
      </c>
      <c r="Q577" s="22" t="s">
        <v>14</v>
      </c>
      <c r="R577" s="22" t="s">
        <v>24</v>
      </c>
      <c r="S577" s="22">
        <v>30008</v>
      </c>
      <c r="T577" s="78">
        <v>161</v>
      </c>
      <c r="U577" s="23">
        <v>29847</v>
      </c>
    </row>
    <row r="578" spans="1:21">
      <c r="A578" s="5">
        <v>193407</v>
      </c>
      <c r="B578" s="5" t="s">
        <v>10</v>
      </c>
      <c r="C578" s="5" t="s">
        <v>34</v>
      </c>
      <c r="D578" s="5" t="s">
        <v>29</v>
      </c>
      <c r="E578" s="5" t="s">
        <v>13</v>
      </c>
      <c r="F578" s="5" t="s">
        <v>14</v>
      </c>
      <c r="G578" s="5" t="s">
        <v>24</v>
      </c>
      <c r="H578" s="5">
        <v>80250</v>
      </c>
      <c r="I578" s="5">
        <v>20903</v>
      </c>
      <c r="J578" s="6">
        <f t="shared" ref="J578:J641" si="9">H578-I578</f>
        <v>59347</v>
      </c>
      <c r="L578" s="18">
        <v>10099</v>
      </c>
      <c r="M578" s="19" t="s">
        <v>10</v>
      </c>
      <c r="N578" s="19" t="s">
        <v>20</v>
      </c>
      <c r="O578" s="19" t="s">
        <v>32</v>
      </c>
      <c r="P578" s="19" t="s">
        <v>13</v>
      </c>
      <c r="Q578" s="19" t="s">
        <v>14</v>
      </c>
      <c r="R578" s="19" t="s">
        <v>15</v>
      </c>
      <c r="S578" s="19">
        <v>77602</v>
      </c>
      <c r="T578" s="77">
        <v>0</v>
      </c>
      <c r="U578" s="20">
        <v>77602</v>
      </c>
    </row>
    <row r="579" spans="1:21">
      <c r="A579" s="5">
        <v>1849</v>
      </c>
      <c r="B579" s="5" t="s">
        <v>10</v>
      </c>
      <c r="C579" s="5" t="s">
        <v>39</v>
      </c>
      <c r="D579" s="5" t="s">
        <v>23</v>
      </c>
      <c r="E579" s="5" t="s">
        <v>13</v>
      </c>
      <c r="F579" s="5" t="s">
        <v>14</v>
      </c>
      <c r="G579" s="5" t="s">
        <v>15</v>
      </c>
      <c r="H579" s="5">
        <v>34933</v>
      </c>
      <c r="I579" s="5">
        <v>1920</v>
      </c>
      <c r="J579" s="6">
        <f t="shared" si="9"/>
        <v>33013</v>
      </c>
      <c r="L579" s="21">
        <v>209832</v>
      </c>
      <c r="M579" s="22" t="s">
        <v>16</v>
      </c>
      <c r="N579" s="22" t="s">
        <v>38</v>
      </c>
      <c r="O579" s="22" t="s">
        <v>12</v>
      </c>
      <c r="P579" s="22" t="s">
        <v>13</v>
      </c>
      <c r="Q579" s="22" t="s">
        <v>14</v>
      </c>
      <c r="R579" s="22" t="s">
        <v>15</v>
      </c>
      <c r="S579" s="22">
        <v>113967</v>
      </c>
      <c r="T579" s="78">
        <v>4431</v>
      </c>
      <c r="U579" s="23">
        <v>109536</v>
      </c>
    </row>
    <row r="580" spans="1:21">
      <c r="A580" s="5">
        <v>29995</v>
      </c>
      <c r="B580" s="5" t="s">
        <v>16</v>
      </c>
      <c r="C580" s="5" t="s">
        <v>35</v>
      </c>
      <c r="D580" s="5" t="s">
        <v>33</v>
      </c>
      <c r="E580" s="5" t="s">
        <v>13</v>
      </c>
      <c r="F580" s="5" t="s">
        <v>14</v>
      </c>
      <c r="G580" s="5" t="s">
        <v>15</v>
      </c>
      <c r="H580" s="5">
        <v>237801</v>
      </c>
      <c r="I580" s="5">
        <v>832</v>
      </c>
      <c r="J580" s="6">
        <f t="shared" si="9"/>
        <v>236969</v>
      </c>
      <c r="L580" s="18">
        <v>237184</v>
      </c>
      <c r="M580" s="19" t="s">
        <v>16</v>
      </c>
      <c r="N580" s="19" t="s">
        <v>25</v>
      </c>
      <c r="O580" s="19" t="s">
        <v>33</v>
      </c>
      <c r="P580" s="19" t="s">
        <v>13</v>
      </c>
      <c r="Q580" s="19" t="s">
        <v>14</v>
      </c>
      <c r="R580" s="19" t="s">
        <v>24</v>
      </c>
      <c r="S580" s="19">
        <v>37298</v>
      </c>
      <c r="T580" s="77">
        <v>1880</v>
      </c>
      <c r="U580" s="20">
        <v>35418</v>
      </c>
    </row>
    <row r="581" spans="1:21">
      <c r="A581" s="5">
        <v>167309</v>
      </c>
      <c r="B581" s="5" t="s">
        <v>16</v>
      </c>
      <c r="C581" s="5" t="s">
        <v>22</v>
      </c>
      <c r="D581" s="5" t="s">
        <v>33</v>
      </c>
      <c r="E581" s="5" t="s">
        <v>13</v>
      </c>
      <c r="F581" s="5" t="s">
        <v>14</v>
      </c>
      <c r="G581" s="5" t="s">
        <v>15</v>
      </c>
      <c r="H581" s="5">
        <v>81663</v>
      </c>
      <c r="I581" s="5">
        <v>1090</v>
      </c>
      <c r="J581" s="6">
        <f t="shared" si="9"/>
        <v>80573</v>
      </c>
      <c r="L581" s="21">
        <v>74814</v>
      </c>
      <c r="M581" s="22" t="s">
        <v>10</v>
      </c>
      <c r="N581" s="22" t="s">
        <v>34</v>
      </c>
      <c r="O581" s="22" t="s">
        <v>32</v>
      </c>
      <c r="P581" s="22" t="s">
        <v>13</v>
      </c>
      <c r="Q581" s="22" t="s">
        <v>14</v>
      </c>
      <c r="R581" s="22" t="s">
        <v>24</v>
      </c>
      <c r="S581" s="22">
        <v>22435</v>
      </c>
      <c r="T581" s="78">
        <v>0</v>
      </c>
      <c r="U581" s="23">
        <v>22435</v>
      </c>
    </row>
    <row r="582" spans="1:21">
      <c r="A582" s="5">
        <v>184813</v>
      </c>
      <c r="B582" s="5" t="s">
        <v>10</v>
      </c>
      <c r="C582" s="5" t="s">
        <v>34</v>
      </c>
      <c r="D582" s="5" t="s">
        <v>32</v>
      </c>
      <c r="E582" s="5" t="s">
        <v>19</v>
      </c>
      <c r="F582" s="5" t="s">
        <v>14</v>
      </c>
      <c r="G582" s="5" t="s">
        <v>15</v>
      </c>
      <c r="H582" s="5">
        <v>91021</v>
      </c>
      <c r="I582" s="5">
        <v>865</v>
      </c>
      <c r="J582" s="6">
        <f t="shared" si="9"/>
        <v>90156</v>
      </c>
      <c r="L582" s="18">
        <v>93995</v>
      </c>
      <c r="M582" s="19" t="s">
        <v>10</v>
      </c>
      <c r="N582" s="19" t="s">
        <v>38</v>
      </c>
      <c r="O582" s="19" t="s">
        <v>32</v>
      </c>
      <c r="P582" s="19" t="s">
        <v>13</v>
      </c>
      <c r="Q582" s="19" t="s">
        <v>14</v>
      </c>
      <c r="R582" s="19" t="s">
        <v>24</v>
      </c>
      <c r="S582" s="19">
        <v>25845</v>
      </c>
      <c r="T582" s="77">
        <v>1975</v>
      </c>
      <c r="U582" s="20">
        <v>23870</v>
      </c>
    </row>
    <row r="583" spans="1:21">
      <c r="A583" s="5">
        <v>169601</v>
      </c>
      <c r="B583" s="5" t="s">
        <v>16</v>
      </c>
      <c r="C583" s="5" t="s">
        <v>34</v>
      </c>
      <c r="D583" s="5" t="s">
        <v>32</v>
      </c>
      <c r="E583" s="5" t="s">
        <v>19</v>
      </c>
      <c r="F583" s="5" t="s">
        <v>14</v>
      </c>
      <c r="G583" s="5" t="s">
        <v>15</v>
      </c>
      <c r="H583" s="5">
        <v>4044</v>
      </c>
      <c r="I583" s="5">
        <v>378</v>
      </c>
      <c r="J583" s="6">
        <f t="shared" si="9"/>
        <v>3666</v>
      </c>
      <c r="L583" s="21">
        <v>40587</v>
      </c>
      <c r="M583" s="22" t="s">
        <v>16</v>
      </c>
      <c r="N583" s="22" t="s">
        <v>38</v>
      </c>
      <c r="O583" s="22" t="s">
        <v>33</v>
      </c>
      <c r="P583" s="22" t="s">
        <v>13</v>
      </c>
      <c r="Q583" s="22" t="s">
        <v>14</v>
      </c>
      <c r="R583" s="22" t="s">
        <v>15</v>
      </c>
      <c r="S583" s="22">
        <v>63641</v>
      </c>
      <c r="T583" s="78">
        <v>63</v>
      </c>
      <c r="U583" s="23">
        <v>63578</v>
      </c>
    </row>
    <row r="584" spans="1:21">
      <c r="A584" s="5">
        <v>54095</v>
      </c>
      <c r="B584" s="5" t="s">
        <v>16</v>
      </c>
      <c r="C584" s="5" t="s">
        <v>35</v>
      </c>
      <c r="D584" s="5" t="s">
        <v>33</v>
      </c>
      <c r="E584" s="5" t="s">
        <v>13</v>
      </c>
      <c r="F584" s="5" t="s">
        <v>14</v>
      </c>
      <c r="G584" s="5" t="s">
        <v>15</v>
      </c>
      <c r="H584" s="5">
        <v>5990</v>
      </c>
      <c r="I584" s="5">
        <v>271</v>
      </c>
      <c r="J584" s="6">
        <f t="shared" si="9"/>
        <v>5719</v>
      </c>
      <c r="L584" s="18">
        <v>139341</v>
      </c>
      <c r="M584" s="19" t="s">
        <v>10</v>
      </c>
      <c r="N584" s="19" t="s">
        <v>25</v>
      </c>
      <c r="O584" s="19" t="s">
        <v>36</v>
      </c>
      <c r="P584" s="19" t="s">
        <v>19</v>
      </c>
      <c r="Q584" s="19" t="s">
        <v>14</v>
      </c>
      <c r="R584" s="19" t="s">
        <v>15</v>
      </c>
      <c r="S584" s="19">
        <v>4002</v>
      </c>
      <c r="T584" s="77">
        <v>0</v>
      </c>
      <c r="U584" s="20">
        <v>4002</v>
      </c>
    </row>
    <row r="585" spans="1:21">
      <c r="A585" s="5">
        <v>169039</v>
      </c>
      <c r="B585" s="5" t="s">
        <v>10</v>
      </c>
      <c r="C585" s="5" t="s">
        <v>38</v>
      </c>
      <c r="D585" s="5" t="s">
        <v>21</v>
      </c>
      <c r="E585" s="5" t="s">
        <v>19</v>
      </c>
      <c r="F585" s="5" t="s">
        <v>14</v>
      </c>
      <c r="G585" s="5" t="s">
        <v>24</v>
      </c>
      <c r="H585" s="5">
        <v>62292</v>
      </c>
      <c r="I585" s="5">
        <v>896</v>
      </c>
      <c r="J585" s="6">
        <f t="shared" si="9"/>
        <v>61396</v>
      </c>
      <c r="L585" s="21">
        <v>202417</v>
      </c>
      <c r="M585" s="22" t="s">
        <v>10</v>
      </c>
      <c r="N585" s="22" t="s">
        <v>37</v>
      </c>
      <c r="O585" s="22" t="s">
        <v>30</v>
      </c>
      <c r="P585" s="22" t="s">
        <v>13</v>
      </c>
      <c r="Q585" s="22" t="s">
        <v>14</v>
      </c>
      <c r="R585" s="22" t="s">
        <v>15</v>
      </c>
      <c r="S585" s="22">
        <v>54800</v>
      </c>
      <c r="T585" s="78">
        <v>4226</v>
      </c>
      <c r="U585" s="23">
        <v>50574</v>
      </c>
    </row>
    <row r="586" spans="1:21">
      <c r="A586" s="5">
        <v>204571</v>
      </c>
      <c r="B586" s="5" t="s">
        <v>16</v>
      </c>
      <c r="C586" s="5" t="s">
        <v>34</v>
      </c>
      <c r="D586" s="5" t="s">
        <v>30</v>
      </c>
      <c r="E586" s="5" t="s">
        <v>19</v>
      </c>
      <c r="F586" s="5" t="s">
        <v>14</v>
      </c>
      <c r="G586" s="5" t="s">
        <v>24</v>
      </c>
      <c r="H586" s="5">
        <v>105916</v>
      </c>
      <c r="I586" s="5">
        <v>2762</v>
      </c>
      <c r="J586" s="6">
        <f t="shared" si="9"/>
        <v>103154</v>
      </c>
      <c r="L586" s="18">
        <v>232392</v>
      </c>
      <c r="M586" s="19" t="s">
        <v>10</v>
      </c>
      <c r="N586" s="19" t="s">
        <v>17</v>
      </c>
      <c r="O586" s="19" t="s">
        <v>18</v>
      </c>
      <c r="P586" s="19" t="s">
        <v>19</v>
      </c>
      <c r="Q586" s="19" t="s">
        <v>14</v>
      </c>
      <c r="R586" s="19" t="s">
        <v>24</v>
      </c>
      <c r="S586" s="19">
        <v>25379</v>
      </c>
      <c r="T586" s="77">
        <v>249</v>
      </c>
      <c r="U586" s="20">
        <v>25130</v>
      </c>
    </row>
    <row r="587" spans="1:21">
      <c r="A587" s="5">
        <v>60814</v>
      </c>
      <c r="B587" s="5" t="s">
        <v>16</v>
      </c>
      <c r="C587" s="5" t="s">
        <v>11</v>
      </c>
      <c r="D587" s="5" t="s">
        <v>33</v>
      </c>
      <c r="E587" s="5" t="s">
        <v>13</v>
      </c>
      <c r="F587" s="5" t="s">
        <v>14</v>
      </c>
      <c r="G587" s="5" t="s">
        <v>15</v>
      </c>
      <c r="H587" s="5">
        <v>47672</v>
      </c>
      <c r="I587" s="5">
        <v>140</v>
      </c>
      <c r="J587" s="6">
        <f t="shared" si="9"/>
        <v>47532</v>
      </c>
      <c r="L587" s="21">
        <v>251085</v>
      </c>
      <c r="M587" s="22" t="s">
        <v>10</v>
      </c>
      <c r="N587" s="22" t="s">
        <v>39</v>
      </c>
      <c r="O587" s="22" t="s">
        <v>21</v>
      </c>
      <c r="P587" s="22" t="s">
        <v>13</v>
      </c>
      <c r="Q587" s="22" t="s">
        <v>14</v>
      </c>
      <c r="R587" s="22" t="s">
        <v>15</v>
      </c>
      <c r="S587" s="22">
        <v>12899</v>
      </c>
      <c r="T587" s="78">
        <v>0</v>
      </c>
      <c r="U587" s="23">
        <v>12899</v>
      </c>
    </row>
    <row r="588" spans="1:21">
      <c r="A588" s="5">
        <v>16942</v>
      </c>
      <c r="B588" s="5" t="s">
        <v>16</v>
      </c>
      <c r="C588" s="5" t="s">
        <v>20</v>
      </c>
      <c r="D588" s="5" t="s">
        <v>32</v>
      </c>
      <c r="E588" s="5" t="s">
        <v>13</v>
      </c>
      <c r="F588" s="5" t="s">
        <v>14</v>
      </c>
      <c r="G588" s="5" t="s">
        <v>15</v>
      </c>
      <c r="H588" s="5">
        <v>24936</v>
      </c>
      <c r="I588" s="5">
        <v>0</v>
      </c>
      <c r="J588" s="6">
        <f t="shared" si="9"/>
        <v>24936</v>
      </c>
      <c r="L588" s="18">
        <v>7293</v>
      </c>
      <c r="M588" s="19" t="s">
        <v>10</v>
      </c>
      <c r="N588" s="19" t="s">
        <v>37</v>
      </c>
      <c r="O588" s="19" t="s">
        <v>12</v>
      </c>
      <c r="P588" s="19" t="s">
        <v>13</v>
      </c>
      <c r="Q588" s="19" t="s">
        <v>14</v>
      </c>
      <c r="R588" s="19" t="s">
        <v>15</v>
      </c>
      <c r="S588" s="19">
        <v>308104</v>
      </c>
      <c r="T588" s="77">
        <v>1083</v>
      </c>
      <c r="U588" s="20">
        <v>307021</v>
      </c>
    </row>
    <row r="589" spans="1:21">
      <c r="A589" s="5">
        <v>7186</v>
      </c>
      <c r="B589" s="5" t="s">
        <v>16</v>
      </c>
      <c r="C589" s="5" t="s">
        <v>38</v>
      </c>
      <c r="D589" s="5" t="s">
        <v>32</v>
      </c>
      <c r="E589" s="5" t="s">
        <v>13</v>
      </c>
      <c r="F589" s="5" t="s">
        <v>14</v>
      </c>
      <c r="G589" s="5" t="s">
        <v>15</v>
      </c>
      <c r="H589" s="5">
        <v>39321</v>
      </c>
      <c r="I589" s="5">
        <v>5554</v>
      </c>
      <c r="J589" s="6">
        <f t="shared" si="9"/>
        <v>33767</v>
      </c>
      <c r="L589" s="21">
        <v>98414</v>
      </c>
      <c r="M589" s="22" t="s">
        <v>10</v>
      </c>
      <c r="N589" s="22" t="s">
        <v>34</v>
      </c>
      <c r="O589" s="22" t="s">
        <v>32</v>
      </c>
      <c r="P589" s="22" t="s">
        <v>13</v>
      </c>
      <c r="Q589" s="22" t="s">
        <v>14</v>
      </c>
      <c r="R589" s="22" t="s">
        <v>15</v>
      </c>
      <c r="S589" s="22">
        <v>141894</v>
      </c>
      <c r="T589" s="78">
        <v>3784</v>
      </c>
      <c r="U589" s="23">
        <v>138110</v>
      </c>
    </row>
    <row r="590" spans="1:21">
      <c r="A590" s="5">
        <v>70782</v>
      </c>
      <c r="B590" s="5" t="s">
        <v>16</v>
      </c>
      <c r="C590" s="5" t="s">
        <v>35</v>
      </c>
      <c r="D590" s="5" t="s">
        <v>32</v>
      </c>
      <c r="E590" s="5" t="s">
        <v>13</v>
      </c>
      <c r="F590" s="5" t="s">
        <v>14</v>
      </c>
      <c r="G590" s="5" t="s">
        <v>15</v>
      </c>
      <c r="H590" s="5">
        <v>31208</v>
      </c>
      <c r="I590" s="5">
        <v>0</v>
      </c>
      <c r="J590" s="6">
        <f t="shared" si="9"/>
        <v>31208</v>
      </c>
      <c r="L590" s="18">
        <v>258399</v>
      </c>
      <c r="M590" s="19" t="s">
        <v>10</v>
      </c>
      <c r="N590" s="19" t="s">
        <v>17</v>
      </c>
      <c r="O590" s="19" t="s">
        <v>23</v>
      </c>
      <c r="P590" s="19" t="s">
        <v>19</v>
      </c>
      <c r="Q590" s="19" t="s">
        <v>14</v>
      </c>
      <c r="R590" s="19" t="s">
        <v>24</v>
      </c>
      <c r="S590" s="19">
        <v>40195</v>
      </c>
      <c r="T590" s="77">
        <v>4424</v>
      </c>
      <c r="U590" s="20">
        <v>35771</v>
      </c>
    </row>
    <row r="591" spans="1:21">
      <c r="A591" s="5">
        <v>215322</v>
      </c>
      <c r="B591" s="5" t="s">
        <v>10</v>
      </c>
      <c r="C591" s="5" t="s">
        <v>20</v>
      </c>
      <c r="D591" s="5" t="s">
        <v>32</v>
      </c>
      <c r="E591" s="5" t="s">
        <v>19</v>
      </c>
      <c r="F591" s="5" t="s">
        <v>28</v>
      </c>
      <c r="G591" s="5" t="s">
        <v>24</v>
      </c>
      <c r="H591" s="5">
        <v>821</v>
      </c>
      <c r="I591" s="5">
        <v>0</v>
      </c>
      <c r="J591" s="6">
        <f t="shared" si="9"/>
        <v>821</v>
      </c>
      <c r="L591" s="21">
        <v>175359</v>
      </c>
      <c r="M591" s="22" t="s">
        <v>16</v>
      </c>
      <c r="N591" s="22" t="s">
        <v>22</v>
      </c>
      <c r="O591" s="22" t="s">
        <v>18</v>
      </c>
      <c r="P591" s="22" t="s">
        <v>13</v>
      </c>
      <c r="Q591" s="22" t="s">
        <v>14</v>
      </c>
      <c r="R591" s="22" t="s">
        <v>15</v>
      </c>
      <c r="S591" s="22">
        <v>995</v>
      </c>
      <c r="T591" s="78">
        <v>279</v>
      </c>
      <c r="U591" s="23">
        <v>716</v>
      </c>
    </row>
    <row r="592" spans="1:21">
      <c r="A592" s="5">
        <v>234306</v>
      </c>
      <c r="B592" s="5" t="s">
        <v>16</v>
      </c>
      <c r="C592" s="5" t="s">
        <v>25</v>
      </c>
      <c r="D592" s="5" t="s">
        <v>30</v>
      </c>
      <c r="E592" s="5" t="s">
        <v>19</v>
      </c>
      <c r="F592" s="5" t="s">
        <v>28</v>
      </c>
      <c r="G592" s="5" t="s">
        <v>15</v>
      </c>
      <c r="H592" s="5">
        <v>54942</v>
      </c>
      <c r="I592" s="5">
        <v>4936</v>
      </c>
      <c r="J592" s="6">
        <f t="shared" si="9"/>
        <v>50006</v>
      </c>
      <c r="L592" s="18">
        <v>172160</v>
      </c>
      <c r="M592" s="19" t="s">
        <v>16</v>
      </c>
      <c r="N592" s="19" t="s">
        <v>11</v>
      </c>
      <c r="O592" s="19" t="s">
        <v>21</v>
      </c>
      <c r="P592" s="19" t="s">
        <v>13</v>
      </c>
      <c r="Q592" s="19" t="s">
        <v>14</v>
      </c>
      <c r="R592" s="19" t="s">
        <v>15</v>
      </c>
      <c r="S592" s="19">
        <v>44641</v>
      </c>
      <c r="T592" s="77">
        <v>444</v>
      </c>
      <c r="U592" s="20">
        <v>44197</v>
      </c>
    </row>
    <row r="593" spans="1:21">
      <c r="A593" s="5">
        <v>96703</v>
      </c>
      <c r="B593" s="5" t="s">
        <v>16</v>
      </c>
      <c r="C593" s="5" t="s">
        <v>37</v>
      </c>
      <c r="D593" s="5" t="s">
        <v>36</v>
      </c>
      <c r="E593" s="5" t="s">
        <v>13</v>
      </c>
      <c r="F593" s="5" t="s">
        <v>14</v>
      </c>
      <c r="G593" s="5" t="s">
        <v>15</v>
      </c>
      <c r="H593" s="5">
        <v>83915</v>
      </c>
      <c r="I593" s="5">
        <v>867</v>
      </c>
      <c r="J593" s="6">
        <f t="shared" si="9"/>
        <v>83048</v>
      </c>
      <c r="L593" s="21">
        <v>19953</v>
      </c>
      <c r="M593" s="22" t="s">
        <v>10</v>
      </c>
      <c r="N593" s="22" t="s">
        <v>11</v>
      </c>
      <c r="O593" s="22" t="s">
        <v>12</v>
      </c>
      <c r="P593" s="22" t="s">
        <v>13</v>
      </c>
      <c r="Q593" s="22" t="s">
        <v>14</v>
      </c>
      <c r="R593" s="22" t="s">
        <v>15</v>
      </c>
      <c r="S593" s="22">
        <v>64028</v>
      </c>
      <c r="T593" s="78">
        <v>1640</v>
      </c>
      <c r="U593" s="23">
        <v>62388</v>
      </c>
    </row>
    <row r="594" spans="1:21">
      <c r="A594" s="5">
        <v>208085</v>
      </c>
      <c r="B594" s="5" t="s">
        <v>10</v>
      </c>
      <c r="C594" s="5" t="s">
        <v>38</v>
      </c>
      <c r="D594" s="5" t="s">
        <v>32</v>
      </c>
      <c r="E594" s="5" t="s">
        <v>19</v>
      </c>
      <c r="F594" s="5" t="s">
        <v>28</v>
      </c>
      <c r="G594" s="5" t="s">
        <v>24</v>
      </c>
      <c r="H594" s="5">
        <v>1681</v>
      </c>
      <c r="I594" s="5">
        <v>0</v>
      </c>
      <c r="J594" s="6">
        <f t="shared" si="9"/>
        <v>1681</v>
      </c>
      <c r="L594" s="18">
        <v>134335</v>
      </c>
      <c r="M594" s="19" t="s">
        <v>10</v>
      </c>
      <c r="N594" s="19" t="s">
        <v>25</v>
      </c>
      <c r="O594" s="19" t="s">
        <v>32</v>
      </c>
      <c r="P594" s="19" t="s">
        <v>13</v>
      </c>
      <c r="Q594" s="19" t="s">
        <v>14</v>
      </c>
      <c r="R594" s="19" t="s">
        <v>24</v>
      </c>
      <c r="S594" s="19">
        <v>21963</v>
      </c>
      <c r="T594" s="77">
        <v>0</v>
      </c>
      <c r="U594" s="20">
        <v>21963</v>
      </c>
    </row>
    <row r="595" spans="1:21">
      <c r="A595" s="5">
        <v>16984</v>
      </c>
      <c r="B595" s="5" t="s">
        <v>10</v>
      </c>
      <c r="C595" s="5" t="s">
        <v>11</v>
      </c>
      <c r="D595" s="5" t="s">
        <v>33</v>
      </c>
      <c r="E595" s="5" t="s">
        <v>13</v>
      </c>
      <c r="F595" s="5" t="s">
        <v>14</v>
      </c>
      <c r="G595" s="5" t="s">
        <v>15</v>
      </c>
      <c r="H595" s="5">
        <v>145000</v>
      </c>
      <c r="I595" s="5">
        <v>5396</v>
      </c>
      <c r="J595" s="6">
        <f t="shared" si="9"/>
        <v>139604</v>
      </c>
      <c r="L595" s="21">
        <v>106589</v>
      </c>
      <c r="M595" s="22" t="s">
        <v>10</v>
      </c>
      <c r="N595" s="22" t="s">
        <v>25</v>
      </c>
      <c r="O595" s="22" t="s">
        <v>26</v>
      </c>
      <c r="P595" s="22" t="s">
        <v>19</v>
      </c>
      <c r="Q595" s="22" t="s">
        <v>14</v>
      </c>
      <c r="R595" s="22" t="s">
        <v>24</v>
      </c>
      <c r="S595" s="22">
        <v>93019</v>
      </c>
      <c r="T595" s="78">
        <v>19172</v>
      </c>
      <c r="U595" s="23">
        <v>73847</v>
      </c>
    </row>
    <row r="596" spans="1:21">
      <c r="A596" s="5">
        <v>237682</v>
      </c>
      <c r="B596" s="5" t="s">
        <v>10</v>
      </c>
      <c r="C596" s="5" t="s">
        <v>25</v>
      </c>
      <c r="D596" s="5" t="s">
        <v>23</v>
      </c>
      <c r="E596" s="5" t="s">
        <v>19</v>
      </c>
      <c r="F596" s="5" t="s">
        <v>14</v>
      </c>
      <c r="G596" s="5" t="s">
        <v>24</v>
      </c>
      <c r="H596" s="5">
        <v>48411</v>
      </c>
      <c r="I596" s="5">
        <v>5010</v>
      </c>
      <c r="J596" s="6">
        <f t="shared" si="9"/>
        <v>43401</v>
      </c>
      <c r="L596" s="18">
        <v>195840</v>
      </c>
      <c r="M596" s="19" t="s">
        <v>16</v>
      </c>
      <c r="N596" s="19" t="s">
        <v>34</v>
      </c>
      <c r="O596" s="19" t="s">
        <v>26</v>
      </c>
      <c r="P596" s="19" t="s">
        <v>19</v>
      </c>
      <c r="Q596" s="19" t="s">
        <v>14</v>
      </c>
      <c r="R596" s="19" t="s">
        <v>24</v>
      </c>
      <c r="S596" s="19">
        <v>34034</v>
      </c>
      <c r="T596" s="77">
        <v>265</v>
      </c>
      <c r="U596" s="20">
        <v>33769</v>
      </c>
    </row>
    <row r="597" spans="1:21">
      <c r="A597" s="5">
        <v>216659</v>
      </c>
      <c r="B597" s="5" t="s">
        <v>16</v>
      </c>
      <c r="C597" s="5" t="s">
        <v>34</v>
      </c>
      <c r="D597" s="5" t="s">
        <v>18</v>
      </c>
      <c r="E597" s="5" t="s">
        <v>13</v>
      </c>
      <c r="F597" s="5" t="s">
        <v>14</v>
      </c>
      <c r="G597" s="5" t="s">
        <v>15</v>
      </c>
      <c r="H597" s="5">
        <v>40311</v>
      </c>
      <c r="I597" s="5">
        <v>232</v>
      </c>
      <c r="J597" s="6">
        <f t="shared" si="9"/>
        <v>40079</v>
      </c>
      <c r="L597" s="21">
        <v>202686</v>
      </c>
      <c r="M597" s="22" t="s">
        <v>16</v>
      </c>
      <c r="N597" s="22" t="s">
        <v>37</v>
      </c>
      <c r="O597" s="22" t="s">
        <v>18</v>
      </c>
      <c r="P597" s="22" t="s">
        <v>13</v>
      </c>
      <c r="Q597" s="22" t="s">
        <v>14</v>
      </c>
      <c r="R597" s="22" t="s">
        <v>15</v>
      </c>
      <c r="S597" s="22">
        <v>21462</v>
      </c>
      <c r="T597" s="78">
        <v>0</v>
      </c>
      <c r="U597" s="23">
        <v>21462</v>
      </c>
    </row>
    <row r="598" spans="1:21">
      <c r="A598" s="5">
        <v>19279</v>
      </c>
      <c r="B598" s="5" t="s">
        <v>10</v>
      </c>
      <c r="C598" s="5" t="s">
        <v>11</v>
      </c>
      <c r="D598" s="5" t="s">
        <v>23</v>
      </c>
      <c r="E598" s="5" t="s">
        <v>13</v>
      </c>
      <c r="F598" s="5" t="s">
        <v>14</v>
      </c>
      <c r="G598" s="5" t="s">
        <v>24</v>
      </c>
      <c r="H598" s="5">
        <v>105741</v>
      </c>
      <c r="I598" s="5">
        <v>8422</v>
      </c>
      <c r="J598" s="6">
        <f t="shared" si="9"/>
        <v>97319</v>
      </c>
      <c r="L598" s="18">
        <v>29893</v>
      </c>
      <c r="M598" s="19" t="s">
        <v>10</v>
      </c>
      <c r="N598" s="19" t="s">
        <v>11</v>
      </c>
      <c r="O598" s="19" t="s">
        <v>29</v>
      </c>
      <c r="P598" s="19" t="s">
        <v>13</v>
      </c>
      <c r="Q598" s="19" t="s">
        <v>14</v>
      </c>
      <c r="R598" s="19" t="s">
        <v>24</v>
      </c>
      <c r="S598" s="19">
        <v>37850</v>
      </c>
      <c r="T598" s="77">
        <v>285</v>
      </c>
      <c r="U598" s="20">
        <v>37565</v>
      </c>
    </row>
    <row r="599" spans="1:21">
      <c r="A599" s="5">
        <v>133859</v>
      </c>
      <c r="B599" s="5" t="s">
        <v>10</v>
      </c>
      <c r="C599" s="5" t="s">
        <v>27</v>
      </c>
      <c r="D599" s="5" t="s">
        <v>26</v>
      </c>
      <c r="E599" s="5" t="s">
        <v>19</v>
      </c>
      <c r="F599" s="5" t="s">
        <v>14</v>
      </c>
      <c r="G599" s="5" t="s">
        <v>24</v>
      </c>
      <c r="H599" s="5">
        <v>33833</v>
      </c>
      <c r="I599" s="5">
        <v>5360</v>
      </c>
      <c r="J599" s="6">
        <f t="shared" si="9"/>
        <v>28473</v>
      </c>
      <c r="L599" s="21">
        <v>251206</v>
      </c>
      <c r="M599" s="22" t="s">
        <v>16</v>
      </c>
      <c r="N599" s="22" t="s">
        <v>17</v>
      </c>
      <c r="O599" s="22" t="s">
        <v>36</v>
      </c>
      <c r="P599" s="22" t="s">
        <v>19</v>
      </c>
      <c r="Q599" s="22" t="s">
        <v>14</v>
      </c>
      <c r="R599" s="22" t="s">
        <v>24</v>
      </c>
      <c r="S599" s="22">
        <v>36550</v>
      </c>
      <c r="T599" s="78">
        <v>2936</v>
      </c>
      <c r="U599" s="23">
        <v>33614</v>
      </c>
    </row>
    <row r="600" spans="1:21">
      <c r="A600" s="5">
        <v>52974</v>
      </c>
      <c r="B600" s="5" t="s">
        <v>10</v>
      </c>
      <c r="C600" s="5" t="s">
        <v>22</v>
      </c>
      <c r="D600" s="5" t="s">
        <v>12</v>
      </c>
      <c r="E600" s="5" t="s">
        <v>19</v>
      </c>
      <c r="F600" s="5" t="s">
        <v>14</v>
      </c>
      <c r="G600" s="5" t="s">
        <v>15</v>
      </c>
      <c r="H600" s="5">
        <v>39456</v>
      </c>
      <c r="I600" s="5">
        <v>268</v>
      </c>
      <c r="J600" s="6">
        <f t="shared" si="9"/>
        <v>39188</v>
      </c>
      <c r="L600" s="18">
        <v>140007</v>
      </c>
      <c r="M600" s="19" t="s">
        <v>10</v>
      </c>
      <c r="N600" s="19" t="s">
        <v>17</v>
      </c>
      <c r="O600" s="19" t="s">
        <v>18</v>
      </c>
      <c r="P600" s="19" t="s">
        <v>19</v>
      </c>
      <c r="Q600" s="19" t="s">
        <v>14</v>
      </c>
      <c r="R600" s="19" t="s">
        <v>15</v>
      </c>
      <c r="S600" s="19">
        <v>5530</v>
      </c>
      <c r="T600" s="77">
        <v>92</v>
      </c>
      <c r="U600" s="20">
        <v>5438</v>
      </c>
    </row>
    <row r="601" spans="1:21">
      <c r="A601" s="5">
        <v>44024</v>
      </c>
      <c r="B601" s="5" t="s">
        <v>10</v>
      </c>
      <c r="C601" s="5" t="s">
        <v>35</v>
      </c>
      <c r="D601" s="5" t="s">
        <v>30</v>
      </c>
      <c r="E601" s="5" t="s">
        <v>13</v>
      </c>
      <c r="F601" s="5" t="s">
        <v>14</v>
      </c>
      <c r="G601" s="5" t="s">
        <v>15</v>
      </c>
      <c r="H601" s="5">
        <v>133990</v>
      </c>
      <c r="I601" s="5">
        <v>4877</v>
      </c>
      <c r="J601" s="6">
        <f t="shared" si="9"/>
        <v>129113</v>
      </c>
      <c r="L601" s="21">
        <v>24808</v>
      </c>
      <c r="M601" s="22" t="s">
        <v>16</v>
      </c>
      <c r="N601" s="22" t="s">
        <v>11</v>
      </c>
      <c r="O601" s="22" t="s">
        <v>32</v>
      </c>
      <c r="P601" s="22" t="s">
        <v>13</v>
      </c>
      <c r="Q601" s="22" t="s">
        <v>14</v>
      </c>
      <c r="R601" s="22" t="s">
        <v>15</v>
      </c>
      <c r="S601" s="22">
        <v>203977</v>
      </c>
      <c r="T601" s="78">
        <v>36100</v>
      </c>
      <c r="U601" s="23">
        <v>167877</v>
      </c>
    </row>
    <row r="602" spans="1:21">
      <c r="A602" s="5">
        <v>18299</v>
      </c>
      <c r="B602" s="5" t="s">
        <v>16</v>
      </c>
      <c r="C602" s="5" t="s">
        <v>11</v>
      </c>
      <c r="D602" s="5" t="s">
        <v>18</v>
      </c>
      <c r="E602" s="5" t="s">
        <v>13</v>
      </c>
      <c r="F602" s="5" t="s">
        <v>28</v>
      </c>
      <c r="G602" s="5" t="s">
        <v>15</v>
      </c>
      <c r="H602" s="5">
        <v>22587</v>
      </c>
      <c r="I602" s="5">
        <v>704</v>
      </c>
      <c r="J602" s="6">
        <f t="shared" si="9"/>
        <v>21883</v>
      </c>
      <c r="L602" s="18">
        <v>188556</v>
      </c>
      <c r="M602" s="19" t="s">
        <v>10</v>
      </c>
      <c r="N602" s="19" t="s">
        <v>20</v>
      </c>
      <c r="O602" s="19" t="s">
        <v>32</v>
      </c>
      <c r="P602" s="19" t="s">
        <v>13</v>
      </c>
      <c r="Q602" s="19" t="s">
        <v>14</v>
      </c>
      <c r="R602" s="19" t="s">
        <v>15</v>
      </c>
      <c r="S602" s="19">
        <v>47299</v>
      </c>
      <c r="T602" s="77">
        <v>290</v>
      </c>
      <c r="U602" s="20">
        <v>47009</v>
      </c>
    </row>
    <row r="603" spans="1:21">
      <c r="A603" s="5">
        <v>195062</v>
      </c>
      <c r="B603" s="5" t="s">
        <v>16</v>
      </c>
      <c r="C603" s="5" t="s">
        <v>38</v>
      </c>
      <c r="D603" s="5" t="s">
        <v>32</v>
      </c>
      <c r="E603" s="5" t="s">
        <v>13</v>
      </c>
      <c r="F603" s="5" t="s">
        <v>14</v>
      </c>
      <c r="G603" s="5" t="s">
        <v>15</v>
      </c>
      <c r="H603" s="5">
        <v>4439</v>
      </c>
      <c r="I603" s="5">
        <v>406</v>
      </c>
      <c r="J603" s="6">
        <f t="shared" si="9"/>
        <v>4033</v>
      </c>
      <c r="L603" s="21">
        <v>50450</v>
      </c>
      <c r="M603" s="22" t="s">
        <v>16</v>
      </c>
      <c r="N603" s="22" t="s">
        <v>35</v>
      </c>
      <c r="O603" s="22" t="s">
        <v>12</v>
      </c>
      <c r="P603" s="22" t="s">
        <v>13</v>
      </c>
      <c r="Q603" s="22" t="s">
        <v>14</v>
      </c>
      <c r="R603" s="22" t="s">
        <v>15</v>
      </c>
      <c r="S603" s="22">
        <v>13812</v>
      </c>
      <c r="T603" s="78">
        <v>0</v>
      </c>
      <c r="U603" s="23">
        <v>13812</v>
      </c>
    </row>
    <row r="604" spans="1:21">
      <c r="A604" s="5">
        <v>55242</v>
      </c>
      <c r="B604" s="5" t="s">
        <v>10</v>
      </c>
      <c r="C604" s="5" t="s">
        <v>35</v>
      </c>
      <c r="D604" s="5" t="s">
        <v>30</v>
      </c>
      <c r="E604" s="5" t="s">
        <v>13</v>
      </c>
      <c r="F604" s="5" t="s">
        <v>14</v>
      </c>
      <c r="G604" s="5" t="s">
        <v>15</v>
      </c>
      <c r="H604" s="5">
        <v>88399</v>
      </c>
      <c r="I604" s="5">
        <v>4158</v>
      </c>
      <c r="J604" s="6">
        <f t="shared" si="9"/>
        <v>84241</v>
      </c>
      <c r="L604" s="18">
        <v>80318</v>
      </c>
      <c r="M604" s="19" t="s">
        <v>10</v>
      </c>
      <c r="N604" s="19" t="s">
        <v>37</v>
      </c>
      <c r="O604" s="19" t="s">
        <v>29</v>
      </c>
      <c r="P604" s="19" t="s">
        <v>13</v>
      </c>
      <c r="Q604" s="19" t="s">
        <v>14</v>
      </c>
      <c r="R604" s="19" t="s">
        <v>24</v>
      </c>
      <c r="S604" s="19">
        <v>22998</v>
      </c>
      <c r="T604" s="77">
        <v>198</v>
      </c>
      <c r="U604" s="20">
        <v>22800</v>
      </c>
    </row>
    <row r="605" spans="1:21">
      <c r="A605" s="5">
        <v>129342</v>
      </c>
      <c r="B605" s="5" t="s">
        <v>16</v>
      </c>
      <c r="C605" s="5" t="s">
        <v>22</v>
      </c>
      <c r="D605" s="5" t="s">
        <v>33</v>
      </c>
      <c r="E605" s="5" t="s">
        <v>19</v>
      </c>
      <c r="F605" s="5" t="s">
        <v>28</v>
      </c>
      <c r="G605" s="5" t="s">
        <v>15</v>
      </c>
      <c r="H605" s="5">
        <v>59934</v>
      </c>
      <c r="I605" s="5">
        <v>184</v>
      </c>
      <c r="J605" s="6">
        <f t="shared" si="9"/>
        <v>59750</v>
      </c>
      <c r="L605" s="21">
        <v>13114</v>
      </c>
      <c r="M605" s="22" t="s">
        <v>16</v>
      </c>
      <c r="N605" s="22" t="s">
        <v>34</v>
      </c>
      <c r="O605" s="22" t="s">
        <v>18</v>
      </c>
      <c r="P605" s="22" t="s">
        <v>13</v>
      </c>
      <c r="Q605" s="22" t="s">
        <v>14</v>
      </c>
      <c r="R605" s="22" t="s">
        <v>15</v>
      </c>
      <c r="S605" s="22">
        <v>29097</v>
      </c>
      <c r="T605" s="78">
        <v>6997</v>
      </c>
      <c r="U605" s="23">
        <v>22100</v>
      </c>
    </row>
    <row r="606" spans="1:21">
      <c r="A606" s="5">
        <v>137262</v>
      </c>
      <c r="B606" s="5" t="s">
        <v>10</v>
      </c>
      <c r="C606" s="5" t="s">
        <v>22</v>
      </c>
      <c r="D606" s="5" t="s">
        <v>30</v>
      </c>
      <c r="E606" s="5" t="s">
        <v>19</v>
      </c>
      <c r="F606" s="5" t="s">
        <v>14</v>
      </c>
      <c r="G606" s="5" t="s">
        <v>15</v>
      </c>
      <c r="H606" s="5">
        <v>142548</v>
      </c>
      <c r="I606" s="5">
        <v>7507</v>
      </c>
      <c r="J606" s="6">
        <f t="shared" si="9"/>
        <v>135041</v>
      </c>
      <c r="L606" s="18">
        <v>238848</v>
      </c>
      <c r="M606" s="19" t="s">
        <v>10</v>
      </c>
      <c r="N606" s="19" t="s">
        <v>34</v>
      </c>
      <c r="O606" s="19" t="s">
        <v>32</v>
      </c>
      <c r="P606" s="19" t="s">
        <v>13</v>
      </c>
      <c r="Q606" s="19" t="s">
        <v>14</v>
      </c>
      <c r="R606" s="19" t="s">
        <v>24</v>
      </c>
      <c r="S606" s="19">
        <v>19903</v>
      </c>
      <c r="T606" s="77">
        <v>0</v>
      </c>
      <c r="U606" s="20">
        <v>19903</v>
      </c>
    </row>
    <row r="607" spans="1:21">
      <c r="A607" s="5">
        <v>127619</v>
      </c>
      <c r="B607" s="5" t="s">
        <v>10</v>
      </c>
      <c r="C607" s="5" t="s">
        <v>22</v>
      </c>
      <c r="D607" s="5" t="s">
        <v>30</v>
      </c>
      <c r="E607" s="5" t="s">
        <v>13</v>
      </c>
      <c r="F607" s="5" t="s">
        <v>14</v>
      </c>
      <c r="G607" s="5" t="s">
        <v>15</v>
      </c>
      <c r="H607" s="5">
        <v>82428</v>
      </c>
      <c r="I607" s="5">
        <v>3086</v>
      </c>
      <c r="J607" s="6">
        <f t="shared" si="9"/>
        <v>79342</v>
      </c>
      <c r="L607" s="21">
        <v>93717</v>
      </c>
      <c r="M607" s="22" t="s">
        <v>10</v>
      </c>
      <c r="N607" s="22" t="s">
        <v>20</v>
      </c>
      <c r="O607" s="22" t="s">
        <v>32</v>
      </c>
      <c r="P607" s="22" t="s">
        <v>19</v>
      </c>
      <c r="Q607" s="22" t="s">
        <v>14</v>
      </c>
      <c r="R607" s="22" t="s">
        <v>15</v>
      </c>
      <c r="S607" s="22">
        <v>38850</v>
      </c>
      <c r="T607" s="78">
        <v>96</v>
      </c>
      <c r="U607" s="23">
        <v>38754</v>
      </c>
    </row>
    <row r="608" spans="1:21">
      <c r="A608" s="5">
        <v>172619</v>
      </c>
      <c r="B608" s="5" t="s">
        <v>10</v>
      </c>
      <c r="C608" s="5" t="s">
        <v>31</v>
      </c>
      <c r="D608" s="5" t="s">
        <v>36</v>
      </c>
      <c r="E608" s="5" t="s">
        <v>19</v>
      </c>
      <c r="F608" s="5" t="s">
        <v>14</v>
      </c>
      <c r="G608" s="5" t="s">
        <v>24</v>
      </c>
      <c r="H608" s="5">
        <v>13129</v>
      </c>
      <c r="I608" s="5">
        <v>0</v>
      </c>
      <c r="J608" s="6">
        <f t="shared" si="9"/>
        <v>13129</v>
      </c>
      <c r="L608" s="18">
        <v>91493</v>
      </c>
      <c r="M608" s="19" t="s">
        <v>10</v>
      </c>
      <c r="N608" s="19" t="s">
        <v>20</v>
      </c>
      <c r="O608" s="19" t="s">
        <v>32</v>
      </c>
      <c r="P608" s="19" t="s">
        <v>13</v>
      </c>
      <c r="Q608" s="19" t="s">
        <v>14</v>
      </c>
      <c r="R608" s="19" t="s">
        <v>15</v>
      </c>
      <c r="S608" s="19">
        <v>7049</v>
      </c>
      <c r="T608" s="77">
        <v>0</v>
      </c>
      <c r="U608" s="20">
        <v>7049</v>
      </c>
    </row>
    <row r="609" spans="1:21">
      <c r="A609" s="5">
        <v>121225</v>
      </c>
      <c r="B609" s="5" t="s">
        <v>16</v>
      </c>
      <c r="C609" s="5" t="s">
        <v>35</v>
      </c>
      <c r="D609" s="5" t="s">
        <v>32</v>
      </c>
      <c r="E609" s="5" t="s">
        <v>13</v>
      </c>
      <c r="F609" s="5" t="s">
        <v>14</v>
      </c>
      <c r="G609" s="5" t="s">
        <v>24</v>
      </c>
      <c r="H609" s="5">
        <v>15146</v>
      </c>
      <c r="I609" s="5">
        <v>507</v>
      </c>
      <c r="J609" s="6">
        <f t="shared" si="9"/>
        <v>14639</v>
      </c>
      <c r="L609" s="21">
        <v>42644</v>
      </c>
      <c r="M609" s="22" t="s">
        <v>16</v>
      </c>
      <c r="N609" s="22" t="s">
        <v>35</v>
      </c>
      <c r="O609" s="22" t="s">
        <v>33</v>
      </c>
      <c r="P609" s="22" t="s">
        <v>19</v>
      </c>
      <c r="Q609" s="22" t="s">
        <v>14</v>
      </c>
      <c r="R609" s="22" t="s">
        <v>24</v>
      </c>
      <c r="S609" s="22">
        <v>60018</v>
      </c>
      <c r="T609" s="78">
        <v>469</v>
      </c>
      <c r="U609" s="23">
        <v>59549</v>
      </c>
    </row>
    <row r="610" spans="1:21">
      <c r="A610" s="5">
        <v>28463</v>
      </c>
      <c r="B610" s="5" t="s">
        <v>10</v>
      </c>
      <c r="C610" s="5" t="s">
        <v>11</v>
      </c>
      <c r="D610" s="5" t="s">
        <v>12</v>
      </c>
      <c r="E610" s="5" t="s">
        <v>13</v>
      </c>
      <c r="F610" s="5" t="s">
        <v>14</v>
      </c>
      <c r="G610" s="5" t="s">
        <v>15</v>
      </c>
      <c r="H610" s="5">
        <v>60783</v>
      </c>
      <c r="I610" s="5">
        <v>1813</v>
      </c>
      <c r="J610" s="6">
        <f t="shared" si="9"/>
        <v>58970</v>
      </c>
      <c r="L610" s="18">
        <v>254527</v>
      </c>
      <c r="M610" s="19" t="s">
        <v>16</v>
      </c>
      <c r="N610" s="19" t="s">
        <v>25</v>
      </c>
      <c r="O610" s="19" t="s">
        <v>33</v>
      </c>
      <c r="P610" s="19" t="s">
        <v>19</v>
      </c>
      <c r="Q610" s="19" t="s">
        <v>14</v>
      </c>
      <c r="R610" s="19" t="s">
        <v>24</v>
      </c>
      <c r="S610" s="19">
        <v>21113</v>
      </c>
      <c r="T610" s="77">
        <v>328</v>
      </c>
      <c r="U610" s="20">
        <v>20785</v>
      </c>
    </row>
    <row r="611" spans="1:21">
      <c r="A611" s="5">
        <v>63865</v>
      </c>
      <c r="B611" s="5" t="s">
        <v>16</v>
      </c>
      <c r="C611" s="5" t="s">
        <v>27</v>
      </c>
      <c r="D611" s="5" t="s">
        <v>32</v>
      </c>
      <c r="E611" s="5" t="s">
        <v>13</v>
      </c>
      <c r="F611" s="5" t="s">
        <v>14</v>
      </c>
      <c r="G611" s="5" t="s">
        <v>15</v>
      </c>
      <c r="H611" s="5">
        <v>177</v>
      </c>
      <c r="I611" s="5">
        <v>0</v>
      </c>
      <c r="J611" s="6">
        <f t="shared" si="9"/>
        <v>177</v>
      </c>
      <c r="L611" s="21">
        <v>24725</v>
      </c>
      <c r="M611" s="22" t="s">
        <v>16</v>
      </c>
      <c r="N611" s="22" t="s">
        <v>35</v>
      </c>
      <c r="O611" s="22" t="s">
        <v>23</v>
      </c>
      <c r="P611" s="22" t="s">
        <v>13</v>
      </c>
      <c r="Q611" s="22" t="s">
        <v>14</v>
      </c>
      <c r="R611" s="22" t="s">
        <v>15</v>
      </c>
      <c r="S611" s="22">
        <v>63142</v>
      </c>
      <c r="T611" s="78">
        <v>4254</v>
      </c>
      <c r="U611" s="23">
        <v>58888</v>
      </c>
    </row>
    <row r="612" spans="1:21">
      <c r="A612" s="5">
        <v>187357</v>
      </c>
      <c r="B612" s="5" t="s">
        <v>10</v>
      </c>
      <c r="C612" s="5" t="s">
        <v>20</v>
      </c>
      <c r="D612" s="5" t="s">
        <v>32</v>
      </c>
      <c r="E612" s="5" t="s">
        <v>19</v>
      </c>
      <c r="F612" s="5" t="s">
        <v>28</v>
      </c>
      <c r="G612" s="5" t="s">
        <v>24</v>
      </c>
      <c r="H612" s="5">
        <v>21706</v>
      </c>
      <c r="I612" s="5">
        <v>408</v>
      </c>
      <c r="J612" s="6">
        <f t="shared" si="9"/>
        <v>21298</v>
      </c>
      <c r="L612" s="18">
        <v>188399</v>
      </c>
      <c r="M612" s="19" t="s">
        <v>16</v>
      </c>
      <c r="N612" s="19" t="s">
        <v>38</v>
      </c>
      <c r="O612" s="19" t="s">
        <v>32</v>
      </c>
      <c r="P612" s="19" t="s">
        <v>13</v>
      </c>
      <c r="Q612" s="19" t="s">
        <v>14</v>
      </c>
      <c r="R612" s="19" t="s">
        <v>15</v>
      </c>
      <c r="S612" s="19">
        <v>53319</v>
      </c>
      <c r="T612" s="77">
        <v>0</v>
      </c>
      <c r="U612" s="20">
        <v>53319</v>
      </c>
    </row>
    <row r="613" spans="1:21">
      <c r="A613" s="5">
        <v>55997</v>
      </c>
      <c r="B613" s="5" t="s">
        <v>10</v>
      </c>
      <c r="C613" s="5" t="s">
        <v>35</v>
      </c>
      <c r="D613" s="5" t="s">
        <v>12</v>
      </c>
      <c r="E613" s="5" t="s">
        <v>13</v>
      </c>
      <c r="F613" s="5" t="s">
        <v>14</v>
      </c>
      <c r="G613" s="5" t="s">
        <v>15</v>
      </c>
      <c r="H613" s="5">
        <v>215415</v>
      </c>
      <c r="I613" s="5">
        <v>15780</v>
      </c>
      <c r="J613" s="6">
        <f t="shared" si="9"/>
        <v>199635</v>
      </c>
      <c r="L613" s="21">
        <v>29100</v>
      </c>
      <c r="M613" s="22" t="s">
        <v>10</v>
      </c>
      <c r="N613" s="22" t="s">
        <v>35</v>
      </c>
      <c r="O613" s="22" t="s">
        <v>33</v>
      </c>
      <c r="P613" s="22" t="s">
        <v>13</v>
      </c>
      <c r="Q613" s="22" t="s">
        <v>14</v>
      </c>
      <c r="R613" s="22" t="s">
        <v>15</v>
      </c>
      <c r="S613" s="22">
        <v>57252</v>
      </c>
      <c r="T613" s="78">
        <v>7765</v>
      </c>
      <c r="U613" s="23">
        <v>49487</v>
      </c>
    </row>
    <row r="614" spans="1:21">
      <c r="A614" s="5">
        <v>112043</v>
      </c>
      <c r="B614" s="5" t="s">
        <v>10</v>
      </c>
      <c r="C614" s="5" t="s">
        <v>22</v>
      </c>
      <c r="D614" s="5" t="s">
        <v>32</v>
      </c>
      <c r="E614" s="5" t="s">
        <v>19</v>
      </c>
      <c r="F614" s="5" t="s">
        <v>14</v>
      </c>
      <c r="G614" s="5" t="s">
        <v>24</v>
      </c>
      <c r="H614" s="5">
        <v>3</v>
      </c>
      <c r="I614" s="5">
        <v>0</v>
      </c>
      <c r="J614" s="6">
        <f t="shared" si="9"/>
        <v>3</v>
      </c>
      <c r="L614" s="18">
        <v>102880</v>
      </c>
      <c r="M614" s="19" t="s">
        <v>10</v>
      </c>
      <c r="N614" s="19" t="s">
        <v>11</v>
      </c>
      <c r="O614" s="19" t="s">
        <v>30</v>
      </c>
      <c r="P614" s="19" t="s">
        <v>13</v>
      </c>
      <c r="Q614" s="19" t="s">
        <v>14</v>
      </c>
      <c r="R614" s="19" t="s">
        <v>15</v>
      </c>
      <c r="S614" s="19">
        <v>320023</v>
      </c>
      <c r="T614" s="77">
        <v>11775</v>
      </c>
      <c r="U614" s="20">
        <v>308248</v>
      </c>
    </row>
    <row r="615" spans="1:21">
      <c r="A615" s="5">
        <v>176713</v>
      </c>
      <c r="B615" s="5" t="s">
        <v>16</v>
      </c>
      <c r="C615" s="5" t="s">
        <v>25</v>
      </c>
      <c r="D615" s="5" t="s">
        <v>32</v>
      </c>
      <c r="E615" s="5" t="s">
        <v>13</v>
      </c>
      <c r="F615" s="5" t="s">
        <v>14</v>
      </c>
      <c r="G615" s="5" t="s">
        <v>15</v>
      </c>
      <c r="H615" s="5">
        <v>12694</v>
      </c>
      <c r="I615" s="5">
        <v>0</v>
      </c>
      <c r="J615" s="6">
        <f t="shared" si="9"/>
        <v>12694</v>
      </c>
      <c r="L615" s="21">
        <v>24654</v>
      </c>
      <c r="M615" s="22" t="s">
        <v>10</v>
      </c>
      <c r="N615" s="22" t="s">
        <v>11</v>
      </c>
      <c r="O615" s="22" t="s">
        <v>23</v>
      </c>
      <c r="P615" s="22" t="s">
        <v>19</v>
      </c>
      <c r="Q615" s="22" t="s">
        <v>14</v>
      </c>
      <c r="R615" s="22" t="s">
        <v>24</v>
      </c>
      <c r="S615" s="22">
        <v>82447</v>
      </c>
      <c r="T615" s="78">
        <v>5248</v>
      </c>
      <c r="U615" s="23">
        <v>77199</v>
      </c>
    </row>
    <row r="616" spans="1:21">
      <c r="A616" s="5">
        <v>55269</v>
      </c>
      <c r="B616" s="5" t="s">
        <v>10</v>
      </c>
      <c r="C616" s="5" t="s">
        <v>35</v>
      </c>
      <c r="D616" s="5" t="s">
        <v>29</v>
      </c>
      <c r="E616" s="5" t="s">
        <v>19</v>
      </c>
      <c r="F616" s="5" t="s">
        <v>14</v>
      </c>
      <c r="G616" s="5" t="s">
        <v>15</v>
      </c>
      <c r="H616" s="5">
        <v>76009</v>
      </c>
      <c r="I616" s="5">
        <v>1474</v>
      </c>
      <c r="J616" s="6">
        <f t="shared" si="9"/>
        <v>74535</v>
      </c>
      <c r="L616" s="18">
        <v>194889</v>
      </c>
      <c r="M616" s="19" t="s">
        <v>16</v>
      </c>
      <c r="N616" s="19" t="s">
        <v>11</v>
      </c>
      <c r="O616" s="19" t="s">
        <v>33</v>
      </c>
      <c r="P616" s="19" t="s">
        <v>19</v>
      </c>
      <c r="Q616" s="19" t="s">
        <v>14</v>
      </c>
      <c r="R616" s="19" t="s">
        <v>15</v>
      </c>
      <c r="S616" s="19">
        <v>86314</v>
      </c>
      <c r="T616" s="77">
        <v>1998</v>
      </c>
      <c r="U616" s="20">
        <v>84316</v>
      </c>
    </row>
    <row r="617" spans="1:21">
      <c r="A617" s="5">
        <v>115766</v>
      </c>
      <c r="B617" s="5" t="s">
        <v>10</v>
      </c>
      <c r="C617" s="5" t="s">
        <v>22</v>
      </c>
      <c r="D617" s="5" t="s">
        <v>32</v>
      </c>
      <c r="E617" s="5" t="s">
        <v>13</v>
      </c>
      <c r="F617" s="5" t="s">
        <v>14</v>
      </c>
      <c r="G617" s="5" t="s">
        <v>24</v>
      </c>
      <c r="H617" s="5">
        <v>43753</v>
      </c>
      <c r="I617" s="5">
        <v>874</v>
      </c>
      <c r="J617" s="6">
        <f t="shared" si="9"/>
        <v>42879</v>
      </c>
      <c r="L617" s="21">
        <v>80861</v>
      </c>
      <c r="M617" s="22" t="s">
        <v>16</v>
      </c>
      <c r="N617" s="22" t="s">
        <v>38</v>
      </c>
      <c r="O617" s="22" t="s">
        <v>33</v>
      </c>
      <c r="P617" s="22" t="s">
        <v>19</v>
      </c>
      <c r="Q617" s="22" t="s">
        <v>14</v>
      </c>
      <c r="R617" s="22" t="s">
        <v>15</v>
      </c>
      <c r="S617" s="22">
        <v>37153</v>
      </c>
      <c r="T617" s="78">
        <v>406</v>
      </c>
      <c r="U617" s="23">
        <v>36747</v>
      </c>
    </row>
    <row r="618" spans="1:21">
      <c r="A618" s="5">
        <v>129079</v>
      </c>
      <c r="B618" s="5" t="s">
        <v>10</v>
      </c>
      <c r="C618" s="5" t="s">
        <v>22</v>
      </c>
      <c r="D618" s="5" t="s">
        <v>26</v>
      </c>
      <c r="E618" s="5" t="s">
        <v>13</v>
      </c>
      <c r="F618" s="5" t="s">
        <v>28</v>
      </c>
      <c r="G618" s="5" t="s">
        <v>24</v>
      </c>
      <c r="H618" s="5">
        <v>49545</v>
      </c>
      <c r="I618" s="5">
        <v>332</v>
      </c>
      <c r="J618" s="6">
        <f t="shared" si="9"/>
        <v>49213</v>
      </c>
      <c r="L618" s="18">
        <v>151263</v>
      </c>
      <c r="M618" s="19" t="s">
        <v>16</v>
      </c>
      <c r="N618" s="19" t="s">
        <v>22</v>
      </c>
      <c r="O618" s="19" t="s">
        <v>30</v>
      </c>
      <c r="P618" s="19" t="s">
        <v>13</v>
      </c>
      <c r="Q618" s="19" t="s">
        <v>14</v>
      </c>
      <c r="R618" s="19" t="s">
        <v>24</v>
      </c>
      <c r="S618" s="19">
        <v>39718</v>
      </c>
      <c r="T618" s="77">
        <v>3016</v>
      </c>
      <c r="U618" s="20">
        <v>36702</v>
      </c>
    </row>
    <row r="619" spans="1:21">
      <c r="A619" s="5">
        <v>35054</v>
      </c>
      <c r="B619" s="5" t="s">
        <v>10</v>
      </c>
      <c r="C619" s="5" t="s">
        <v>35</v>
      </c>
      <c r="D619" s="5" t="s">
        <v>12</v>
      </c>
      <c r="E619" s="5" t="s">
        <v>13</v>
      </c>
      <c r="F619" s="5" t="s">
        <v>14</v>
      </c>
      <c r="G619" s="5" t="s">
        <v>15</v>
      </c>
      <c r="H619" s="5">
        <v>158820</v>
      </c>
      <c r="I619" s="5">
        <v>326</v>
      </c>
      <c r="J619" s="6">
        <f t="shared" si="9"/>
        <v>158494</v>
      </c>
      <c r="L619" s="21">
        <v>27100</v>
      </c>
      <c r="M619" s="22" t="s">
        <v>16</v>
      </c>
      <c r="N619" s="22" t="s">
        <v>35</v>
      </c>
      <c r="O619" s="22" t="s">
        <v>30</v>
      </c>
      <c r="P619" s="22" t="s">
        <v>19</v>
      </c>
      <c r="Q619" s="22" t="s">
        <v>14</v>
      </c>
      <c r="R619" s="22" t="s">
        <v>24</v>
      </c>
      <c r="S619" s="22">
        <v>87809</v>
      </c>
      <c r="T619" s="78">
        <v>8172</v>
      </c>
      <c r="U619" s="23">
        <v>79637</v>
      </c>
    </row>
    <row r="620" spans="1:21">
      <c r="A620" s="5">
        <v>211834</v>
      </c>
      <c r="B620" s="5" t="s">
        <v>16</v>
      </c>
      <c r="C620" s="5" t="s">
        <v>34</v>
      </c>
      <c r="D620" s="5" t="s">
        <v>18</v>
      </c>
      <c r="E620" s="5" t="s">
        <v>13</v>
      </c>
      <c r="F620" s="5" t="s">
        <v>14</v>
      </c>
      <c r="G620" s="5" t="s">
        <v>15</v>
      </c>
      <c r="H620" s="5">
        <v>54082</v>
      </c>
      <c r="I620" s="5">
        <v>212</v>
      </c>
      <c r="J620" s="6">
        <f t="shared" si="9"/>
        <v>53870</v>
      </c>
      <c r="L620" s="18">
        <v>153875</v>
      </c>
      <c r="M620" s="19" t="s">
        <v>16</v>
      </c>
      <c r="N620" s="19" t="s">
        <v>25</v>
      </c>
      <c r="O620" s="19" t="s">
        <v>30</v>
      </c>
      <c r="P620" s="19" t="s">
        <v>13</v>
      </c>
      <c r="Q620" s="19" t="s">
        <v>14</v>
      </c>
      <c r="R620" s="19" t="s">
        <v>15</v>
      </c>
      <c r="S620" s="19">
        <v>54434</v>
      </c>
      <c r="T620" s="77">
        <v>888</v>
      </c>
      <c r="U620" s="20">
        <v>53546</v>
      </c>
    </row>
    <row r="621" spans="1:21">
      <c r="A621" s="5">
        <v>121434</v>
      </c>
      <c r="B621" s="5" t="s">
        <v>16</v>
      </c>
      <c r="C621" s="5" t="s">
        <v>22</v>
      </c>
      <c r="D621" s="5" t="s">
        <v>30</v>
      </c>
      <c r="E621" s="5" t="s">
        <v>13</v>
      </c>
      <c r="F621" s="5" t="s">
        <v>14</v>
      </c>
      <c r="G621" s="5" t="s">
        <v>24</v>
      </c>
      <c r="H621" s="5">
        <v>39567</v>
      </c>
      <c r="I621" s="5">
        <v>220</v>
      </c>
      <c r="J621" s="6">
        <f t="shared" si="9"/>
        <v>39347</v>
      </c>
      <c r="L621" s="21">
        <v>198016</v>
      </c>
      <c r="M621" s="22" t="s">
        <v>10</v>
      </c>
      <c r="N621" s="22" t="s">
        <v>38</v>
      </c>
      <c r="O621" s="22" t="s">
        <v>32</v>
      </c>
      <c r="P621" s="22" t="s">
        <v>19</v>
      </c>
      <c r="Q621" s="22" t="s">
        <v>14</v>
      </c>
      <c r="R621" s="22" t="s">
        <v>15</v>
      </c>
      <c r="S621" s="22">
        <v>52726</v>
      </c>
      <c r="T621" s="78">
        <v>8</v>
      </c>
      <c r="U621" s="23">
        <v>52718</v>
      </c>
    </row>
    <row r="622" spans="1:21">
      <c r="A622" s="5">
        <v>198184</v>
      </c>
      <c r="B622" s="5" t="s">
        <v>16</v>
      </c>
      <c r="C622" s="5" t="s">
        <v>20</v>
      </c>
      <c r="D622" s="5" t="s">
        <v>32</v>
      </c>
      <c r="E622" s="5" t="s">
        <v>19</v>
      </c>
      <c r="F622" s="5" t="s">
        <v>28</v>
      </c>
      <c r="G622" s="5" t="s">
        <v>24</v>
      </c>
      <c r="H622" s="5">
        <v>901</v>
      </c>
      <c r="I622" s="5">
        <v>0</v>
      </c>
      <c r="J622" s="6">
        <f t="shared" si="9"/>
        <v>901</v>
      </c>
      <c r="L622" s="18">
        <v>57957</v>
      </c>
      <c r="M622" s="19" t="s">
        <v>16</v>
      </c>
      <c r="N622" s="19" t="s">
        <v>20</v>
      </c>
      <c r="O622" s="19" t="s">
        <v>32</v>
      </c>
      <c r="P622" s="19" t="s">
        <v>13</v>
      </c>
      <c r="Q622" s="19" t="s">
        <v>14</v>
      </c>
      <c r="R622" s="19" t="s">
        <v>15</v>
      </c>
      <c r="S622" s="19">
        <v>19594</v>
      </c>
      <c r="T622" s="77">
        <v>54</v>
      </c>
      <c r="U622" s="20">
        <v>19540</v>
      </c>
    </row>
    <row r="623" spans="1:21">
      <c r="A623" s="5">
        <v>33356</v>
      </c>
      <c r="B623" s="5" t="s">
        <v>16</v>
      </c>
      <c r="C623" s="5" t="s">
        <v>35</v>
      </c>
      <c r="D623" s="5" t="s">
        <v>30</v>
      </c>
      <c r="E623" s="5" t="s">
        <v>13</v>
      </c>
      <c r="F623" s="5" t="s">
        <v>14</v>
      </c>
      <c r="G623" s="5" t="s">
        <v>15</v>
      </c>
      <c r="H623" s="5">
        <v>11117</v>
      </c>
      <c r="I623" s="5">
        <v>23</v>
      </c>
      <c r="J623" s="6">
        <f t="shared" si="9"/>
        <v>11094</v>
      </c>
      <c r="L623" s="21">
        <v>53102</v>
      </c>
      <c r="M623" s="22" t="s">
        <v>10</v>
      </c>
      <c r="N623" s="22" t="s">
        <v>35</v>
      </c>
      <c r="O623" s="22" t="s">
        <v>32</v>
      </c>
      <c r="P623" s="22" t="s">
        <v>13</v>
      </c>
      <c r="Q623" s="22" t="s">
        <v>14</v>
      </c>
      <c r="R623" s="22" t="s">
        <v>15</v>
      </c>
      <c r="S623" s="22">
        <v>64882</v>
      </c>
      <c r="T623" s="78">
        <v>2008</v>
      </c>
      <c r="U623" s="23">
        <v>62874</v>
      </c>
    </row>
    <row r="624" spans="1:21">
      <c r="A624" s="5">
        <v>146947</v>
      </c>
      <c r="B624" s="5" t="s">
        <v>10</v>
      </c>
      <c r="C624" s="5" t="s">
        <v>25</v>
      </c>
      <c r="D624" s="5" t="s">
        <v>23</v>
      </c>
      <c r="E624" s="5" t="s">
        <v>19</v>
      </c>
      <c r="F624" s="5" t="s">
        <v>14</v>
      </c>
      <c r="G624" s="5" t="s">
        <v>24</v>
      </c>
      <c r="H624" s="5">
        <v>92653</v>
      </c>
      <c r="I624" s="5">
        <v>11799</v>
      </c>
      <c r="J624" s="6">
        <f t="shared" si="9"/>
        <v>80854</v>
      </c>
      <c r="L624" s="18">
        <v>138401</v>
      </c>
      <c r="M624" s="19" t="s">
        <v>10</v>
      </c>
      <c r="N624" s="19" t="s">
        <v>25</v>
      </c>
      <c r="O624" s="19" t="s">
        <v>12</v>
      </c>
      <c r="P624" s="19" t="s">
        <v>19</v>
      </c>
      <c r="Q624" s="19" t="s">
        <v>14</v>
      </c>
      <c r="R624" s="19" t="s">
        <v>24</v>
      </c>
      <c r="S624" s="19">
        <v>61883</v>
      </c>
      <c r="T624" s="77">
        <v>2491</v>
      </c>
      <c r="U624" s="20">
        <v>59392</v>
      </c>
    </row>
    <row r="625" spans="1:21">
      <c r="A625" s="5">
        <v>252868</v>
      </c>
      <c r="B625" s="5" t="s">
        <v>10</v>
      </c>
      <c r="C625" s="5" t="s">
        <v>27</v>
      </c>
      <c r="D625" s="5" t="s">
        <v>30</v>
      </c>
      <c r="E625" s="5" t="s">
        <v>13</v>
      </c>
      <c r="F625" s="5" t="s">
        <v>14</v>
      </c>
      <c r="G625" s="5" t="s">
        <v>15</v>
      </c>
      <c r="H625" s="5">
        <v>127193</v>
      </c>
      <c r="I625" s="5">
        <v>999</v>
      </c>
      <c r="J625" s="6">
        <f t="shared" si="9"/>
        <v>126194</v>
      </c>
      <c r="L625" s="21">
        <v>50588</v>
      </c>
      <c r="M625" s="22" t="s">
        <v>16</v>
      </c>
      <c r="N625" s="22" t="s">
        <v>35</v>
      </c>
      <c r="O625" s="22" t="s">
        <v>12</v>
      </c>
      <c r="P625" s="22" t="s">
        <v>13</v>
      </c>
      <c r="Q625" s="22" t="s">
        <v>14</v>
      </c>
      <c r="R625" s="22" t="s">
        <v>15</v>
      </c>
      <c r="S625" s="22">
        <v>-80309</v>
      </c>
      <c r="T625" s="78">
        <v>6086</v>
      </c>
      <c r="U625" s="23">
        <v>-86395</v>
      </c>
    </row>
    <row r="626" spans="1:21">
      <c r="A626" s="5">
        <v>64907</v>
      </c>
      <c r="B626" s="5" t="s">
        <v>16</v>
      </c>
      <c r="C626" s="5" t="s">
        <v>35</v>
      </c>
      <c r="D626" s="5" t="s">
        <v>32</v>
      </c>
      <c r="E626" s="5" t="s">
        <v>13</v>
      </c>
      <c r="F626" s="5" t="s">
        <v>14</v>
      </c>
      <c r="G626" s="5" t="s">
        <v>24</v>
      </c>
      <c r="H626" s="5">
        <v>11963</v>
      </c>
      <c r="I626" s="5">
        <v>0</v>
      </c>
      <c r="J626" s="6">
        <f t="shared" si="9"/>
        <v>11963</v>
      </c>
      <c r="L626" s="18">
        <v>257304</v>
      </c>
      <c r="M626" s="19" t="s">
        <v>10</v>
      </c>
      <c r="N626" s="19" t="s">
        <v>17</v>
      </c>
      <c r="O626" s="19" t="s">
        <v>23</v>
      </c>
      <c r="P626" s="19" t="s">
        <v>19</v>
      </c>
      <c r="Q626" s="19" t="s">
        <v>14</v>
      </c>
      <c r="R626" s="19" t="s">
        <v>24</v>
      </c>
      <c r="S626" s="19">
        <v>108991</v>
      </c>
      <c r="T626" s="77">
        <v>16430</v>
      </c>
      <c r="U626" s="20">
        <v>92561</v>
      </c>
    </row>
    <row r="627" spans="1:21">
      <c r="A627" s="5">
        <v>122922</v>
      </c>
      <c r="B627" s="5" t="s">
        <v>10</v>
      </c>
      <c r="C627" s="5" t="s">
        <v>22</v>
      </c>
      <c r="D627" s="5" t="s">
        <v>12</v>
      </c>
      <c r="E627" s="5" t="s">
        <v>19</v>
      </c>
      <c r="F627" s="5" t="s">
        <v>14</v>
      </c>
      <c r="G627" s="5" t="s">
        <v>15</v>
      </c>
      <c r="H627" s="5">
        <v>129812</v>
      </c>
      <c r="I627" s="5">
        <v>920</v>
      </c>
      <c r="J627" s="6">
        <f t="shared" si="9"/>
        <v>128892</v>
      </c>
      <c r="L627" s="21">
        <v>20559</v>
      </c>
      <c r="M627" s="22" t="s">
        <v>16</v>
      </c>
      <c r="N627" s="22" t="s">
        <v>11</v>
      </c>
      <c r="O627" s="22" t="s">
        <v>33</v>
      </c>
      <c r="P627" s="22" t="s">
        <v>13</v>
      </c>
      <c r="Q627" s="22" t="s">
        <v>14</v>
      </c>
      <c r="R627" s="22" t="s">
        <v>24</v>
      </c>
      <c r="S627" s="22">
        <v>38472</v>
      </c>
      <c r="T627" s="78">
        <v>1453</v>
      </c>
      <c r="U627" s="23">
        <v>37019</v>
      </c>
    </row>
    <row r="628" spans="1:21">
      <c r="A628" s="5">
        <v>253796</v>
      </c>
      <c r="B628" s="5" t="s">
        <v>10</v>
      </c>
      <c r="C628" s="5" t="s">
        <v>31</v>
      </c>
      <c r="D628" s="5" t="s">
        <v>30</v>
      </c>
      <c r="E628" s="5" t="s">
        <v>19</v>
      </c>
      <c r="F628" s="5" t="s">
        <v>14</v>
      </c>
      <c r="G628" s="5" t="s">
        <v>15</v>
      </c>
      <c r="H628" s="5">
        <v>6611</v>
      </c>
      <c r="I628" s="5">
        <v>0</v>
      </c>
      <c r="J628" s="6">
        <f t="shared" si="9"/>
        <v>6611</v>
      </c>
      <c r="L628" s="18">
        <v>113044</v>
      </c>
      <c r="M628" s="19" t="s">
        <v>16</v>
      </c>
      <c r="N628" s="19" t="s">
        <v>22</v>
      </c>
      <c r="O628" s="19" t="s">
        <v>21</v>
      </c>
      <c r="P628" s="19" t="s">
        <v>19</v>
      </c>
      <c r="Q628" s="19" t="s">
        <v>14</v>
      </c>
      <c r="R628" s="19" t="s">
        <v>15</v>
      </c>
      <c r="S628" s="19">
        <v>24630</v>
      </c>
      <c r="T628" s="77">
        <v>59</v>
      </c>
      <c r="U628" s="20">
        <v>24571</v>
      </c>
    </row>
    <row r="629" spans="1:21">
      <c r="A629" s="5">
        <v>75102</v>
      </c>
      <c r="B629" s="5" t="s">
        <v>16</v>
      </c>
      <c r="C629" s="5" t="s">
        <v>27</v>
      </c>
      <c r="D629" s="5" t="s">
        <v>33</v>
      </c>
      <c r="E629" s="5" t="s">
        <v>13</v>
      </c>
      <c r="F629" s="5" t="s">
        <v>14</v>
      </c>
      <c r="G629" s="5" t="s">
        <v>15</v>
      </c>
      <c r="H629" s="5">
        <v>36406</v>
      </c>
      <c r="I629" s="5">
        <v>251</v>
      </c>
      <c r="J629" s="6">
        <f t="shared" si="9"/>
        <v>36155</v>
      </c>
      <c r="L629" s="21">
        <v>211924</v>
      </c>
      <c r="M629" s="22" t="s">
        <v>16</v>
      </c>
      <c r="N629" s="22" t="s">
        <v>37</v>
      </c>
      <c r="O629" s="22" t="s">
        <v>36</v>
      </c>
      <c r="P629" s="22" t="s">
        <v>13</v>
      </c>
      <c r="Q629" s="22" t="s">
        <v>14</v>
      </c>
      <c r="R629" s="22" t="s">
        <v>15</v>
      </c>
      <c r="S629" s="22">
        <v>71227</v>
      </c>
      <c r="T629" s="78">
        <v>896</v>
      </c>
      <c r="U629" s="23">
        <v>70331</v>
      </c>
    </row>
    <row r="630" spans="1:21">
      <c r="A630" s="5">
        <v>36699</v>
      </c>
      <c r="B630" s="5" t="s">
        <v>10</v>
      </c>
      <c r="C630" s="5" t="s">
        <v>11</v>
      </c>
      <c r="D630" s="5" t="s">
        <v>36</v>
      </c>
      <c r="E630" s="5" t="s">
        <v>13</v>
      </c>
      <c r="F630" s="5" t="s">
        <v>14</v>
      </c>
      <c r="G630" s="5" t="s">
        <v>15</v>
      </c>
      <c r="H630" s="5">
        <v>83674</v>
      </c>
      <c r="I630" s="5">
        <v>2605</v>
      </c>
      <c r="J630" s="6">
        <f t="shared" si="9"/>
        <v>81069</v>
      </c>
      <c r="L630" s="18">
        <v>77093</v>
      </c>
      <c r="M630" s="19" t="s">
        <v>16</v>
      </c>
      <c r="N630" s="19" t="s">
        <v>35</v>
      </c>
      <c r="O630" s="19" t="s">
        <v>30</v>
      </c>
      <c r="P630" s="19" t="s">
        <v>19</v>
      </c>
      <c r="Q630" s="19" t="s">
        <v>14</v>
      </c>
      <c r="R630" s="19" t="s">
        <v>15</v>
      </c>
      <c r="S630" s="19">
        <v>137272</v>
      </c>
      <c r="T630" s="77">
        <v>2971</v>
      </c>
      <c r="U630" s="20">
        <v>134301</v>
      </c>
    </row>
    <row r="631" spans="1:21">
      <c r="A631" s="5">
        <v>52470</v>
      </c>
      <c r="B631" s="5" t="s">
        <v>16</v>
      </c>
      <c r="C631" s="5" t="s">
        <v>35</v>
      </c>
      <c r="D631" s="5" t="s">
        <v>33</v>
      </c>
      <c r="E631" s="5" t="s">
        <v>13</v>
      </c>
      <c r="F631" s="5" t="s">
        <v>14</v>
      </c>
      <c r="G631" s="5" t="s">
        <v>15</v>
      </c>
      <c r="H631" s="5">
        <v>37169</v>
      </c>
      <c r="I631" s="5">
        <v>2445</v>
      </c>
      <c r="J631" s="6">
        <f t="shared" si="9"/>
        <v>34724</v>
      </c>
      <c r="L631" s="21">
        <v>7788</v>
      </c>
      <c r="M631" s="22" t="s">
        <v>10</v>
      </c>
      <c r="N631" s="22" t="s">
        <v>39</v>
      </c>
      <c r="O631" s="22" t="s">
        <v>30</v>
      </c>
      <c r="P631" s="22" t="s">
        <v>19</v>
      </c>
      <c r="Q631" s="22" t="s">
        <v>14</v>
      </c>
      <c r="R631" s="22" t="s">
        <v>15</v>
      </c>
      <c r="S631" s="22">
        <v>116772</v>
      </c>
      <c r="T631" s="78">
        <v>3507</v>
      </c>
      <c r="U631" s="23">
        <v>113265</v>
      </c>
    </row>
    <row r="632" spans="1:21">
      <c r="A632" s="5">
        <v>232596</v>
      </c>
      <c r="B632" s="5" t="s">
        <v>16</v>
      </c>
      <c r="C632" s="5" t="s">
        <v>35</v>
      </c>
      <c r="D632" s="5" t="s">
        <v>33</v>
      </c>
      <c r="E632" s="5" t="s">
        <v>13</v>
      </c>
      <c r="F632" s="5" t="s">
        <v>14</v>
      </c>
      <c r="G632" s="5" t="s">
        <v>15</v>
      </c>
      <c r="H632" s="5">
        <v>99167</v>
      </c>
      <c r="I632" s="5">
        <v>274</v>
      </c>
      <c r="J632" s="6">
        <f t="shared" si="9"/>
        <v>98893</v>
      </c>
      <c r="L632" s="18">
        <v>193704</v>
      </c>
      <c r="M632" s="19" t="s">
        <v>10</v>
      </c>
      <c r="N632" s="19" t="s">
        <v>38</v>
      </c>
      <c r="O632" s="19" t="s">
        <v>26</v>
      </c>
      <c r="P632" s="19" t="s">
        <v>19</v>
      </c>
      <c r="Q632" s="19" t="s">
        <v>14</v>
      </c>
      <c r="R632" s="19" t="s">
        <v>24</v>
      </c>
      <c r="S632" s="19">
        <v>35497</v>
      </c>
      <c r="T632" s="77">
        <v>3720</v>
      </c>
      <c r="U632" s="20">
        <v>31777</v>
      </c>
    </row>
    <row r="633" spans="1:21">
      <c r="A633" s="5">
        <v>41510</v>
      </c>
      <c r="B633" s="5" t="s">
        <v>16</v>
      </c>
      <c r="C633" s="5" t="s">
        <v>37</v>
      </c>
      <c r="D633" s="5" t="s">
        <v>30</v>
      </c>
      <c r="E633" s="5" t="s">
        <v>19</v>
      </c>
      <c r="F633" s="5" t="s">
        <v>14</v>
      </c>
      <c r="G633" s="5" t="s">
        <v>24</v>
      </c>
      <c r="H633" s="5">
        <v>49651</v>
      </c>
      <c r="I633" s="5">
        <v>1663</v>
      </c>
      <c r="J633" s="6">
        <f t="shared" si="9"/>
        <v>47988</v>
      </c>
      <c r="L633" s="21">
        <v>79817</v>
      </c>
      <c r="M633" s="22" t="s">
        <v>10</v>
      </c>
      <c r="N633" s="22" t="s">
        <v>38</v>
      </c>
      <c r="O633" s="22" t="s">
        <v>30</v>
      </c>
      <c r="P633" s="22" t="s">
        <v>13</v>
      </c>
      <c r="Q633" s="22" t="s">
        <v>14</v>
      </c>
      <c r="R633" s="22" t="s">
        <v>24</v>
      </c>
      <c r="S633" s="22">
        <v>34728</v>
      </c>
      <c r="T633" s="78">
        <v>160</v>
      </c>
      <c r="U633" s="23">
        <v>34568</v>
      </c>
    </row>
    <row r="634" spans="1:21">
      <c r="A634" s="5">
        <v>191551</v>
      </c>
      <c r="B634" s="5" t="s">
        <v>16</v>
      </c>
      <c r="C634" s="5" t="s">
        <v>38</v>
      </c>
      <c r="D634" s="5" t="s">
        <v>32</v>
      </c>
      <c r="E634" s="5" t="s">
        <v>13</v>
      </c>
      <c r="F634" s="5" t="s">
        <v>14</v>
      </c>
      <c r="G634" s="5" t="s">
        <v>15</v>
      </c>
      <c r="H634" s="5">
        <v>48603</v>
      </c>
      <c r="I634" s="5">
        <v>29728</v>
      </c>
      <c r="J634" s="6">
        <f t="shared" si="9"/>
        <v>18875</v>
      </c>
      <c r="L634" s="18">
        <v>178022</v>
      </c>
      <c r="M634" s="19" t="s">
        <v>16</v>
      </c>
      <c r="N634" s="19" t="s">
        <v>25</v>
      </c>
      <c r="O634" s="19" t="s">
        <v>33</v>
      </c>
      <c r="P634" s="19" t="s">
        <v>19</v>
      </c>
      <c r="Q634" s="19" t="s">
        <v>14</v>
      </c>
      <c r="R634" s="19" t="s">
        <v>15</v>
      </c>
      <c r="S634" s="19">
        <v>69939</v>
      </c>
      <c r="T634" s="77">
        <v>1470</v>
      </c>
      <c r="U634" s="20">
        <v>68469</v>
      </c>
    </row>
    <row r="635" spans="1:21">
      <c r="A635" s="5">
        <v>186536</v>
      </c>
      <c r="B635" s="5" t="s">
        <v>10</v>
      </c>
      <c r="C635" s="5" t="s">
        <v>37</v>
      </c>
      <c r="D635" s="5" t="s">
        <v>32</v>
      </c>
      <c r="E635" s="5" t="s">
        <v>13</v>
      </c>
      <c r="F635" s="5" t="s">
        <v>14</v>
      </c>
      <c r="G635" s="5" t="s">
        <v>15</v>
      </c>
      <c r="H635" s="5">
        <v>1187</v>
      </c>
      <c r="I635" s="5">
        <v>1035</v>
      </c>
      <c r="J635" s="6">
        <f t="shared" si="9"/>
        <v>152</v>
      </c>
      <c r="L635" s="21">
        <v>33275</v>
      </c>
      <c r="M635" s="22" t="s">
        <v>16</v>
      </c>
      <c r="N635" s="22" t="s">
        <v>27</v>
      </c>
      <c r="O635" s="22" t="s">
        <v>26</v>
      </c>
      <c r="P635" s="22" t="s">
        <v>13</v>
      </c>
      <c r="Q635" s="22" t="s">
        <v>14</v>
      </c>
      <c r="R635" s="22" t="s">
        <v>15</v>
      </c>
      <c r="S635" s="22">
        <v>26041</v>
      </c>
      <c r="T635" s="78">
        <v>5824</v>
      </c>
      <c r="U635" s="23">
        <v>20217</v>
      </c>
    </row>
    <row r="636" spans="1:21">
      <c r="A636" s="5">
        <v>111889</v>
      </c>
      <c r="B636" s="5" t="s">
        <v>16</v>
      </c>
      <c r="C636" s="5" t="s">
        <v>22</v>
      </c>
      <c r="D636" s="5" t="s">
        <v>18</v>
      </c>
      <c r="E636" s="5" t="s">
        <v>13</v>
      </c>
      <c r="F636" s="5" t="s">
        <v>14</v>
      </c>
      <c r="G636" s="5" t="s">
        <v>24</v>
      </c>
      <c r="H636" s="5">
        <v>26551</v>
      </c>
      <c r="I636" s="5">
        <v>1252</v>
      </c>
      <c r="J636" s="6">
        <f t="shared" si="9"/>
        <v>25299</v>
      </c>
      <c r="L636" s="18">
        <v>249669</v>
      </c>
      <c r="M636" s="19" t="s">
        <v>16</v>
      </c>
      <c r="N636" s="19" t="s">
        <v>34</v>
      </c>
      <c r="O636" s="19" t="s">
        <v>30</v>
      </c>
      <c r="P636" s="19" t="s">
        <v>19</v>
      </c>
      <c r="Q636" s="19" t="s">
        <v>14</v>
      </c>
      <c r="R636" s="19" t="s">
        <v>24</v>
      </c>
      <c r="S636" s="19">
        <v>77359</v>
      </c>
      <c r="T636" s="77">
        <v>2313</v>
      </c>
      <c r="U636" s="20">
        <v>75046</v>
      </c>
    </row>
    <row r="637" spans="1:21">
      <c r="A637" s="5">
        <v>32273</v>
      </c>
      <c r="B637" s="5" t="s">
        <v>16</v>
      </c>
      <c r="C637" s="5" t="s">
        <v>35</v>
      </c>
      <c r="D637" s="5" t="s">
        <v>12</v>
      </c>
      <c r="E637" s="5" t="s">
        <v>19</v>
      </c>
      <c r="F637" s="5" t="s">
        <v>14</v>
      </c>
      <c r="G637" s="5" t="s">
        <v>24</v>
      </c>
      <c r="H637" s="5">
        <v>49649</v>
      </c>
      <c r="I637" s="5">
        <v>5532</v>
      </c>
      <c r="J637" s="6">
        <f t="shared" si="9"/>
        <v>44117</v>
      </c>
      <c r="L637" s="21">
        <v>220425</v>
      </c>
      <c r="M637" s="22" t="s">
        <v>10</v>
      </c>
      <c r="N637" s="22" t="s">
        <v>25</v>
      </c>
      <c r="O637" s="22" t="s">
        <v>29</v>
      </c>
      <c r="P637" s="22" t="s">
        <v>19</v>
      </c>
      <c r="Q637" s="22" t="s">
        <v>14</v>
      </c>
      <c r="R637" s="22" t="s">
        <v>15</v>
      </c>
      <c r="S637" s="22">
        <v>106253</v>
      </c>
      <c r="T637" s="78">
        <v>17088</v>
      </c>
      <c r="U637" s="23">
        <v>89165</v>
      </c>
    </row>
    <row r="638" spans="1:21">
      <c r="A638" s="5">
        <v>37949</v>
      </c>
      <c r="B638" s="5" t="s">
        <v>16</v>
      </c>
      <c r="C638" s="5" t="s">
        <v>35</v>
      </c>
      <c r="D638" s="5" t="s">
        <v>30</v>
      </c>
      <c r="E638" s="5" t="s">
        <v>13</v>
      </c>
      <c r="F638" s="5" t="s">
        <v>14</v>
      </c>
      <c r="G638" s="5" t="s">
        <v>15</v>
      </c>
      <c r="H638" s="5">
        <v>20337</v>
      </c>
      <c r="I638" s="5">
        <v>1623</v>
      </c>
      <c r="J638" s="6">
        <f t="shared" si="9"/>
        <v>18714</v>
      </c>
      <c r="L638" s="18">
        <v>96183</v>
      </c>
      <c r="M638" s="19" t="s">
        <v>10</v>
      </c>
      <c r="N638" s="19" t="s">
        <v>37</v>
      </c>
      <c r="O638" s="19" t="s">
        <v>32</v>
      </c>
      <c r="P638" s="19" t="s">
        <v>13</v>
      </c>
      <c r="Q638" s="19" t="s">
        <v>14</v>
      </c>
      <c r="R638" s="19" t="s">
        <v>15</v>
      </c>
      <c r="S638" s="19">
        <v>9505</v>
      </c>
      <c r="T638" s="77">
        <v>0</v>
      </c>
      <c r="U638" s="20">
        <v>9505</v>
      </c>
    </row>
    <row r="639" spans="1:21">
      <c r="A639" s="5">
        <v>197972</v>
      </c>
      <c r="B639" s="5" t="s">
        <v>16</v>
      </c>
      <c r="C639" s="5" t="s">
        <v>38</v>
      </c>
      <c r="D639" s="5" t="s">
        <v>30</v>
      </c>
      <c r="E639" s="5" t="s">
        <v>13</v>
      </c>
      <c r="F639" s="5" t="s">
        <v>14</v>
      </c>
      <c r="G639" s="5" t="s">
        <v>15</v>
      </c>
      <c r="H639" s="5">
        <v>40411</v>
      </c>
      <c r="I639" s="5">
        <v>1526</v>
      </c>
      <c r="J639" s="6">
        <f t="shared" si="9"/>
        <v>38885</v>
      </c>
      <c r="L639" s="21">
        <v>142035</v>
      </c>
      <c r="M639" s="22" t="s">
        <v>16</v>
      </c>
      <c r="N639" s="22" t="s">
        <v>17</v>
      </c>
      <c r="O639" s="22" t="s">
        <v>26</v>
      </c>
      <c r="P639" s="22" t="s">
        <v>19</v>
      </c>
      <c r="Q639" s="22" t="s">
        <v>14</v>
      </c>
      <c r="R639" s="22" t="s">
        <v>24</v>
      </c>
      <c r="S639" s="22">
        <v>36431</v>
      </c>
      <c r="T639" s="78">
        <v>324</v>
      </c>
      <c r="U639" s="23">
        <v>36107</v>
      </c>
    </row>
    <row r="640" spans="1:21">
      <c r="A640" s="5">
        <v>90415</v>
      </c>
      <c r="B640" s="5" t="s">
        <v>10</v>
      </c>
      <c r="C640" s="5" t="s">
        <v>20</v>
      </c>
      <c r="D640" s="5" t="s">
        <v>32</v>
      </c>
      <c r="E640" s="5" t="s">
        <v>19</v>
      </c>
      <c r="F640" s="5" t="s">
        <v>28</v>
      </c>
      <c r="G640" s="5" t="s">
        <v>24</v>
      </c>
      <c r="H640" s="5">
        <v>736</v>
      </c>
      <c r="I640" s="5">
        <v>0</v>
      </c>
      <c r="J640" s="6">
        <f t="shared" si="9"/>
        <v>736</v>
      </c>
      <c r="L640" s="18">
        <v>218513</v>
      </c>
      <c r="M640" s="19" t="s">
        <v>16</v>
      </c>
      <c r="N640" s="19" t="s">
        <v>37</v>
      </c>
      <c r="O640" s="19" t="s">
        <v>33</v>
      </c>
      <c r="P640" s="19" t="s">
        <v>13</v>
      </c>
      <c r="Q640" s="19" t="s">
        <v>14</v>
      </c>
      <c r="R640" s="19" t="s">
        <v>15</v>
      </c>
      <c r="S640" s="19">
        <v>17364</v>
      </c>
      <c r="T640" s="77">
        <v>2112</v>
      </c>
      <c r="U640" s="20">
        <v>15252</v>
      </c>
    </row>
    <row r="641" spans="1:21">
      <c r="A641" s="5">
        <v>189845</v>
      </c>
      <c r="B641" s="5" t="s">
        <v>10</v>
      </c>
      <c r="C641" s="5" t="s">
        <v>37</v>
      </c>
      <c r="D641" s="5" t="s">
        <v>32</v>
      </c>
      <c r="E641" s="5" t="s">
        <v>13</v>
      </c>
      <c r="F641" s="5" t="s">
        <v>14</v>
      </c>
      <c r="G641" s="5" t="s">
        <v>15</v>
      </c>
      <c r="H641" s="5">
        <v>253296</v>
      </c>
      <c r="I641" s="5">
        <v>23237</v>
      </c>
      <c r="J641" s="6">
        <f t="shared" si="9"/>
        <v>230059</v>
      </c>
      <c r="L641" s="21">
        <v>105290</v>
      </c>
      <c r="M641" s="22" t="s">
        <v>16</v>
      </c>
      <c r="N641" s="22" t="s">
        <v>22</v>
      </c>
      <c r="O641" s="22" t="s">
        <v>36</v>
      </c>
      <c r="P641" s="22" t="s">
        <v>13</v>
      </c>
      <c r="Q641" s="22" t="s">
        <v>14</v>
      </c>
      <c r="R641" s="22" t="s">
        <v>15</v>
      </c>
      <c r="S641" s="22">
        <v>34967</v>
      </c>
      <c r="T641" s="78">
        <v>495</v>
      </c>
      <c r="U641" s="23">
        <v>34472</v>
      </c>
    </row>
    <row r="642" spans="1:21">
      <c r="A642" s="5">
        <v>173099</v>
      </c>
      <c r="B642" s="5" t="s">
        <v>16</v>
      </c>
      <c r="C642" s="5" t="s">
        <v>27</v>
      </c>
      <c r="D642" s="5" t="s">
        <v>30</v>
      </c>
      <c r="E642" s="5" t="s">
        <v>19</v>
      </c>
      <c r="F642" s="5" t="s">
        <v>14</v>
      </c>
      <c r="G642" s="5" t="s">
        <v>24</v>
      </c>
      <c r="H642" s="5">
        <v>39295</v>
      </c>
      <c r="I642" s="5">
        <v>6133</v>
      </c>
      <c r="J642" s="6">
        <f t="shared" ref="J642:J705" si="10">H642-I642</f>
        <v>33162</v>
      </c>
      <c r="L642" s="18">
        <v>87257</v>
      </c>
      <c r="M642" s="19" t="s">
        <v>10</v>
      </c>
      <c r="N642" s="19" t="s">
        <v>20</v>
      </c>
      <c r="O642" s="19" t="s">
        <v>32</v>
      </c>
      <c r="P642" s="19" t="s">
        <v>13</v>
      </c>
      <c r="Q642" s="19" t="s">
        <v>14</v>
      </c>
      <c r="R642" s="19" t="s">
        <v>15</v>
      </c>
      <c r="S642" s="19">
        <v>11072</v>
      </c>
      <c r="T642" s="77">
        <v>2392</v>
      </c>
      <c r="U642" s="20">
        <v>8680</v>
      </c>
    </row>
    <row r="643" spans="1:21">
      <c r="A643" s="5">
        <v>246530</v>
      </c>
      <c r="B643" s="5" t="s">
        <v>10</v>
      </c>
      <c r="C643" s="5" t="s">
        <v>25</v>
      </c>
      <c r="D643" s="5" t="s">
        <v>12</v>
      </c>
      <c r="E643" s="5" t="s">
        <v>19</v>
      </c>
      <c r="F643" s="5" t="s">
        <v>28</v>
      </c>
      <c r="G643" s="5" t="s">
        <v>24</v>
      </c>
      <c r="H643" s="5">
        <v>33824</v>
      </c>
      <c r="I643" s="5">
        <v>281</v>
      </c>
      <c r="J643" s="6">
        <f t="shared" si="10"/>
        <v>33543</v>
      </c>
      <c r="L643" s="21">
        <v>17403</v>
      </c>
      <c r="M643" s="22" t="s">
        <v>10</v>
      </c>
      <c r="N643" s="22" t="s">
        <v>34</v>
      </c>
      <c r="O643" s="22" t="s">
        <v>23</v>
      </c>
      <c r="P643" s="22" t="s">
        <v>13</v>
      </c>
      <c r="Q643" s="22" t="s">
        <v>14</v>
      </c>
      <c r="R643" s="22" t="s">
        <v>15</v>
      </c>
      <c r="S643" s="22">
        <v>75600</v>
      </c>
      <c r="T643" s="78">
        <v>4665</v>
      </c>
      <c r="U643" s="23">
        <v>70935</v>
      </c>
    </row>
    <row r="644" spans="1:21">
      <c r="A644" s="5">
        <v>95275</v>
      </c>
      <c r="B644" s="5" t="s">
        <v>16</v>
      </c>
      <c r="C644" s="5" t="s">
        <v>20</v>
      </c>
      <c r="D644" s="5" t="s">
        <v>21</v>
      </c>
      <c r="E644" s="5" t="s">
        <v>13</v>
      </c>
      <c r="F644" s="5" t="s">
        <v>14</v>
      </c>
      <c r="G644" s="5" t="s">
        <v>24</v>
      </c>
      <c r="H644" s="5">
        <v>5175</v>
      </c>
      <c r="I644" s="5">
        <v>369</v>
      </c>
      <c r="J644" s="6">
        <f t="shared" si="10"/>
        <v>4806</v>
      </c>
      <c r="L644" s="18">
        <v>69177</v>
      </c>
      <c r="M644" s="19" t="s">
        <v>16</v>
      </c>
      <c r="N644" s="19" t="s">
        <v>27</v>
      </c>
      <c r="O644" s="19" t="s">
        <v>30</v>
      </c>
      <c r="P644" s="19" t="s">
        <v>13</v>
      </c>
      <c r="Q644" s="19" t="s">
        <v>14</v>
      </c>
      <c r="R644" s="19" t="s">
        <v>15</v>
      </c>
      <c r="S644" s="19">
        <v>36178</v>
      </c>
      <c r="T644" s="77">
        <v>484</v>
      </c>
      <c r="U644" s="20">
        <v>35694</v>
      </c>
    </row>
    <row r="645" spans="1:21">
      <c r="A645" s="5">
        <v>235464</v>
      </c>
      <c r="B645" s="5" t="s">
        <v>16</v>
      </c>
      <c r="C645" s="5" t="s">
        <v>17</v>
      </c>
      <c r="D645" s="5" t="s">
        <v>21</v>
      </c>
      <c r="E645" s="5" t="s">
        <v>19</v>
      </c>
      <c r="F645" s="5" t="s">
        <v>14</v>
      </c>
      <c r="G645" s="5" t="s">
        <v>24</v>
      </c>
      <c r="H645" s="5">
        <v>17679</v>
      </c>
      <c r="I645" s="5">
        <v>189</v>
      </c>
      <c r="J645" s="6">
        <f t="shared" si="10"/>
        <v>17490</v>
      </c>
      <c r="L645" s="21">
        <v>7174</v>
      </c>
      <c r="M645" s="22" t="s">
        <v>10</v>
      </c>
      <c r="N645" s="22" t="s">
        <v>39</v>
      </c>
      <c r="O645" s="22" t="s">
        <v>32</v>
      </c>
      <c r="P645" s="22" t="s">
        <v>13</v>
      </c>
      <c r="Q645" s="22" t="s">
        <v>14</v>
      </c>
      <c r="R645" s="22" t="s">
        <v>15</v>
      </c>
      <c r="S645" s="22">
        <v>377234</v>
      </c>
      <c r="T645" s="78">
        <v>28082</v>
      </c>
      <c r="U645" s="23">
        <v>349152</v>
      </c>
    </row>
    <row r="646" spans="1:21">
      <c r="A646" s="5">
        <v>172726</v>
      </c>
      <c r="B646" s="5" t="s">
        <v>10</v>
      </c>
      <c r="C646" s="5" t="s">
        <v>17</v>
      </c>
      <c r="D646" s="5" t="s">
        <v>36</v>
      </c>
      <c r="E646" s="5" t="s">
        <v>19</v>
      </c>
      <c r="F646" s="5" t="s">
        <v>14</v>
      </c>
      <c r="G646" s="5" t="s">
        <v>24</v>
      </c>
      <c r="H646" s="5">
        <v>10504</v>
      </c>
      <c r="I646" s="5">
        <v>0</v>
      </c>
      <c r="J646" s="6">
        <f t="shared" si="10"/>
        <v>10504</v>
      </c>
      <c r="L646" s="18">
        <v>247546</v>
      </c>
      <c r="M646" s="19" t="s">
        <v>10</v>
      </c>
      <c r="N646" s="19" t="s">
        <v>25</v>
      </c>
      <c r="O646" s="19" t="s">
        <v>33</v>
      </c>
      <c r="P646" s="19" t="s">
        <v>19</v>
      </c>
      <c r="Q646" s="19" t="s">
        <v>14</v>
      </c>
      <c r="R646" s="19" t="s">
        <v>24</v>
      </c>
      <c r="S646" s="19">
        <v>54022</v>
      </c>
      <c r="T646" s="77">
        <v>759</v>
      </c>
      <c r="U646" s="20">
        <v>53263</v>
      </c>
    </row>
    <row r="647" spans="1:21">
      <c r="A647" s="5">
        <v>107317</v>
      </c>
      <c r="B647" s="5" t="s">
        <v>16</v>
      </c>
      <c r="C647" s="5" t="s">
        <v>22</v>
      </c>
      <c r="D647" s="5" t="s">
        <v>33</v>
      </c>
      <c r="E647" s="5" t="s">
        <v>13</v>
      </c>
      <c r="F647" s="5" t="s">
        <v>14</v>
      </c>
      <c r="G647" s="5" t="s">
        <v>15</v>
      </c>
      <c r="H647" s="5">
        <v>45279</v>
      </c>
      <c r="I647" s="5">
        <v>494</v>
      </c>
      <c r="J647" s="6">
        <f t="shared" si="10"/>
        <v>44785</v>
      </c>
      <c r="L647" s="21">
        <v>147916</v>
      </c>
      <c r="M647" s="22" t="s">
        <v>16</v>
      </c>
      <c r="N647" s="22" t="s">
        <v>17</v>
      </c>
      <c r="O647" s="22" t="s">
        <v>18</v>
      </c>
      <c r="P647" s="22" t="s">
        <v>13</v>
      </c>
      <c r="Q647" s="22" t="s">
        <v>14</v>
      </c>
      <c r="R647" s="22" t="s">
        <v>24</v>
      </c>
      <c r="S647" s="22">
        <v>11801</v>
      </c>
      <c r="T647" s="78">
        <v>189</v>
      </c>
      <c r="U647" s="23">
        <v>11612</v>
      </c>
    </row>
    <row r="648" spans="1:21">
      <c r="A648" s="5">
        <v>209852</v>
      </c>
      <c r="B648" s="5" t="s">
        <v>16</v>
      </c>
      <c r="C648" s="5" t="s">
        <v>37</v>
      </c>
      <c r="D648" s="5" t="s">
        <v>30</v>
      </c>
      <c r="E648" s="5" t="s">
        <v>19</v>
      </c>
      <c r="F648" s="5" t="s">
        <v>14</v>
      </c>
      <c r="G648" s="5" t="s">
        <v>15</v>
      </c>
      <c r="H648" s="5">
        <v>175816</v>
      </c>
      <c r="I648" s="5">
        <v>3756</v>
      </c>
      <c r="J648" s="6">
        <f t="shared" si="10"/>
        <v>172060</v>
      </c>
      <c r="L648" s="18">
        <v>220521</v>
      </c>
      <c r="M648" s="19" t="s">
        <v>10</v>
      </c>
      <c r="N648" s="19" t="s">
        <v>25</v>
      </c>
      <c r="O648" s="19" t="s">
        <v>23</v>
      </c>
      <c r="P648" s="19" t="s">
        <v>19</v>
      </c>
      <c r="Q648" s="19" t="s">
        <v>14</v>
      </c>
      <c r="R648" s="19" t="s">
        <v>24</v>
      </c>
      <c r="S648" s="19">
        <v>50305</v>
      </c>
      <c r="T648" s="77">
        <v>324</v>
      </c>
      <c r="U648" s="20">
        <v>49981</v>
      </c>
    </row>
    <row r="649" spans="1:21">
      <c r="A649" s="5">
        <v>250962</v>
      </c>
      <c r="B649" s="5" t="s">
        <v>10</v>
      </c>
      <c r="C649" s="5" t="s">
        <v>27</v>
      </c>
      <c r="D649" s="5" t="s">
        <v>32</v>
      </c>
      <c r="E649" s="5" t="s">
        <v>13</v>
      </c>
      <c r="F649" s="5" t="s">
        <v>14</v>
      </c>
      <c r="G649" s="5" t="s">
        <v>15</v>
      </c>
      <c r="H649" s="5">
        <v>54064</v>
      </c>
      <c r="I649" s="5">
        <v>0</v>
      </c>
      <c r="J649" s="6">
        <f t="shared" si="10"/>
        <v>54064</v>
      </c>
      <c r="L649" s="21">
        <v>253861</v>
      </c>
      <c r="M649" s="22" t="s">
        <v>10</v>
      </c>
      <c r="N649" s="22" t="s">
        <v>17</v>
      </c>
      <c r="O649" s="22" t="s">
        <v>32</v>
      </c>
      <c r="P649" s="22" t="s">
        <v>19</v>
      </c>
      <c r="Q649" s="22" t="s">
        <v>14</v>
      </c>
      <c r="R649" s="22" t="s">
        <v>24</v>
      </c>
      <c r="S649" s="22">
        <v>88866</v>
      </c>
      <c r="T649" s="78">
        <v>0</v>
      </c>
      <c r="U649" s="23">
        <v>88866</v>
      </c>
    </row>
    <row r="650" spans="1:21">
      <c r="A650" s="5">
        <v>157053</v>
      </c>
      <c r="B650" s="5" t="s">
        <v>16</v>
      </c>
      <c r="C650" s="5" t="s">
        <v>25</v>
      </c>
      <c r="D650" s="5" t="s">
        <v>30</v>
      </c>
      <c r="E650" s="5" t="s">
        <v>13</v>
      </c>
      <c r="F650" s="5" t="s">
        <v>28</v>
      </c>
      <c r="G650" s="5" t="s">
        <v>15</v>
      </c>
      <c r="H650" s="5">
        <v>85665</v>
      </c>
      <c r="I650" s="5">
        <v>2286</v>
      </c>
      <c r="J650" s="6">
        <f t="shared" si="10"/>
        <v>83379</v>
      </c>
      <c r="L650" s="18">
        <v>48508</v>
      </c>
      <c r="M650" s="19" t="s">
        <v>10</v>
      </c>
      <c r="N650" s="19" t="s">
        <v>34</v>
      </c>
      <c r="O650" s="19" t="s">
        <v>32</v>
      </c>
      <c r="P650" s="19" t="s">
        <v>19</v>
      </c>
      <c r="Q650" s="19" t="s">
        <v>14</v>
      </c>
      <c r="R650" s="19" t="s">
        <v>15</v>
      </c>
      <c r="S650" s="19">
        <v>11944</v>
      </c>
      <c r="T650" s="77">
        <v>0</v>
      </c>
      <c r="U650" s="20">
        <v>11944</v>
      </c>
    </row>
    <row r="651" spans="1:21">
      <c r="A651" s="5">
        <v>170523</v>
      </c>
      <c r="B651" s="5" t="s">
        <v>16</v>
      </c>
      <c r="C651" s="5" t="s">
        <v>17</v>
      </c>
      <c r="D651" s="5" t="s">
        <v>36</v>
      </c>
      <c r="E651" s="5" t="s">
        <v>19</v>
      </c>
      <c r="F651" s="5" t="s">
        <v>14</v>
      </c>
      <c r="G651" s="5" t="s">
        <v>15</v>
      </c>
      <c r="H651" s="5">
        <v>33202</v>
      </c>
      <c r="I651" s="5">
        <v>866</v>
      </c>
      <c r="J651" s="6">
        <f t="shared" si="10"/>
        <v>32336</v>
      </c>
      <c r="L651" s="21">
        <v>111316</v>
      </c>
      <c r="M651" s="22" t="s">
        <v>16</v>
      </c>
      <c r="N651" s="22" t="s">
        <v>17</v>
      </c>
      <c r="O651" s="22" t="s">
        <v>18</v>
      </c>
      <c r="P651" s="22" t="s">
        <v>19</v>
      </c>
      <c r="Q651" s="22" t="s">
        <v>14</v>
      </c>
      <c r="R651" s="22" t="s">
        <v>24</v>
      </c>
      <c r="S651" s="22">
        <v>2132</v>
      </c>
      <c r="T651" s="78">
        <v>0</v>
      </c>
      <c r="U651" s="23">
        <v>2132</v>
      </c>
    </row>
    <row r="652" spans="1:21">
      <c r="A652" s="5">
        <v>226101</v>
      </c>
      <c r="B652" s="5" t="s">
        <v>16</v>
      </c>
      <c r="C652" s="5" t="s">
        <v>25</v>
      </c>
      <c r="D652" s="5" t="s">
        <v>18</v>
      </c>
      <c r="E652" s="5" t="s">
        <v>13</v>
      </c>
      <c r="F652" s="5" t="s">
        <v>14</v>
      </c>
      <c r="G652" s="5" t="s">
        <v>15</v>
      </c>
      <c r="H652" s="5">
        <v>22870</v>
      </c>
      <c r="I652" s="5">
        <v>3572</v>
      </c>
      <c r="J652" s="6">
        <f t="shared" si="10"/>
        <v>19298</v>
      </c>
      <c r="L652" s="18">
        <v>208478</v>
      </c>
      <c r="M652" s="19" t="s">
        <v>10</v>
      </c>
      <c r="N652" s="19" t="s">
        <v>39</v>
      </c>
      <c r="O652" s="19" t="s">
        <v>32</v>
      </c>
      <c r="P652" s="19" t="s">
        <v>19</v>
      </c>
      <c r="Q652" s="19" t="s">
        <v>14</v>
      </c>
      <c r="R652" s="19" t="s">
        <v>24</v>
      </c>
      <c r="S652" s="19">
        <v>5395</v>
      </c>
      <c r="T652" s="77">
        <v>0</v>
      </c>
      <c r="U652" s="20">
        <v>5395</v>
      </c>
    </row>
    <row r="653" spans="1:21">
      <c r="A653" s="5">
        <v>62139</v>
      </c>
      <c r="B653" s="5" t="s">
        <v>16</v>
      </c>
      <c r="C653" s="5" t="s">
        <v>27</v>
      </c>
      <c r="D653" s="5" t="s">
        <v>33</v>
      </c>
      <c r="E653" s="5" t="s">
        <v>19</v>
      </c>
      <c r="F653" s="5" t="s">
        <v>14</v>
      </c>
      <c r="G653" s="5" t="s">
        <v>24</v>
      </c>
      <c r="H653" s="5">
        <v>61229</v>
      </c>
      <c r="I653" s="5">
        <v>346</v>
      </c>
      <c r="J653" s="6">
        <f t="shared" si="10"/>
        <v>60883</v>
      </c>
      <c r="L653" s="21">
        <v>168970</v>
      </c>
      <c r="M653" s="22" t="s">
        <v>16</v>
      </c>
      <c r="N653" s="22" t="s">
        <v>22</v>
      </c>
      <c r="O653" s="22" t="s">
        <v>30</v>
      </c>
      <c r="P653" s="22" t="s">
        <v>19</v>
      </c>
      <c r="Q653" s="22" t="s">
        <v>14</v>
      </c>
      <c r="R653" s="22" t="s">
        <v>15</v>
      </c>
      <c r="S653" s="22">
        <v>59246</v>
      </c>
      <c r="T653" s="78">
        <v>3589</v>
      </c>
      <c r="U653" s="23">
        <v>55657</v>
      </c>
    </row>
    <row r="654" spans="1:21">
      <c r="A654" s="5">
        <v>223791</v>
      </c>
      <c r="B654" s="5" t="s">
        <v>10</v>
      </c>
      <c r="C654" s="5" t="s">
        <v>35</v>
      </c>
      <c r="D654" s="5" t="s">
        <v>29</v>
      </c>
      <c r="E654" s="5" t="s">
        <v>13</v>
      </c>
      <c r="F654" s="5" t="s">
        <v>28</v>
      </c>
      <c r="G654" s="5" t="s">
        <v>15</v>
      </c>
      <c r="H654" s="5">
        <v>6260</v>
      </c>
      <c r="I654" s="5">
        <v>0</v>
      </c>
      <c r="J654" s="6">
        <f t="shared" si="10"/>
        <v>6260</v>
      </c>
      <c r="L654" s="18">
        <v>46000</v>
      </c>
      <c r="M654" s="19" t="s">
        <v>10</v>
      </c>
      <c r="N654" s="19" t="s">
        <v>35</v>
      </c>
      <c r="O654" s="19" t="s">
        <v>30</v>
      </c>
      <c r="P654" s="19" t="s">
        <v>19</v>
      </c>
      <c r="Q654" s="19" t="s">
        <v>14</v>
      </c>
      <c r="R654" s="19" t="s">
        <v>24</v>
      </c>
      <c r="S654" s="19">
        <v>41182</v>
      </c>
      <c r="T654" s="77">
        <v>759</v>
      </c>
      <c r="U654" s="20">
        <v>40423</v>
      </c>
    </row>
    <row r="655" spans="1:21">
      <c r="A655" s="5">
        <v>253327</v>
      </c>
      <c r="B655" s="5" t="s">
        <v>16</v>
      </c>
      <c r="C655" s="5" t="s">
        <v>25</v>
      </c>
      <c r="D655" s="5" t="s">
        <v>30</v>
      </c>
      <c r="E655" s="5" t="s">
        <v>13</v>
      </c>
      <c r="F655" s="5" t="s">
        <v>28</v>
      </c>
      <c r="G655" s="5" t="s">
        <v>24</v>
      </c>
      <c r="H655" s="5">
        <v>45573</v>
      </c>
      <c r="I655" s="5">
        <v>27</v>
      </c>
      <c r="J655" s="6">
        <f t="shared" si="10"/>
        <v>45546</v>
      </c>
      <c r="L655" s="21">
        <v>28428</v>
      </c>
      <c r="M655" s="22" t="s">
        <v>16</v>
      </c>
      <c r="N655" s="22" t="s">
        <v>11</v>
      </c>
      <c r="O655" s="22" t="s">
        <v>32</v>
      </c>
      <c r="P655" s="22" t="s">
        <v>13</v>
      </c>
      <c r="Q655" s="22" t="s">
        <v>14</v>
      </c>
      <c r="R655" s="22" t="s">
        <v>15</v>
      </c>
      <c r="S655" s="22">
        <v>3447</v>
      </c>
      <c r="T655" s="78">
        <v>121</v>
      </c>
      <c r="U655" s="23">
        <v>3326</v>
      </c>
    </row>
    <row r="656" spans="1:21">
      <c r="A656" s="5">
        <v>78798</v>
      </c>
      <c r="B656" s="5" t="s">
        <v>10</v>
      </c>
      <c r="C656" s="5" t="s">
        <v>20</v>
      </c>
      <c r="D656" s="5" t="s">
        <v>29</v>
      </c>
      <c r="E656" s="5" t="s">
        <v>13</v>
      </c>
      <c r="F656" s="5" t="s">
        <v>14</v>
      </c>
      <c r="G656" s="5" t="s">
        <v>15</v>
      </c>
      <c r="H656" s="5">
        <v>32718</v>
      </c>
      <c r="I656" s="5">
        <v>936</v>
      </c>
      <c r="J656" s="6">
        <f t="shared" si="10"/>
        <v>31782</v>
      </c>
      <c r="L656" s="18">
        <v>97435</v>
      </c>
      <c r="M656" s="19" t="s">
        <v>10</v>
      </c>
      <c r="N656" s="19" t="s">
        <v>37</v>
      </c>
      <c r="O656" s="19" t="s">
        <v>33</v>
      </c>
      <c r="P656" s="19" t="s">
        <v>13</v>
      </c>
      <c r="Q656" s="19" t="s">
        <v>14</v>
      </c>
      <c r="R656" s="19" t="s">
        <v>15</v>
      </c>
      <c r="S656" s="19">
        <v>91030</v>
      </c>
      <c r="T656" s="77">
        <v>1700</v>
      </c>
      <c r="U656" s="20">
        <v>89330</v>
      </c>
    </row>
    <row r="657" spans="1:21">
      <c r="A657" s="5">
        <v>91400</v>
      </c>
      <c r="B657" s="5" t="s">
        <v>16</v>
      </c>
      <c r="C657" s="5" t="s">
        <v>39</v>
      </c>
      <c r="D657" s="5" t="s">
        <v>33</v>
      </c>
      <c r="E657" s="5" t="s">
        <v>13</v>
      </c>
      <c r="F657" s="5" t="s">
        <v>14</v>
      </c>
      <c r="G657" s="5" t="s">
        <v>15</v>
      </c>
      <c r="H657" s="5">
        <v>17334</v>
      </c>
      <c r="I657" s="5">
        <v>323</v>
      </c>
      <c r="J657" s="6">
        <f t="shared" si="10"/>
        <v>17011</v>
      </c>
      <c r="L657" s="21">
        <v>217957</v>
      </c>
      <c r="M657" s="22" t="s">
        <v>16</v>
      </c>
      <c r="N657" s="22" t="s">
        <v>39</v>
      </c>
      <c r="O657" s="22" t="s">
        <v>32</v>
      </c>
      <c r="P657" s="22" t="s">
        <v>19</v>
      </c>
      <c r="Q657" s="22" t="s">
        <v>14</v>
      </c>
      <c r="R657" s="22" t="s">
        <v>15</v>
      </c>
      <c r="S657" s="22">
        <v>41775</v>
      </c>
      <c r="T657" s="78">
        <v>131</v>
      </c>
      <c r="U657" s="23">
        <v>41644</v>
      </c>
    </row>
    <row r="658" spans="1:21">
      <c r="A658" s="5">
        <v>22571</v>
      </c>
      <c r="B658" s="5" t="s">
        <v>16</v>
      </c>
      <c r="C658" s="5" t="s">
        <v>35</v>
      </c>
      <c r="D658" s="5" t="s">
        <v>12</v>
      </c>
      <c r="E658" s="5" t="s">
        <v>19</v>
      </c>
      <c r="F658" s="5" t="s">
        <v>28</v>
      </c>
      <c r="G658" s="5" t="s">
        <v>15</v>
      </c>
      <c r="H658" s="5">
        <v>64514</v>
      </c>
      <c r="I658" s="5">
        <v>2548</v>
      </c>
      <c r="J658" s="6">
        <f t="shared" si="10"/>
        <v>61966</v>
      </c>
      <c r="L658" s="18">
        <v>69075</v>
      </c>
      <c r="M658" s="19" t="s">
        <v>10</v>
      </c>
      <c r="N658" s="19" t="s">
        <v>35</v>
      </c>
      <c r="O658" s="19" t="s">
        <v>23</v>
      </c>
      <c r="P658" s="19" t="s">
        <v>19</v>
      </c>
      <c r="Q658" s="19" t="s">
        <v>14</v>
      </c>
      <c r="R658" s="19" t="s">
        <v>24</v>
      </c>
      <c r="S658" s="19">
        <v>68974</v>
      </c>
      <c r="T658" s="77">
        <v>4178</v>
      </c>
      <c r="U658" s="20">
        <v>64796</v>
      </c>
    </row>
    <row r="659" spans="1:21">
      <c r="A659" s="5">
        <v>110246</v>
      </c>
      <c r="B659" s="5" t="s">
        <v>16</v>
      </c>
      <c r="C659" s="5" t="s">
        <v>34</v>
      </c>
      <c r="D659" s="5" t="s">
        <v>36</v>
      </c>
      <c r="E659" s="5" t="s">
        <v>13</v>
      </c>
      <c r="F659" s="5" t="s">
        <v>14</v>
      </c>
      <c r="G659" s="5" t="s">
        <v>24</v>
      </c>
      <c r="H659" s="5">
        <v>33678</v>
      </c>
      <c r="I659" s="5">
        <v>821</v>
      </c>
      <c r="J659" s="6">
        <f t="shared" si="10"/>
        <v>32857</v>
      </c>
      <c r="L659" s="21">
        <v>123717</v>
      </c>
      <c r="M659" s="22" t="s">
        <v>10</v>
      </c>
      <c r="N659" s="22" t="s">
        <v>27</v>
      </c>
      <c r="O659" s="22" t="s">
        <v>33</v>
      </c>
      <c r="P659" s="22" t="s">
        <v>13</v>
      </c>
      <c r="Q659" s="22" t="s">
        <v>14</v>
      </c>
      <c r="R659" s="22" t="s">
        <v>15</v>
      </c>
      <c r="S659" s="22">
        <v>121815</v>
      </c>
      <c r="T659" s="78">
        <v>5601</v>
      </c>
      <c r="U659" s="23">
        <v>116214</v>
      </c>
    </row>
    <row r="660" spans="1:21">
      <c r="A660" s="5">
        <v>243356</v>
      </c>
      <c r="B660" s="5" t="s">
        <v>16</v>
      </c>
      <c r="C660" s="5" t="s">
        <v>37</v>
      </c>
      <c r="D660" s="5" t="s">
        <v>32</v>
      </c>
      <c r="E660" s="5" t="s">
        <v>19</v>
      </c>
      <c r="F660" s="5" t="s">
        <v>14</v>
      </c>
      <c r="G660" s="5" t="s">
        <v>24</v>
      </c>
      <c r="H660" s="5">
        <v>30975</v>
      </c>
      <c r="I660" s="5">
        <v>110</v>
      </c>
      <c r="J660" s="6">
        <f t="shared" si="10"/>
        <v>30865</v>
      </c>
      <c r="L660" s="18">
        <v>176297</v>
      </c>
      <c r="M660" s="19" t="s">
        <v>16</v>
      </c>
      <c r="N660" s="19" t="s">
        <v>27</v>
      </c>
      <c r="O660" s="19" t="s">
        <v>30</v>
      </c>
      <c r="P660" s="19" t="s">
        <v>13</v>
      </c>
      <c r="Q660" s="19" t="s">
        <v>14</v>
      </c>
      <c r="R660" s="19" t="s">
        <v>15</v>
      </c>
      <c r="S660" s="19">
        <v>73515</v>
      </c>
      <c r="T660" s="77">
        <v>1909</v>
      </c>
      <c r="U660" s="20">
        <v>71606</v>
      </c>
    </row>
    <row r="661" spans="1:21">
      <c r="A661" s="5">
        <v>131623</v>
      </c>
      <c r="B661" s="5" t="s">
        <v>16</v>
      </c>
      <c r="C661" s="5" t="s">
        <v>25</v>
      </c>
      <c r="D661" s="5" t="s">
        <v>23</v>
      </c>
      <c r="E661" s="5" t="s">
        <v>13</v>
      </c>
      <c r="F661" s="5" t="s">
        <v>28</v>
      </c>
      <c r="G661" s="5" t="s">
        <v>24</v>
      </c>
      <c r="H661" s="5">
        <v>40486</v>
      </c>
      <c r="I661" s="5">
        <v>161</v>
      </c>
      <c r="J661" s="6">
        <f t="shared" si="10"/>
        <v>40325</v>
      </c>
      <c r="L661" s="21">
        <v>49233</v>
      </c>
      <c r="M661" s="22" t="s">
        <v>10</v>
      </c>
      <c r="N661" s="22" t="s">
        <v>35</v>
      </c>
      <c r="O661" s="22" t="s">
        <v>32</v>
      </c>
      <c r="P661" s="22" t="s">
        <v>13</v>
      </c>
      <c r="Q661" s="22" t="s">
        <v>14</v>
      </c>
      <c r="R661" s="22" t="s">
        <v>15</v>
      </c>
      <c r="S661" s="22">
        <v>0</v>
      </c>
      <c r="T661" s="78">
        <v>0</v>
      </c>
      <c r="U661" s="23">
        <v>0</v>
      </c>
    </row>
    <row r="662" spans="1:21">
      <c r="A662" s="5">
        <v>140627</v>
      </c>
      <c r="B662" s="5" t="s">
        <v>10</v>
      </c>
      <c r="C662" s="5" t="s">
        <v>17</v>
      </c>
      <c r="D662" s="5" t="s">
        <v>29</v>
      </c>
      <c r="E662" s="5" t="s">
        <v>19</v>
      </c>
      <c r="F662" s="5" t="s">
        <v>14</v>
      </c>
      <c r="G662" s="5" t="s">
        <v>24</v>
      </c>
      <c r="H662" s="5">
        <v>31818</v>
      </c>
      <c r="I662" s="5">
        <v>2273</v>
      </c>
      <c r="J662" s="6">
        <f t="shared" si="10"/>
        <v>29545</v>
      </c>
      <c r="L662" s="18">
        <v>49742</v>
      </c>
      <c r="M662" s="19" t="s">
        <v>10</v>
      </c>
      <c r="N662" s="19" t="s">
        <v>35</v>
      </c>
      <c r="O662" s="19" t="s">
        <v>12</v>
      </c>
      <c r="P662" s="19" t="s">
        <v>13</v>
      </c>
      <c r="Q662" s="19" t="s">
        <v>14</v>
      </c>
      <c r="R662" s="19" t="s">
        <v>15</v>
      </c>
      <c r="S662" s="19">
        <v>122376</v>
      </c>
      <c r="T662" s="77">
        <v>41914</v>
      </c>
      <c r="U662" s="20">
        <v>80462</v>
      </c>
    </row>
    <row r="663" spans="1:21">
      <c r="A663" s="5">
        <v>254142</v>
      </c>
      <c r="B663" s="5" t="s">
        <v>10</v>
      </c>
      <c r="C663" s="5" t="s">
        <v>25</v>
      </c>
      <c r="D663" s="5" t="s">
        <v>21</v>
      </c>
      <c r="E663" s="5" t="s">
        <v>13</v>
      </c>
      <c r="F663" s="5" t="s">
        <v>28</v>
      </c>
      <c r="G663" s="5" t="s">
        <v>24</v>
      </c>
      <c r="H663" s="5">
        <v>45130</v>
      </c>
      <c r="I663" s="5">
        <v>2348</v>
      </c>
      <c r="J663" s="6">
        <f t="shared" si="10"/>
        <v>42782</v>
      </c>
      <c r="L663" s="21">
        <v>38895</v>
      </c>
      <c r="M663" s="22" t="s">
        <v>10</v>
      </c>
      <c r="N663" s="22" t="s">
        <v>11</v>
      </c>
      <c r="O663" s="22" t="s">
        <v>23</v>
      </c>
      <c r="P663" s="22" t="s">
        <v>13</v>
      </c>
      <c r="Q663" s="22" t="s">
        <v>14</v>
      </c>
      <c r="R663" s="22" t="s">
        <v>24</v>
      </c>
      <c r="S663" s="22">
        <v>149842</v>
      </c>
      <c r="T663" s="78">
        <v>3335</v>
      </c>
      <c r="U663" s="23">
        <v>146507</v>
      </c>
    </row>
    <row r="664" spans="1:21">
      <c r="A664" s="5">
        <v>104734</v>
      </c>
      <c r="B664" s="5" t="s">
        <v>16</v>
      </c>
      <c r="C664" s="5" t="s">
        <v>27</v>
      </c>
      <c r="D664" s="5" t="s">
        <v>32</v>
      </c>
      <c r="E664" s="5" t="s">
        <v>13</v>
      </c>
      <c r="F664" s="5" t="s">
        <v>14</v>
      </c>
      <c r="G664" s="5" t="s">
        <v>24</v>
      </c>
      <c r="H664" s="5">
        <v>5200</v>
      </c>
      <c r="I664" s="5">
        <v>0</v>
      </c>
      <c r="J664" s="6">
        <f t="shared" si="10"/>
        <v>5200</v>
      </c>
      <c r="L664" s="18">
        <v>39980</v>
      </c>
      <c r="M664" s="19" t="s">
        <v>10</v>
      </c>
      <c r="N664" s="19" t="s">
        <v>35</v>
      </c>
      <c r="O664" s="19" t="s">
        <v>32</v>
      </c>
      <c r="P664" s="19" t="s">
        <v>13</v>
      </c>
      <c r="Q664" s="19" t="s">
        <v>14</v>
      </c>
      <c r="R664" s="19" t="s">
        <v>24</v>
      </c>
      <c r="S664" s="19">
        <v>93439</v>
      </c>
      <c r="T664" s="77">
        <v>0</v>
      </c>
      <c r="U664" s="20">
        <v>93439</v>
      </c>
    </row>
    <row r="665" spans="1:21">
      <c r="A665" s="5">
        <v>184775</v>
      </c>
      <c r="B665" s="5" t="s">
        <v>16</v>
      </c>
      <c r="C665" s="5" t="s">
        <v>34</v>
      </c>
      <c r="D665" s="5" t="s">
        <v>33</v>
      </c>
      <c r="E665" s="5" t="s">
        <v>13</v>
      </c>
      <c r="F665" s="5" t="s">
        <v>14</v>
      </c>
      <c r="G665" s="5" t="s">
        <v>15</v>
      </c>
      <c r="H665" s="5">
        <v>62812</v>
      </c>
      <c r="I665" s="5">
        <v>321</v>
      </c>
      <c r="J665" s="6">
        <f t="shared" si="10"/>
        <v>62491</v>
      </c>
      <c r="L665" s="21">
        <v>16978</v>
      </c>
      <c r="M665" s="22" t="s">
        <v>16</v>
      </c>
      <c r="N665" s="22" t="s">
        <v>11</v>
      </c>
      <c r="O665" s="22" t="s">
        <v>12</v>
      </c>
      <c r="P665" s="22" t="s">
        <v>13</v>
      </c>
      <c r="Q665" s="22" t="s">
        <v>14</v>
      </c>
      <c r="R665" s="22" t="s">
        <v>15</v>
      </c>
      <c r="S665" s="22">
        <v>39499</v>
      </c>
      <c r="T665" s="78">
        <v>532</v>
      </c>
      <c r="U665" s="23">
        <v>38967</v>
      </c>
    </row>
    <row r="666" spans="1:21">
      <c r="A666" s="5">
        <v>181468</v>
      </c>
      <c r="B666" s="5" t="s">
        <v>10</v>
      </c>
      <c r="C666" s="5" t="s">
        <v>20</v>
      </c>
      <c r="D666" s="5" t="s">
        <v>21</v>
      </c>
      <c r="E666" s="5" t="s">
        <v>19</v>
      </c>
      <c r="F666" s="5" t="s">
        <v>14</v>
      </c>
      <c r="G666" s="5" t="s">
        <v>15</v>
      </c>
      <c r="H666" s="5">
        <v>33930</v>
      </c>
      <c r="I666" s="5">
        <v>348</v>
      </c>
      <c r="J666" s="6">
        <f t="shared" si="10"/>
        <v>33582</v>
      </c>
      <c r="L666" s="18">
        <v>180577</v>
      </c>
      <c r="M666" s="19" t="s">
        <v>16</v>
      </c>
      <c r="N666" s="19" t="s">
        <v>17</v>
      </c>
      <c r="O666" s="19" t="s">
        <v>36</v>
      </c>
      <c r="P666" s="19" t="s">
        <v>19</v>
      </c>
      <c r="Q666" s="19" t="s">
        <v>14</v>
      </c>
      <c r="R666" s="19" t="s">
        <v>24</v>
      </c>
      <c r="S666" s="19">
        <v>4148</v>
      </c>
      <c r="T666" s="77">
        <v>18</v>
      </c>
      <c r="U666" s="20">
        <v>4130</v>
      </c>
    </row>
    <row r="667" spans="1:21">
      <c r="A667" s="5">
        <v>88841</v>
      </c>
      <c r="B667" s="5" t="s">
        <v>10</v>
      </c>
      <c r="C667" s="5" t="s">
        <v>38</v>
      </c>
      <c r="D667" s="5" t="s">
        <v>32</v>
      </c>
      <c r="E667" s="5" t="s">
        <v>13</v>
      </c>
      <c r="F667" s="5" t="s">
        <v>14</v>
      </c>
      <c r="G667" s="5" t="s">
        <v>15</v>
      </c>
      <c r="H667" s="5">
        <v>3</v>
      </c>
      <c r="I667" s="5">
        <v>0</v>
      </c>
      <c r="J667" s="6">
        <f t="shared" si="10"/>
        <v>3</v>
      </c>
      <c r="L667" s="21">
        <v>154567</v>
      </c>
      <c r="M667" s="22" t="s">
        <v>16</v>
      </c>
      <c r="N667" s="22" t="s">
        <v>25</v>
      </c>
      <c r="O667" s="22" t="s">
        <v>21</v>
      </c>
      <c r="P667" s="22" t="s">
        <v>13</v>
      </c>
      <c r="Q667" s="22" t="s">
        <v>14</v>
      </c>
      <c r="R667" s="22" t="s">
        <v>15</v>
      </c>
      <c r="S667" s="22">
        <v>52490</v>
      </c>
      <c r="T667" s="78">
        <v>294</v>
      </c>
      <c r="U667" s="23">
        <v>52196</v>
      </c>
    </row>
    <row r="668" spans="1:21">
      <c r="A668" s="5">
        <v>227145</v>
      </c>
      <c r="B668" s="5" t="s">
        <v>10</v>
      </c>
      <c r="C668" s="5" t="s">
        <v>17</v>
      </c>
      <c r="D668" s="5" t="s">
        <v>26</v>
      </c>
      <c r="E668" s="5" t="s">
        <v>19</v>
      </c>
      <c r="F668" s="5" t="s">
        <v>28</v>
      </c>
      <c r="G668" s="5" t="s">
        <v>24</v>
      </c>
      <c r="H668" s="5">
        <v>52340</v>
      </c>
      <c r="I668" s="5">
        <v>4056</v>
      </c>
      <c r="J668" s="6">
        <f t="shared" si="10"/>
        <v>48284</v>
      </c>
      <c r="L668" s="18">
        <v>226474</v>
      </c>
      <c r="M668" s="19" t="s">
        <v>10</v>
      </c>
      <c r="N668" s="19" t="s">
        <v>25</v>
      </c>
      <c r="O668" s="19" t="s">
        <v>23</v>
      </c>
      <c r="P668" s="19" t="s">
        <v>19</v>
      </c>
      <c r="Q668" s="19" t="s">
        <v>14</v>
      </c>
      <c r="R668" s="19" t="s">
        <v>15</v>
      </c>
      <c r="S668" s="19">
        <v>138377</v>
      </c>
      <c r="T668" s="77">
        <v>6605</v>
      </c>
      <c r="U668" s="20">
        <v>131772</v>
      </c>
    </row>
    <row r="669" spans="1:21">
      <c r="A669" s="5">
        <v>199532</v>
      </c>
      <c r="B669" s="5" t="s">
        <v>10</v>
      </c>
      <c r="C669" s="5" t="s">
        <v>39</v>
      </c>
      <c r="D669" s="5" t="s">
        <v>23</v>
      </c>
      <c r="E669" s="5" t="s">
        <v>13</v>
      </c>
      <c r="F669" s="5" t="s">
        <v>14</v>
      </c>
      <c r="G669" s="5" t="s">
        <v>15</v>
      </c>
      <c r="H669" s="5">
        <v>17570</v>
      </c>
      <c r="I669" s="5">
        <v>967</v>
      </c>
      <c r="J669" s="6">
        <f t="shared" si="10"/>
        <v>16603</v>
      </c>
      <c r="L669" s="21">
        <v>7270</v>
      </c>
      <c r="M669" s="22" t="s">
        <v>16</v>
      </c>
      <c r="N669" s="22" t="s">
        <v>20</v>
      </c>
      <c r="O669" s="22" t="s">
        <v>32</v>
      </c>
      <c r="P669" s="22" t="s">
        <v>13</v>
      </c>
      <c r="Q669" s="22" t="s">
        <v>14</v>
      </c>
      <c r="R669" s="22" t="s">
        <v>15</v>
      </c>
      <c r="S669" s="22">
        <v>20920</v>
      </c>
      <c r="T669" s="78">
        <v>0</v>
      </c>
      <c r="U669" s="23">
        <v>20920</v>
      </c>
    </row>
    <row r="670" spans="1:21">
      <c r="A670" s="5">
        <v>23643</v>
      </c>
      <c r="B670" s="5" t="s">
        <v>10</v>
      </c>
      <c r="C670" s="5" t="s">
        <v>11</v>
      </c>
      <c r="D670" s="5" t="s">
        <v>32</v>
      </c>
      <c r="E670" s="5" t="s">
        <v>13</v>
      </c>
      <c r="F670" s="5" t="s">
        <v>14</v>
      </c>
      <c r="G670" s="5" t="s">
        <v>15</v>
      </c>
      <c r="H670" s="5">
        <v>41594</v>
      </c>
      <c r="I670" s="5">
        <v>5775</v>
      </c>
      <c r="J670" s="6">
        <f t="shared" si="10"/>
        <v>35819</v>
      </c>
      <c r="L670" s="18">
        <v>173120</v>
      </c>
      <c r="M670" s="19" t="s">
        <v>10</v>
      </c>
      <c r="N670" s="19" t="s">
        <v>20</v>
      </c>
      <c r="O670" s="19" t="s">
        <v>32</v>
      </c>
      <c r="P670" s="19" t="s">
        <v>13</v>
      </c>
      <c r="Q670" s="19" t="s">
        <v>14</v>
      </c>
      <c r="R670" s="19" t="s">
        <v>15</v>
      </c>
      <c r="S670" s="19">
        <v>48939</v>
      </c>
      <c r="T670" s="77">
        <v>597</v>
      </c>
      <c r="U670" s="20">
        <v>48342</v>
      </c>
    </row>
    <row r="671" spans="1:21">
      <c r="A671" s="5">
        <v>31299</v>
      </c>
      <c r="B671" s="5" t="s">
        <v>16</v>
      </c>
      <c r="C671" s="5" t="s">
        <v>20</v>
      </c>
      <c r="D671" s="5" t="s">
        <v>32</v>
      </c>
      <c r="E671" s="5" t="s">
        <v>19</v>
      </c>
      <c r="F671" s="5" t="s">
        <v>28</v>
      </c>
      <c r="G671" s="5" t="s">
        <v>24</v>
      </c>
      <c r="H671" s="5">
        <v>499</v>
      </c>
      <c r="I671" s="5">
        <v>0</v>
      </c>
      <c r="J671" s="6">
        <f t="shared" si="10"/>
        <v>499</v>
      </c>
      <c r="L671" s="21">
        <v>64798</v>
      </c>
      <c r="M671" s="22" t="s">
        <v>16</v>
      </c>
      <c r="N671" s="22" t="s">
        <v>27</v>
      </c>
      <c r="O671" s="22" t="s">
        <v>32</v>
      </c>
      <c r="P671" s="22" t="s">
        <v>13</v>
      </c>
      <c r="Q671" s="22" t="s">
        <v>14</v>
      </c>
      <c r="R671" s="22" t="s">
        <v>24</v>
      </c>
      <c r="S671" s="22">
        <v>12989</v>
      </c>
      <c r="T671" s="78">
        <v>0</v>
      </c>
      <c r="U671" s="23">
        <v>12989</v>
      </c>
    </row>
    <row r="672" spans="1:21">
      <c r="A672" s="5">
        <v>234031</v>
      </c>
      <c r="B672" s="5" t="s">
        <v>16</v>
      </c>
      <c r="C672" s="5" t="s">
        <v>17</v>
      </c>
      <c r="D672" s="5" t="s">
        <v>36</v>
      </c>
      <c r="E672" s="5" t="s">
        <v>13</v>
      </c>
      <c r="F672" s="5" t="s">
        <v>14</v>
      </c>
      <c r="G672" s="5" t="s">
        <v>24</v>
      </c>
      <c r="H672" s="5">
        <v>32571</v>
      </c>
      <c r="I672" s="5">
        <v>780</v>
      </c>
      <c r="J672" s="6">
        <f t="shared" si="10"/>
        <v>31791</v>
      </c>
      <c r="L672" s="18">
        <v>137329</v>
      </c>
      <c r="M672" s="19" t="s">
        <v>10</v>
      </c>
      <c r="N672" s="19" t="s">
        <v>22</v>
      </c>
      <c r="O672" s="19" t="s">
        <v>30</v>
      </c>
      <c r="P672" s="19" t="s">
        <v>19</v>
      </c>
      <c r="Q672" s="19" t="s">
        <v>14</v>
      </c>
      <c r="R672" s="19" t="s">
        <v>15</v>
      </c>
      <c r="S672" s="19">
        <v>227664</v>
      </c>
      <c r="T672" s="77">
        <v>10694</v>
      </c>
      <c r="U672" s="20">
        <v>216970</v>
      </c>
    </row>
    <row r="673" spans="1:21">
      <c r="A673" s="5">
        <v>163500</v>
      </c>
      <c r="B673" s="5" t="s">
        <v>16</v>
      </c>
      <c r="C673" s="5" t="s">
        <v>27</v>
      </c>
      <c r="D673" s="5" t="s">
        <v>21</v>
      </c>
      <c r="E673" s="5" t="s">
        <v>19</v>
      </c>
      <c r="F673" s="5" t="s">
        <v>14</v>
      </c>
      <c r="G673" s="5" t="s">
        <v>24</v>
      </c>
      <c r="H673" s="5">
        <v>39858</v>
      </c>
      <c r="I673" s="5">
        <v>316</v>
      </c>
      <c r="J673" s="6">
        <f t="shared" si="10"/>
        <v>39542</v>
      </c>
      <c r="L673" s="21">
        <v>31546</v>
      </c>
      <c r="M673" s="22" t="s">
        <v>10</v>
      </c>
      <c r="N673" s="22" t="s">
        <v>38</v>
      </c>
      <c r="O673" s="22" t="s">
        <v>33</v>
      </c>
      <c r="P673" s="22" t="s">
        <v>13</v>
      </c>
      <c r="Q673" s="22" t="s">
        <v>14</v>
      </c>
      <c r="R673" s="22" t="s">
        <v>15</v>
      </c>
      <c r="S673" s="22">
        <v>71476</v>
      </c>
      <c r="T673" s="78">
        <v>654</v>
      </c>
      <c r="U673" s="23">
        <v>70822</v>
      </c>
    </row>
    <row r="674" spans="1:21">
      <c r="A674" s="5">
        <v>179672</v>
      </c>
      <c r="B674" s="5" t="s">
        <v>16</v>
      </c>
      <c r="C674" s="5" t="s">
        <v>31</v>
      </c>
      <c r="D674" s="5" t="s">
        <v>18</v>
      </c>
      <c r="E674" s="5" t="s">
        <v>19</v>
      </c>
      <c r="F674" s="5" t="s">
        <v>14</v>
      </c>
      <c r="G674" s="5" t="s">
        <v>24</v>
      </c>
      <c r="H674" s="5">
        <v>17427</v>
      </c>
      <c r="I674" s="5">
        <v>164</v>
      </c>
      <c r="J674" s="6">
        <f t="shared" si="10"/>
        <v>17263</v>
      </c>
      <c r="L674" s="18">
        <v>142407</v>
      </c>
      <c r="M674" s="19" t="s">
        <v>10</v>
      </c>
      <c r="N674" s="19" t="s">
        <v>17</v>
      </c>
      <c r="O674" s="19" t="s">
        <v>18</v>
      </c>
      <c r="P674" s="19" t="s">
        <v>19</v>
      </c>
      <c r="Q674" s="19" t="s">
        <v>14</v>
      </c>
      <c r="R674" s="19" t="s">
        <v>24</v>
      </c>
      <c r="S674" s="19">
        <v>20569</v>
      </c>
      <c r="T674" s="77">
        <v>68</v>
      </c>
      <c r="U674" s="20">
        <v>20501</v>
      </c>
    </row>
    <row r="675" spans="1:21">
      <c r="A675" s="5">
        <v>200015</v>
      </c>
      <c r="B675" s="5" t="s">
        <v>10</v>
      </c>
      <c r="C675" s="5" t="s">
        <v>37</v>
      </c>
      <c r="D675" s="5" t="s">
        <v>12</v>
      </c>
      <c r="E675" s="5" t="s">
        <v>13</v>
      </c>
      <c r="F675" s="5" t="s">
        <v>28</v>
      </c>
      <c r="G675" s="5" t="s">
        <v>15</v>
      </c>
      <c r="H675" s="5">
        <v>169967</v>
      </c>
      <c r="I675" s="5">
        <v>5465</v>
      </c>
      <c r="J675" s="6">
        <f t="shared" si="10"/>
        <v>164502</v>
      </c>
      <c r="L675" s="21">
        <v>90731</v>
      </c>
      <c r="M675" s="22" t="s">
        <v>10</v>
      </c>
      <c r="N675" s="22" t="s">
        <v>38</v>
      </c>
      <c r="O675" s="22" t="s">
        <v>33</v>
      </c>
      <c r="P675" s="22" t="s">
        <v>13</v>
      </c>
      <c r="Q675" s="22" t="s">
        <v>14</v>
      </c>
      <c r="R675" s="22" t="s">
        <v>15</v>
      </c>
      <c r="S675" s="22">
        <v>20272</v>
      </c>
      <c r="T675" s="78">
        <v>6150</v>
      </c>
      <c r="U675" s="23">
        <v>14122</v>
      </c>
    </row>
    <row r="676" spans="1:21">
      <c r="A676" s="5">
        <v>29681</v>
      </c>
      <c r="B676" s="5" t="s">
        <v>16</v>
      </c>
      <c r="C676" s="5" t="s">
        <v>11</v>
      </c>
      <c r="D676" s="5" t="s">
        <v>32</v>
      </c>
      <c r="E676" s="5" t="s">
        <v>13</v>
      </c>
      <c r="F676" s="5" t="s">
        <v>14</v>
      </c>
      <c r="G676" s="5" t="s">
        <v>15</v>
      </c>
      <c r="H676" s="5">
        <v>27854</v>
      </c>
      <c r="I676" s="5">
        <v>3</v>
      </c>
      <c r="J676" s="6">
        <f t="shared" si="10"/>
        <v>27851</v>
      </c>
      <c r="L676" s="18">
        <v>248493</v>
      </c>
      <c r="M676" s="19" t="s">
        <v>16</v>
      </c>
      <c r="N676" s="19" t="s">
        <v>22</v>
      </c>
      <c r="O676" s="19" t="s">
        <v>33</v>
      </c>
      <c r="P676" s="19" t="s">
        <v>13</v>
      </c>
      <c r="Q676" s="19" t="s">
        <v>14</v>
      </c>
      <c r="R676" s="19" t="s">
        <v>24</v>
      </c>
      <c r="S676" s="19">
        <v>59941</v>
      </c>
      <c r="T676" s="77">
        <v>1677</v>
      </c>
      <c r="U676" s="20">
        <v>58264</v>
      </c>
    </row>
    <row r="677" spans="1:21">
      <c r="A677" s="5">
        <v>100138</v>
      </c>
      <c r="B677" s="5" t="s">
        <v>16</v>
      </c>
      <c r="C677" s="5" t="s">
        <v>11</v>
      </c>
      <c r="D677" s="5" t="s">
        <v>30</v>
      </c>
      <c r="E677" s="5" t="s">
        <v>13</v>
      </c>
      <c r="F677" s="5" t="s">
        <v>14</v>
      </c>
      <c r="G677" s="5" t="s">
        <v>15</v>
      </c>
      <c r="H677" s="5">
        <v>23903</v>
      </c>
      <c r="I677" s="5">
        <v>490</v>
      </c>
      <c r="J677" s="6">
        <f t="shared" si="10"/>
        <v>23413</v>
      </c>
      <c r="L677" s="21">
        <v>25268</v>
      </c>
      <c r="M677" s="22" t="s">
        <v>16</v>
      </c>
      <c r="N677" s="22" t="s">
        <v>11</v>
      </c>
      <c r="O677" s="22" t="s">
        <v>32</v>
      </c>
      <c r="P677" s="22" t="s">
        <v>13</v>
      </c>
      <c r="Q677" s="22" t="s">
        <v>14</v>
      </c>
      <c r="R677" s="22" t="s">
        <v>15</v>
      </c>
      <c r="S677" s="22">
        <v>6093</v>
      </c>
      <c r="T677" s="78">
        <v>0</v>
      </c>
      <c r="U677" s="23">
        <v>6093</v>
      </c>
    </row>
    <row r="678" spans="1:21">
      <c r="A678" s="5">
        <v>183256</v>
      </c>
      <c r="B678" s="5" t="s">
        <v>10</v>
      </c>
      <c r="C678" s="5" t="s">
        <v>20</v>
      </c>
      <c r="D678" s="5" t="s">
        <v>32</v>
      </c>
      <c r="E678" s="5" t="s">
        <v>13</v>
      </c>
      <c r="F678" s="5" t="s">
        <v>14</v>
      </c>
      <c r="G678" s="5" t="s">
        <v>15</v>
      </c>
      <c r="H678" s="5">
        <v>12859</v>
      </c>
      <c r="I678" s="5">
        <v>0</v>
      </c>
      <c r="J678" s="6">
        <f t="shared" si="10"/>
        <v>12859</v>
      </c>
      <c r="L678" s="18">
        <v>206128</v>
      </c>
      <c r="M678" s="19" t="s">
        <v>16</v>
      </c>
      <c r="N678" s="19" t="s">
        <v>11</v>
      </c>
      <c r="O678" s="19" t="s">
        <v>32</v>
      </c>
      <c r="P678" s="19" t="s">
        <v>13</v>
      </c>
      <c r="Q678" s="19" t="s">
        <v>14</v>
      </c>
      <c r="R678" s="19" t="s">
        <v>24</v>
      </c>
      <c r="S678" s="19">
        <v>-32058</v>
      </c>
      <c r="T678" s="77">
        <v>487</v>
      </c>
      <c r="U678" s="20">
        <v>-32545</v>
      </c>
    </row>
    <row r="679" spans="1:21">
      <c r="A679" s="5">
        <v>215528</v>
      </c>
      <c r="B679" s="5" t="s">
        <v>10</v>
      </c>
      <c r="C679" s="5" t="s">
        <v>39</v>
      </c>
      <c r="D679" s="5" t="s">
        <v>30</v>
      </c>
      <c r="E679" s="5" t="s">
        <v>13</v>
      </c>
      <c r="F679" s="5" t="s">
        <v>14</v>
      </c>
      <c r="G679" s="5" t="s">
        <v>15</v>
      </c>
      <c r="H679" s="5">
        <v>23531</v>
      </c>
      <c r="I679" s="5">
        <v>164</v>
      </c>
      <c r="J679" s="6">
        <f t="shared" si="10"/>
        <v>23367</v>
      </c>
      <c r="L679" s="21">
        <v>9748</v>
      </c>
      <c r="M679" s="22" t="s">
        <v>16</v>
      </c>
      <c r="N679" s="22" t="s">
        <v>20</v>
      </c>
      <c r="O679" s="22" t="s">
        <v>32</v>
      </c>
      <c r="P679" s="22" t="s">
        <v>19</v>
      </c>
      <c r="Q679" s="22" t="s">
        <v>14</v>
      </c>
      <c r="R679" s="22" t="s">
        <v>24</v>
      </c>
      <c r="S679" s="22">
        <v>4081</v>
      </c>
      <c r="T679" s="78">
        <v>0</v>
      </c>
      <c r="U679" s="23">
        <v>4081</v>
      </c>
    </row>
    <row r="680" spans="1:21">
      <c r="A680" s="5">
        <v>255425</v>
      </c>
      <c r="B680" s="5" t="s">
        <v>10</v>
      </c>
      <c r="C680" s="5" t="s">
        <v>17</v>
      </c>
      <c r="D680" s="5" t="s">
        <v>21</v>
      </c>
      <c r="E680" s="5" t="s">
        <v>19</v>
      </c>
      <c r="F680" s="5" t="s">
        <v>14</v>
      </c>
      <c r="G680" s="5" t="s">
        <v>24</v>
      </c>
      <c r="H680" s="5">
        <v>28105</v>
      </c>
      <c r="I680" s="5">
        <v>4479</v>
      </c>
      <c r="J680" s="6">
        <f t="shared" si="10"/>
        <v>23626</v>
      </c>
      <c r="L680" s="18">
        <v>91336</v>
      </c>
      <c r="M680" s="19" t="s">
        <v>16</v>
      </c>
      <c r="N680" s="19" t="s">
        <v>39</v>
      </c>
      <c r="O680" s="19" t="s">
        <v>32</v>
      </c>
      <c r="P680" s="19" t="s">
        <v>13</v>
      </c>
      <c r="Q680" s="19" t="s">
        <v>14</v>
      </c>
      <c r="R680" s="19" t="s">
        <v>15</v>
      </c>
      <c r="S680" s="19">
        <v>82385</v>
      </c>
      <c r="T680" s="77">
        <v>287</v>
      </c>
      <c r="U680" s="20">
        <v>82098</v>
      </c>
    </row>
    <row r="681" spans="1:21">
      <c r="A681" s="5">
        <v>90196</v>
      </c>
      <c r="B681" s="5" t="s">
        <v>10</v>
      </c>
      <c r="C681" s="5" t="s">
        <v>37</v>
      </c>
      <c r="D681" s="5" t="s">
        <v>30</v>
      </c>
      <c r="E681" s="5" t="s">
        <v>13</v>
      </c>
      <c r="F681" s="5" t="s">
        <v>14</v>
      </c>
      <c r="G681" s="5" t="s">
        <v>15</v>
      </c>
      <c r="H681" s="5">
        <v>184333</v>
      </c>
      <c r="I681" s="5">
        <v>3533</v>
      </c>
      <c r="J681" s="6">
        <f t="shared" si="10"/>
        <v>180800</v>
      </c>
      <c r="L681" s="21">
        <v>161844</v>
      </c>
      <c r="M681" s="22" t="s">
        <v>10</v>
      </c>
      <c r="N681" s="22" t="s">
        <v>17</v>
      </c>
      <c r="O681" s="22" t="s">
        <v>21</v>
      </c>
      <c r="P681" s="22" t="s">
        <v>19</v>
      </c>
      <c r="Q681" s="22" t="s">
        <v>14</v>
      </c>
      <c r="R681" s="22" t="s">
        <v>15</v>
      </c>
      <c r="S681" s="22">
        <v>38265</v>
      </c>
      <c r="T681" s="78">
        <v>2710</v>
      </c>
      <c r="U681" s="23">
        <v>35555</v>
      </c>
    </row>
    <row r="682" spans="1:21">
      <c r="A682" s="5">
        <v>50413</v>
      </c>
      <c r="B682" s="5" t="s">
        <v>16</v>
      </c>
      <c r="C682" s="5" t="s">
        <v>35</v>
      </c>
      <c r="D682" s="5" t="s">
        <v>30</v>
      </c>
      <c r="E682" s="5" t="s">
        <v>13</v>
      </c>
      <c r="F682" s="5" t="s">
        <v>14</v>
      </c>
      <c r="G682" s="5" t="s">
        <v>15</v>
      </c>
      <c r="H682" s="5">
        <v>53904</v>
      </c>
      <c r="I682" s="5">
        <v>1732</v>
      </c>
      <c r="J682" s="6">
        <f t="shared" si="10"/>
        <v>52172</v>
      </c>
      <c r="L682" s="18">
        <v>84075</v>
      </c>
      <c r="M682" s="19" t="s">
        <v>10</v>
      </c>
      <c r="N682" s="19" t="s">
        <v>34</v>
      </c>
      <c r="O682" s="19" t="s">
        <v>29</v>
      </c>
      <c r="P682" s="19" t="s">
        <v>19</v>
      </c>
      <c r="Q682" s="19" t="s">
        <v>14</v>
      </c>
      <c r="R682" s="19" t="s">
        <v>24</v>
      </c>
      <c r="S682" s="19">
        <v>63136</v>
      </c>
      <c r="T682" s="77">
        <v>11149</v>
      </c>
      <c r="U682" s="20">
        <v>51987</v>
      </c>
    </row>
    <row r="683" spans="1:21">
      <c r="A683" s="5">
        <v>210414</v>
      </c>
      <c r="B683" s="5" t="s">
        <v>10</v>
      </c>
      <c r="C683" s="5" t="s">
        <v>37</v>
      </c>
      <c r="D683" s="5" t="s">
        <v>29</v>
      </c>
      <c r="E683" s="5" t="s">
        <v>19</v>
      </c>
      <c r="F683" s="5" t="s">
        <v>14</v>
      </c>
      <c r="G683" s="5" t="s">
        <v>15</v>
      </c>
      <c r="H683" s="5">
        <v>175129</v>
      </c>
      <c r="I683" s="5">
        <v>326</v>
      </c>
      <c r="J683" s="6">
        <f t="shared" si="10"/>
        <v>174803</v>
      </c>
      <c r="L683" s="21">
        <v>247868</v>
      </c>
      <c r="M683" s="22" t="s">
        <v>16</v>
      </c>
      <c r="N683" s="22" t="s">
        <v>17</v>
      </c>
      <c r="O683" s="22" t="s">
        <v>36</v>
      </c>
      <c r="P683" s="22" t="s">
        <v>19</v>
      </c>
      <c r="Q683" s="22" t="s">
        <v>14</v>
      </c>
      <c r="R683" s="22" t="s">
        <v>24</v>
      </c>
      <c r="S683" s="22">
        <v>24605</v>
      </c>
      <c r="T683" s="78">
        <v>752</v>
      </c>
      <c r="U683" s="23">
        <v>23853</v>
      </c>
    </row>
    <row r="684" spans="1:21">
      <c r="A684" s="5">
        <v>93194</v>
      </c>
      <c r="B684" s="5" t="s">
        <v>10</v>
      </c>
      <c r="C684" s="5" t="s">
        <v>20</v>
      </c>
      <c r="D684" s="5" t="s">
        <v>21</v>
      </c>
      <c r="E684" s="5" t="s">
        <v>13</v>
      </c>
      <c r="F684" s="5" t="s">
        <v>14</v>
      </c>
      <c r="G684" s="5" t="s">
        <v>15</v>
      </c>
      <c r="H684" s="5">
        <v>25284</v>
      </c>
      <c r="I684" s="5">
        <v>10570</v>
      </c>
      <c r="J684" s="6">
        <f t="shared" si="10"/>
        <v>14714</v>
      </c>
      <c r="L684" s="18">
        <v>222143</v>
      </c>
      <c r="M684" s="19" t="s">
        <v>10</v>
      </c>
      <c r="N684" s="19" t="s">
        <v>22</v>
      </c>
      <c r="O684" s="19" t="s">
        <v>32</v>
      </c>
      <c r="P684" s="19" t="s">
        <v>13</v>
      </c>
      <c r="Q684" s="19" t="s">
        <v>14</v>
      </c>
      <c r="R684" s="19" t="s">
        <v>24</v>
      </c>
      <c r="S684" s="19">
        <v>3270</v>
      </c>
      <c r="T684" s="77">
        <v>0</v>
      </c>
      <c r="U684" s="20">
        <v>3270</v>
      </c>
    </row>
    <row r="685" spans="1:21">
      <c r="A685" s="5">
        <v>200380</v>
      </c>
      <c r="B685" s="5" t="s">
        <v>10</v>
      </c>
      <c r="C685" s="5" t="s">
        <v>37</v>
      </c>
      <c r="D685" s="5" t="s">
        <v>30</v>
      </c>
      <c r="E685" s="5" t="s">
        <v>13</v>
      </c>
      <c r="F685" s="5" t="s">
        <v>14</v>
      </c>
      <c r="G685" s="5" t="s">
        <v>15</v>
      </c>
      <c r="H685" s="5">
        <v>329651</v>
      </c>
      <c r="I685" s="5">
        <v>46867</v>
      </c>
      <c r="J685" s="6">
        <f t="shared" si="10"/>
        <v>282784</v>
      </c>
      <c r="L685" s="21">
        <v>88435</v>
      </c>
      <c r="M685" s="22" t="s">
        <v>16</v>
      </c>
      <c r="N685" s="22" t="s">
        <v>37</v>
      </c>
      <c r="O685" s="22" t="s">
        <v>33</v>
      </c>
      <c r="P685" s="22" t="s">
        <v>19</v>
      </c>
      <c r="Q685" s="22" t="s">
        <v>14</v>
      </c>
      <c r="R685" s="22" t="s">
        <v>24</v>
      </c>
      <c r="S685" s="22">
        <v>50446</v>
      </c>
      <c r="T685" s="78">
        <v>269</v>
      </c>
      <c r="U685" s="23">
        <v>50177</v>
      </c>
    </row>
    <row r="686" spans="1:21">
      <c r="A686" s="5">
        <v>9396</v>
      </c>
      <c r="B686" s="5" t="s">
        <v>10</v>
      </c>
      <c r="C686" s="5" t="s">
        <v>20</v>
      </c>
      <c r="D686" s="5" t="s">
        <v>32</v>
      </c>
      <c r="E686" s="5" t="s">
        <v>13</v>
      </c>
      <c r="F686" s="5" t="s">
        <v>14</v>
      </c>
      <c r="G686" s="5" t="s">
        <v>15</v>
      </c>
      <c r="H686" s="5">
        <v>23983</v>
      </c>
      <c r="I686" s="5">
        <v>832</v>
      </c>
      <c r="J686" s="6">
        <f t="shared" si="10"/>
        <v>23151</v>
      </c>
      <c r="L686" s="18">
        <v>183461</v>
      </c>
      <c r="M686" s="19" t="s">
        <v>10</v>
      </c>
      <c r="N686" s="19" t="s">
        <v>20</v>
      </c>
      <c r="O686" s="19" t="s">
        <v>32</v>
      </c>
      <c r="P686" s="19" t="s">
        <v>19</v>
      </c>
      <c r="Q686" s="19" t="s">
        <v>14</v>
      </c>
      <c r="R686" s="19" t="s">
        <v>15</v>
      </c>
      <c r="S686" s="19">
        <v>39044</v>
      </c>
      <c r="T686" s="77">
        <v>129</v>
      </c>
      <c r="U686" s="20">
        <v>38915</v>
      </c>
    </row>
    <row r="687" spans="1:21">
      <c r="A687" s="5">
        <v>32871</v>
      </c>
      <c r="B687" s="5" t="s">
        <v>10</v>
      </c>
      <c r="C687" s="5" t="s">
        <v>35</v>
      </c>
      <c r="D687" s="5" t="s">
        <v>30</v>
      </c>
      <c r="E687" s="5" t="s">
        <v>19</v>
      </c>
      <c r="F687" s="5" t="s">
        <v>14</v>
      </c>
      <c r="G687" s="5" t="s">
        <v>24</v>
      </c>
      <c r="H687" s="5">
        <v>79165</v>
      </c>
      <c r="I687" s="5">
        <v>6037</v>
      </c>
      <c r="J687" s="6">
        <f t="shared" si="10"/>
        <v>73128</v>
      </c>
      <c r="L687" s="21">
        <v>91304</v>
      </c>
      <c r="M687" s="22" t="s">
        <v>10</v>
      </c>
      <c r="N687" s="22" t="s">
        <v>37</v>
      </c>
      <c r="O687" s="22" t="s">
        <v>36</v>
      </c>
      <c r="P687" s="22" t="s">
        <v>13</v>
      </c>
      <c r="Q687" s="22" t="s">
        <v>14</v>
      </c>
      <c r="R687" s="22" t="s">
        <v>15</v>
      </c>
      <c r="S687" s="22">
        <v>112781</v>
      </c>
      <c r="T687" s="78">
        <v>12548</v>
      </c>
      <c r="U687" s="23">
        <v>100233</v>
      </c>
    </row>
    <row r="688" spans="1:21">
      <c r="A688" s="5">
        <v>199881</v>
      </c>
      <c r="B688" s="5" t="s">
        <v>10</v>
      </c>
      <c r="C688" s="5" t="s">
        <v>37</v>
      </c>
      <c r="D688" s="5" t="s">
        <v>36</v>
      </c>
      <c r="E688" s="5" t="s">
        <v>13</v>
      </c>
      <c r="F688" s="5" t="s">
        <v>14</v>
      </c>
      <c r="G688" s="5" t="s">
        <v>15</v>
      </c>
      <c r="H688" s="5">
        <v>92935</v>
      </c>
      <c r="I688" s="5">
        <v>1255</v>
      </c>
      <c r="J688" s="6">
        <f t="shared" si="10"/>
        <v>91680</v>
      </c>
      <c r="L688" s="18">
        <v>97312</v>
      </c>
      <c r="M688" s="19" t="s">
        <v>16</v>
      </c>
      <c r="N688" s="19" t="s">
        <v>39</v>
      </c>
      <c r="O688" s="19" t="s">
        <v>32</v>
      </c>
      <c r="P688" s="19" t="s">
        <v>13</v>
      </c>
      <c r="Q688" s="19" t="s">
        <v>14</v>
      </c>
      <c r="R688" s="19" t="s">
        <v>15</v>
      </c>
      <c r="S688" s="19">
        <v>17843</v>
      </c>
      <c r="T688" s="77">
        <v>0</v>
      </c>
      <c r="U688" s="20">
        <v>17843</v>
      </c>
    </row>
    <row r="689" spans="1:21">
      <c r="A689" s="5">
        <v>252786</v>
      </c>
      <c r="B689" s="5" t="s">
        <v>16</v>
      </c>
      <c r="C689" s="5" t="s">
        <v>17</v>
      </c>
      <c r="D689" s="5" t="s">
        <v>32</v>
      </c>
      <c r="E689" s="5" t="s">
        <v>13</v>
      </c>
      <c r="F689" s="5" t="s">
        <v>14</v>
      </c>
      <c r="G689" s="5" t="s">
        <v>24</v>
      </c>
      <c r="H689" s="5">
        <v>5023</v>
      </c>
      <c r="I689" s="5">
        <v>0</v>
      </c>
      <c r="J689" s="6">
        <f t="shared" si="10"/>
        <v>5023</v>
      </c>
      <c r="L689" s="21">
        <v>166553</v>
      </c>
      <c r="M689" s="22" t="s">
        <v>10</v>
      </c>
      <c r="N689" s="22" t="s">
        <v>22</v>
      </c>
      <c r="O689" s="22" t="s">
        <v>30</v>
      </c>
      <c r="P689" s="22" t="s">
        <v>13</v>
      </c>
      <c r="Q689" s="22" t="s">
        <v>14</v>
      </c>
      <c r="R689" s="22" t="s">
        <v>15</v>
      </c>
      <c r="S689" s="22">
        <v>117716</v>
      </c>
      <c r="T689" s="78">
        <v>9327</v>
      </c>
      <c r="U689" s="23">
        <v>108389</v>
      </c>
    </row>
    <row r="690" spans="1:21">
      <c r="A690" s="5">
        <v>82555</v>
      </c>
      <c r="B690" s="5" t="s">
        <v>16</v>
      </c>
      <c r="C690" s="5" t="s">
        <v>34</v>
      </c>
      <c r="D690" s="5" t="s">
        <v>18</v>
      </c>
      <c r="E690" s="5" t="s">
        <v>19</v>
      </c>
      <c r="F690" s="5" t="s">
        <v>28</v>
      </c>
      <c r="G690" s="5" t="s">
        <v>24</v>
      </c>
      <c r="H690" s="5">
        <v>40466</v>
      </c>
      <c r="I690" s="5">
        <v>795</v>
      </c>
      <c r="J690" s="6">
        <f t="shared" si="10"/>
        <v>39671</v>
      </c>
      <c r="L690" s="18">
        <v>237221</v>
      </c>
      <c r="M690" s="19" t="s">
        <v>16</v>
      </c>
      <c r="N690" s="19" t="s">
        <v>17</v>
      </c>
      <c r="O690" s="19" t="s">
        <v>21</v>
      </c>
      <c r="P690" s="19" t="s">
        <v>19</v>
      </c>
      <c r="Q690" s="19" t="s">
        <v>14</v>
      </c>
      <c r="R690" s="19" t="s">
        <v>24</v>
      </c>
      <c r="S690" s="19">
        <v>31064</v>
      </c>
      <c r="T690" s="77">
        <v>282</v>
      </c>
      <c r="U690" s="20">
        <v>30782</v>
      </c>
    </row>
    <row r="691" spans="1:21">
      <c r="A691" s="5">
        <v>7284</v>
      </c>
      <c r="B691" s="5" t="s">
        <v>16</v>
      </c>
      <c r="C691" s="5" t="s">
        <v>38</v>
      </c>
      <c r="D691" s="5" t="s">
        <v>32</v>
      </c>
      <c r="E691" s="5" t="s">
        <v>19</v>
      </c>
      <c r="F691" s="5" t="s">
        <v>28</v>
      </c>
      <c r="G691" s="5" t="s">
        <v>24</v>
      </c>
      <c r="H691" s="5">
        <v>560</v>
      </c>
      <c r="I691" s="5">
        <v>0</v>
      </c>
      <c r="J691" s="6">
        <f t="shared" si="10"/>
        <v>560</v>
      </c>
      <c r="L691" s="21">
        <v>95049</v>
      </c>
      <c r="M691" s="22" t="s">
        <v>10</v>
      </c>
      <c r="N691" s="22" t="s">
        <v>38</v>
      </c>
      <c r="O691" s="22" t="s">
        <v>12</v>
      </c>
      <c r="P691" s="22" t="s">
        <v>13</v>
      </c>
      <c r="Q691" s="22" t="s">
        <v>14</v>
      </c>
      <c r="R691" s="22" t="s">
        <v>15</v>
      </c>
      <c r="S691" s="22">
        <v>328743</v>
      </c>
      <c r="T691" s="78">
        <v>0</v>
      </c>
      <c r="U691" s="23">
        <v>328743</v>
      </c>
    </row>
    <row r="692" spans="1:21">
      <c r="A692" s="5">
        <v>151875</v>
      </c>
      <c r="B692" s="5" t="s">
        <v>10</v>
      </c>
      <c r="C692" s="5" t="s">
        <v>22</v>
      </c>
      <c r="D692" s="5" t="s">
        <v>26</v>
      </c>
      <c r="E692" s="5" t="s">
        <v>13</v>
      </c>
      <c r="F692" s="5" t="s">
        <v>28</v>
      </c>
      <c r="G692" s="5" t="s">
        <v>24</v>
      </c>
      <c r="H692" s="5">
        <v>79168</v>
      </c>
      <c r="I692" s="5">
        <v>1895</v>
      </c>
      <c r="J692" s="6">
        <f t="shared" si="10"/>
        <v>77273</v>
      </c>
      <c r="L692" s="18">
        <v>84823</v>
      </c>
      <c r="M692" s="19" t="s">
        <v>16</v>
      </c>
      <c r="N692" s="19" t="s">
        <v>11</v>
      </c>
      <c r="O692" s="19" t="s">
        <v>18</v>
      </c>
      <c r="P692" s="19" t="s">
        <v>19</v>
      </c>
      <c r="Q692" s="19" t="s">
        <v>14</v>
      </c>
      <c r="R692" s="19" t="s">
        <v>15</v>
      </c>
      <c r="S692" s="19">
        <v>49063</v>
      </c>
      <c r="T692" s="77">
        <v>1000</v>
      </c>
      <c r="U692" s="20">
        <v>48063</v>
      </c>
    </row>
    <row r="693" spans="1:21">
      <c r="A693" s="5">
        <v>89513</v>
      </c>
      <c r="B693" s="5" t="s">
        <v>10</v>
      </c>
      <c r="C693" s="5" t="s">
        <v>38</v>
      </c>
      <c r="D693" s="5" t="s">
        <v>32</v>
      </c>
      <c r="E693" s="5" t="s">
        <v>19</v>
      </c>
      <c r="F693" s="5" t="s">
        <v>28</v>
      </c>
      <c r="G693" s="5" t="s">
        <v>24</v>
      </c>
      <c r="H693" s="5">
        <v>19087</v>
      </c>
      <c r="I693" s="5">
        <v>0</v>
      </c>
      <c r="J693" s="6">
        <f t="shared" si="10"/>
        <v>19087</v>
      </c>
      <c r="L693" s="21">
        <v>92893</v>
      </c>
      <c r="M693" s="22" t="s">
        <v>16</v>
      </c>
      <c r="N693" s="22" t="s">
        <v>37</v>
      </c>
      <c r="O693" s="22" t="s">
        <v>30</v>
      </c>
      <c r="P693" s="22" t="s">
        <v>13</v>
      </c>
      <c r="Q693" s="22" t="s">
        <v>14</v>
      </c>
      <c r="R693" s="22" t="s">
        <v>15</v>
      </c>
      <c r="S693" s="22">
        <v>26983</v>
      </c>
      <c r="T693" s="78">
        <v>1109</v>
      </c>
      <c r="U693" s="23">
        <v>25874</v>
      </c>
    </row>
    <row r="694" spans="1:21">
      <c r="A694" s="5">
        <v>235265</v>
      </c>
      <c r="B694" s="5" t="s">
        <v>10</v>
      </c>
      <c r="C694" s="5" t="s">
        <v>17</v>
      </c>
      <c r="D694" s="5" t="s">
        <v>23</v>
      </c>
      <c r="E694" s="5" t="s">
        <v>13</v>
      </c>
      <c r="F694" s="5" t="s">
        <v>14</v>
      </c>
      <c r="G694" s="5" t="s">
        <v>15</v>
      </c>
      <c r="H694" s="5">
        <v>43712</v>
      </c>
      <c r="I694" s="5">
        <v>538</v>
      </c>
      <c r="J694" s="6">
        <f t="shared" si="10"/>
        <v>43174</v>
      </c>
      <c r="L694" s="18">
        <v>91058</v>
      </c>
      <c r="M694" s="19" t="s">
        <v>16</v>
      </c>
      <c r="N694" s="19" t="s">
        <v>38</v>
      </c>
      <c r="O694" s="19" t="s">
        <v>18</v>
      </c>
      <c r="P694" s="19" t="s">
        <v>13</v>
      </c>
      <c r="Q694" s="19" t="s">
        <v>14</v>
      </c>
      <c r="R694" s="19" t="s">
        <v>15</v>
      </c>
      <c r="S694" s="19">
        <v>18227</v>
      </c>
      <c r="T694" s="77">
        <v>481</v>
      </c>
      <c r="U694" s="20">
        <v>17746</v>
      </c>
    </row>
    <row r="695" spans="1:21">
      <c r="A695" s="5">
        <v>161513</v>
      </c>
      <c r="B695" s="5" t="s">
        <v>10</v>
      </c>
      <c r="C695" s="5" t="s">
        <v>25</v>
      </c>
      <c r="D695" s="5" t="s">
        <v>30</v>
      </c>
      <c r="E695" s="5" t="s">
        <v>13</v>
      </c>
      <c r="F695" s="5" t="s">
        <v>28</v>
      </c>
      <c r="G695" s="5" t="s">
        <v>15</v>
      </c>
      <c r="H695" s="5">
        <v>24109</v>
      </c>
      <c r="I695" s="5">
        <v>2931</v>
      </c>
      <c r="J695" s="6">
        <f t="shared" si="10"/>
        <v>21178</v>
      </c>
      <c r="L695" s="21">
        <v>45215</v>
      </c>
      <c r="M695" s="22" t="s">
        <v>16</v>
      </c>
      <c r="N695" s="22" t="s">
        <v>35</v>
      </c>
      <c r="O695" s="22" t="s">
        <v>36</v>
      </c>
      <c r="P695" s="22" t="s">
        <v>13</v>
      </c>
      <c r="Q695" s="22" t="s">
        <v>14</v>
      </c>
      <c r="R695" s="22" t="s">
        <v>24</v>
      </c>
      <c r="S695" s="22">
        <v>15687</v>
      </c>
      <c r="T695" s="78">
        <v>394</v>
      </c>
      <c r="U695" s="23">
        <v>15293</v>
      </c>
    </row>
    <row r="696" spans="1:21">
      <c r="A696" s="5">
        <v>193943</v>
      </c>
      <c r="B696" s="5" t="s">
        <v>16</v>
      </c>
      <c r="C696" s="5" t="s">
        <v>11</v>
      </c>
      <c r="D696" s="5" t="s">
        <v>33</v>
      </c>
      <c r="E696" s="5" t="s">
        <v>19</v>
      </c>
      <c r="F696" s="5" t="s">
        <v>28</v>
      </c>
      <c r="G696" s="5" t="s">
        <v>15</v>
      </c>
      <c r="H696" s="5">
        <v>74283</v>
      </c>
      <c r="I696" s="5">
        <v>552</v>
      </c>
      <c r="J696" s="6">
        <f t="shared" si="10"/>
        <v>73731</v>
      </c>
      <c r="L696" s="18">
        <v>133960</v>
      </c>
      <c r="M696" s="19" t="s">
        <v>10</v>
      </c>
      <c r="N696" s="19" t="s">
        <v>31</v>
      </c>
      <c r="O696" s="19" t="s">
        <v>26</v>
      </c>
      <c r="P696" s="19" t="s">
        <v>19</v>
      </c>
      <c r="Q696" s="19" t="s">
        <v>14</v>
      </c>
      <c r="R696" s="19" t="s">
        <v>24</v>
      </c>
      <c r="S696" s="19">
        <v>5369</v>
      </c>
      <c r="T696" s="77">
        <v>270</v>
      </c>
      <c r="U696" s="20">
        <v>5099</v>
      </c>
    </row>
    <row r="697" spans="1:21">
      <c r="A697" s="5">
        <v>147549</v>
      </c>
      <c r="B697" s="5" t="s">
        <v>10</v>
      </c>
      <c r="C697" s="5" t="s">
        <v>31</v>
      </c>
      <c r="D697" s="5" t="s">
        <v>23</v>
      </c>
      <c r="E697" s="5" t="s">
        <v>19</v>
      </c>
      <c r="F697" s="5" t="s">
        <v>28</v>
      </c>
      <c r="G697" s="5" t="s">
        <v>24</v>
      </c>
      <c r="H697" s="5">
        <v>27072</v>
      </c>
      <c r="I697" s="5">
        <v>661</v>
      </c>
      <c r="J697" s="6">
        <f t="shared" si="10"/>
        <v>26411</v>
      </c>
      <c r="L697" s="21">
        <v>214730</v>
      </c>
      <c r="M697" s="22" t="s">
        <v>16</v>
      </c>
      <c r="N697" s="22" t="s">
        <v>34</v>
      </c>
      <c r="O697" s="22" t="s">
        <v>30</v>
      </c>
      <c r="P697" s="22" t="s">
        <v>13</v>
      </c>
      <c r="Q697" s="22" t="s">
        <v>14</v>
      </c>
      <c r="R697" s="22" t="s">
        <v>15</v>
      </c>
      <c r="S697" s="22">
        <v>69307</v>
      </c>
      <c r="T697" s="78">
        <v>0</v>
      </c>
      <c r="U697" s="23">
        <v>69307</v>
      </c>
    </row>
    <row r="698" spans="1:21">
      <c r="A698" s="5">
        <v>130304</v>
      </c>
      <c r="B698" s="5" t="s">
        <v>16</v>
      </c>
      <c r="C698" s="5" t="s">
        <v>22</v>
      </c>
      <c r="D698" s="5" t="s">
        <v>36</v>
      </c>
      <c r="E698" s="5" t="s">
        <v>19</v>
      </c>
      <c r="F698" s="5" t="s">
        <v>14</v>
      </c>
      <c r="G698" s="5" t="s">
        <v>24</v>
      </c>
      <c r="H698" s="5">
        <v>29568</v>
      </c>
      <c r="I698" s="5">
        <v>614</v>
      </c>
      <c r="J698" s="6">
        <f t="shared" si="10"/>
        <v>28954</v>
      </c>
      <c r="L698" s="18">
        <v>138562</v>
      </c>
      <c r="M698" s="19" t="s">
        <v>16</v>
      </c>
      <c r="N698" s="19" t="s">
        <v>22</v>
      </c>
      <c r="O698" s="19" t="s">
        <v>30</v>
      </c>
      <c r="P698" s="19" t="s">
        <v>13</v>
      </c>
      <c r="Q698" s="19" t="s">
        <v>14</v>
      </c>
      <c r="R698" s="19" t="s">
        <v>15</v>
      </c>
      <c r="S698" s="19">
        <v>86371</v>
      </c>
      <c r="T698" s="77">
        <v>4503</v>
      </c>
      <c r="U698" s="20">
        <v>81868</v>
      </c>
    </row>
    <row r="699" spans="1:21">
      <c r="A699" s="5">
        <v>24753</v>
      </c>
      <c r="B699" s="5" t="s">
        <v>10</v>
      </c>
      <c r="C699" s="5" t="s">
        <v>11</v>
      </c>
      <c r="D699" s="5" t="s">
        <v>23</v>
      </c>
      <c r="E699" s="5" t="s">
        <v>13</v>
      </c>
      <c r="F699" s="5" t="s">
        <v>14</v>
      </c>
      <c r="G699" s="5" t="s">
        <v>15</v>
      </c>
      <c r="H699" s="5">
        <v>72248</v>
      </c>
      <c r="I699" s="5">
        <v>1331</v>
      </c>
      <c r="J699" s="6">
        <f t="shared" si="10"/>
        <v>70917</v>
      </c>
      <c r="L699" s="21">
        <v>38177</v>
      </c>
      <c r="M699" s="22" t="s">
        <v>16</v>
      </c>
      <c r="N699" s="22" t="s">
        <v>37</v>
      </c>
      <c r="O699" s="22" t="s">
        <v>26</v>
      </c>
      <c r="P699" s="22" t="s">
        <v>13</v>
      </c>
      <c r="Q699" s="22" t="s">
        <v>14</v>
      </c>
      <c r="R699" s="22" t="s">
        <v>15</v>
      </c>
      <c r="S699" s="22">
        <v>21247</v>
      </c>
      <c r="T699" s="78">
        <v>568</v>
      </c>
      <c r="U699" s="23">
        <v>20679</v>
      </c>
    </row>
    <row r="700" spans="1:21">
      <c r="A700" s="5">
        <v>112634</v>
      </c>
      <c r="B700" s="5" t="s">
        <v>10</v>
      </c>
      <c r="C700" s="5" t="s">
        <v>27</v>
      </c>
      <c r="D700" s="5" t="s">
        <v>23</v>
      </c>
      <c r="E700" s="5" t="s">
        <v>13</v>
      </c>
      <c r="F700" s="5" t="s">
        <v>14</v>
      </c>
      <c r="G700" s="5" t="s">
        <v>24</v>
      </c>
      <c r="H700" s="5">
        <v>124770</v>
      </c>
      <c r="I700" s="5">
        <v>26221</v>
      </c>
      <c r="J700" s="6">
        <f t="shared" si="10"/>
        <v>98549</v>
      </c>
      <c r="L700" s="18">
        <v>155738</v>
      </c>
      <c r="M700" s="19" t="s">
        <v>16</v>
      </c>
      <c r="N700" s="19" t="s">
        <v>38</v>
      </c>
      <c r="O700" s="19" t="s">
        <v>30</v>
      </c>
      <c r="P700" s="19" t="s">
        <v>13</v>
      </c>
      <c r="Q700" s="19" t="s">
        <v>14</v>
      </c>
      <c r="R700" s="19" t="s">
        <v>15</v>
      </c>
      <c r="S700" s="19">
        <v>13556</v>
      </c>
      <c r="T700" s="77">
        <v>0</v>
      </c>
      <c r="U700" s="20">
        <v>13556</v>
      </c>
    </row>
    <row r="701" spans="1:21">
      <c r="A701" s="5">
        <v>244553</v>
      </c>
      <c r="B701" s="5" t="s">
        <v>16</v>
      </c>
      <c r="C701" s="5" t="s">
        <v>17</v>
      </c>
      <c r="D701" s="5" t="s">
        <v>12</v>
      </c>
      <c r="E701" s="5" t="s">
        <v>19</v>
      </c>
      <c r="F701" s="5" t="s">
        <v>14</v>
      </c>
      <c r="G701" s="5" t="s">
        <v>24</v>
      </c>
      <c r="H701" s="5">
        <v>31481</v>
      </c>
      <c r="I701" s="5">
        <v>1182</v>
      </c>
      <c r="J701" s="6">
        <f t="shared" si="10"/>
        <v>30299</v>
      </c>
      <c r="L701" s="21">
        <v>119844</v>
      </c>
      <c r="M701" s="22" t="s">
        <v>10</v>
      </c>
      <c r="N701" s="22" t="s">
        <v>11</v>
      </c>
      <c r="O701" s="22" t="s">
        <v>30</v>
      </c>
      <c r="P701" s="22" t="s">
        <v>13</v>
      </c>
      <c r="Q701" s="22" t="s">
        <v>14</v>
      </c>
      <c r="R701" s="22" t="s">
        <v>24</v>
      </c>
      <c r="S701" s="22">
        <v>65600</v>
      </c>
      <c r="T701" s="78">
        <v>2501</v>
      </c>
      <c r="U701" s="23">
        <v>63099</v>
      </c>
    </row>
    <row r="702" spans="1:21">
      <c r="A702" s="5">
        <v>39252</v>
      </c>
      <c r="B702" s="5" t="s">
        <v>16</v>
      </c>
      <c r="C702" s="5" t="s">
        <v>37</v>
      </c>
      <c r="D702" s="5" t="s">
        <v>33</v>
      </c>
      <c r="E702" s="5" t="s">
        <v>13</v>
      </c>
      <c r="F702" s="5" t="s">
        <v>28</v>
      </c>
      <c r="G702" s="5" t="s">
        <v>15</v>
      </c>
      <c r="H702" s="5">
        <v>71534</v>
      </c>
      <c r="I702" s="5">
        <v>1001</v>
      </c>
      <c r="J702" s="6">
        <f t="shared" si="10"/>
        <v>70533</v>
      </c>
      <c r="L702" s="18">
        <v>173864</v>
      </c>
      <c r="M702" s="19" t="s">
        <v>10</v>
      </c>
      <c r="N702" s="19" t="s">
        <v>22</v>
      </c>
      <c r="O702" s="19" t="s">
        <v>26</v>
      </c>
      <c r="P702" s="19" t="s">
        <v>19</v>
      </c>
      <c r="Q702" s="19" t="s">
        <v>14</v>
      </c>
      <c r="R702" s="19" t="s">
        <v>24</v>
      </c>
      <c r="S702" s="19">
        <v>60941</v>
      </c>
      <c r="T702" s="77">
        <v>2146</v>
      </c>
      <c r="U702" s="20">
        <v>58795</v>
      </c>
    </row>
    <row r="703" spans="1:21">
      <c r="A703" s="5">
        <v>36295</v>
      </c>
      <c r="B703" s="5" t="s">
        <v>16</v>
      </c>
      <c r="C703" s="5" t="s">
        <v>11</v>
      </c>
      <c r="D703" s="5" t="s">
        <v>33</v>
      </c>
      <c r="E703" s="5" t="s">
        <v>13</v>
      </c>
      <c r="F703" s="5" t="s">
        <v>14</v>
      </c>
      <c r="G703" s="5" t="s">
        <v>24</v>
      </c>
      <c r="H703" s="5">
        <v>55183</v>
      </c>
      <c r="I703" s="5">
        <v>520</v>
      </c>
      <c r="J703" s="6">
        <f t="shared" si="10"/>
        <v>54663</v>
      </c>
      <c r="L703" s="21">
        <v>216383</v>
      </c>
      <c r="M703" s="22" t="s">
        <v>10</v>
      </c>
      <c r="N703" s="22" t="s">
        <v>34</v>
      </c>
      <c r="O703" s="22" t="s">
        <v>29</v>
      </c>
      <c r="P703" s="22" t="s">
        <v>13</v>
      </c>
      <c r="Q703" s="22" t="s">
        <v>14</v>
      </c>
      <c r="R703" s="22" t="s">
        <v>15</v>
      </c>
      <c r="S703" s="22">
        <v>94472</v>
      </c>
      <c r="T703" s="78">
        <v>8991</v>
      </c>
      <c r="U703" s="23">
        <v>85481</v>
      </c>
    </row>
    <row r="704" spans="1:21">
      <c r="A704" s="5">
        <v>5787</v>
      </c>
      <c r="B704" s="5" t="s">
        <v>10</v>
      </c>
      <c r="C704" s="5" t="s">
        <v>38</v>
      </c>
      <c r="D704" s="5" t="s">
        <v>12</v>
      </c>
      <c r="E704" s="5" t="s">
        <v>13</v>
      </c>
      <c r="F704" s="5" t="s">
        <v>14</v>
      </c>
      <c r="G704" s="5" t="s">
        <v>15</v>
      </c>
      <c r="H704" s="5">
        <v>403365</v>
      </c>
      <c r="I704" s="5">
        <v>7349</v>
      </c>
      <c r="J704" s="6">
        <f t="shared" si="10"/>
        <v>396016</v>
      </c>
      <c r="L704" s="18">
        <v>9205</v>
      </c>
      <c r="M704" s="19" t="s">
        <v>10</v>
      </c>
      <c r="N704" s="19" t="s">
        <v>34</v>
      </c>
      <c r="O704" s="19" t="s">
        <v>36</v>
      </c>
      <c r="P704" s="19" t="s">
        <v>13</v>
      </c>
      <c r="Q704" s="19" t="s">
        <v>14</v>
      </c>
      <c r="R704" s="19" t="s">
        <v>15</v>
      </c>
      <c r="S704" s="19">
        <v>77297</v>
      </c>
      <c r="T704" s="77">
        <v>1271</v>
      </c>
      <c r="U704" s="20">
        <v>76026</v>
      </c>
    </row>
    <row r="705" spans="1:21">
      <c r="A705" s="5">
        <v>24663</v>
      </c>
      <c r="B705" s="5" t="s">
        <v>10</v>
      </c>
      <c r="C705" s="5" t="s">
        <v>11</v>
      </c>
      <c r="D705" s="5" t="s">
        <v>26</v>
      </c>
      <c r="E705" s="5" t="s">
        <v>13</v>
      </c>
      <c r="F705" s="5" t="s">
        <v>14</v>
      </c>
      <c r="G705" s="5" t="s">
        <v>24</v>
      </c>
      <c r="H705" s="5">
        <v>161394</v>
      </c>
      <c r="I705" s="5">
        <v>4678</v>
      </c>
      <c r="J705" s="6">
        <f t="shared" si="10"/>
        <v>156716</v>
      </c>
      <c r="L705" s="21">
        <v>50965</v>
      </c>
      <c r="M705" s="22" t="s">
        <v>16</v>
      </c>
      <c r="N705" s="22" t="s">
        <v>35</v>
      </c>
      <c r="O705" s="22" t="s">
        <v>33</v>
      </c>
      <c r="P705" s="22" t="s">
        <v>13</v>
      </c>
      <c r="Q705" s="22" t="s">
        <v>14</v>
      </c>
      <c r="R705" s="22" t="s">
        <v>15</v>
      </c>
      <c r="S705" s="22">
        <v>32763</v>
      </c>
      <c r="T705" s="78">
        <v>283</v>
      </c>
      <c r="U705" s="23">
        <v>32480</v>
      </c>
    </row>
    <row r="706" spans="1:21">
      <c r="A706" s="5">
        <v>62368</v>
      </c>
      <c r="B706" s="5" t="s">
        <v>16</v>
      </c>
      <c r="C706" s="5" t="s">
        <v>38</v>
      </c>
      <c r="D706" s="5" t="s">
        <v>32</v>
      </c>
      <c r="E706" s="5" t="s">
        <v>13</v>
      </c>
      <c r="F706" s="5" t="s">
        <v>14</v>
      </c>
      <c r="G706" s="5" t="s">
        <v>15</v>
      </c>
      <c r="H706" s="5">
        <v>26245</v>
      </c>
      <c r="I706" s="5">
        <v>1489</v>
      </c>
      <c r="J706" s="6">
        <f t="shared" ref="J706:J769" si="11">H706-I706</f>
        <v>24756</v>
      </c>
      <c r="L706" s="18">
        <v>15545</v>
      </c>
      <c r="M706" s="19" t="s">
        <v>16</v>
      </c>
      <c r="N706" s="19" t="s">
        <v>11</v>
      </c>
      <c r="O706" s="19" t="s">
        <v>30</v>
      </c>
      <c r="P706" s="19" t="s">
        <v>13</v>
      </c>
      <c r="Q706" s="19" t="s">
        <v>14</v>
      </c>
      <c r="R706" s="19" t="s">
        <v>15</v>
      </c>
      <c r="S706" s="19">
        <v>38194</v>
      </c>
      <c r="T706" s="77">
        <v>8101</v>
      </c>
      <c r="U706" s="20">
        <v>30093</v>
      </c>
    </row>
    <row r="707" spans="1:21">
      <c r="A707" s="5">
        <v>49875</v>
      </c>
      <c r="B707" s="5" t="s">
        <v>10</v>
      </c>
      <c r="C707" s="5" t="s">
        <v>35</v>
      </c>
      <c r="D707" s="5" t="s">
        <v>30</v>
      </c>
      <c r="E707" s="5" t="s">
        <v>13</v>
      </c>
      <c r="F707" s="5" t="s">
        <v>14</v>
      </c>
      <c r="G707" s="5" t="s">
        <v>15</v>
      </c>
      <c r="H707" s="5">
        <v>308731</v>
      </c>
      <c r="I707" s="5">
        <v>4609</v>
      </c>
      <c r="J707" s="6">
        <f t="shared" si="11"/>
        <v>304122</v>
      </c>
      <c r="L707" s="21">
        <v>47458</v>
      </c>
      <c r="M707" s="22" t="s">
        <v>10</v>
      </c>
      <c r="N707" s="22" t="s">
        <v>11</v>
      </c>
      <c r="O707" s="22" t="s">
        <v>32</v>
      </c>
      <c r="P707" s="22" t="s">
        <v>19</v>
      </c>
      <c r="Q707" s="22" t="s">
        <v>14</v>
      </c>
      <c r="R707" s="22" t="s">
        <v>24</v>
      </c>
      <c r="S707" s="22">
        <v>19101</v>
      </c>
      <c r="T707" s="78">
        <v>0</v>
      </c>
      <c r="U707" s="23">
        <v>19101</v>
      </c>
    </row>
    <row r="708" spans="1:21">
      <c r="A708" s="5">
        <v>235271</v>
      </c>
      <c r="B708" s="5" t="s">
        <v>10</v>
      </c>
      <c r="C708" s="5" t="s">
        <v>17</v>
      </c>
      <c r="D708" s="5" t="s">
        <v>21</v>
      </c>
      <c r="E708" s="5" t="s">
        <v>13</v>
      </c>
      <c r="F708" s="5" t="s">
        <v>14</v>
      </c>
      <c r="G708" s="5" t="s">
        <v>24</v>
      </c>
      <c r="H708" s="5">
        <v>77110</v>
      </c>
      <c r="I708" s="5">
        <v>6523</v>
      </c>
      <c r="J708" s="6">
        <f t="shared" si="11"/>
        <v>70587</v>
      </c>
      <c r="L708" s="18">
        <v>43154</v>
      </c>
      <c r="M708" s="19" t="s">
        <v>16</v>
      </c>
      <c r="N708" s="19" t="s">
        <v>11</v>
      </c>
      <c r="O708" s="19" t="s">
        <v>30</v>
      </c>
      <c r="P708" s="19" t="s">
        <v>19</v>
      </c>
      <c r="Q708" s="19" t="s">
        <v>14</v>
      </c>
      <c r="R708" s="19" t="s">
        <v>15</v>
      </c>
      <c r="S708" s="19">
        <v>71716</v>
      </c>
      <c r="T708" s="77">
        <v>2334</v>
      </c>
      <c r="U708" s="20">
        <v>69382</v>
      </c>
    </row>
    <row r="709" spans="1:21">
      <c r="A709" s="5">
        <v>229718</v>
      </c>
      <c r="B709" s="5" t="s">
        <v>10</v>
      </c>
      <c r="C709" s="5" t="s">
        <v>25</v>
      </c>
      <c r="D709" s="5" t="s">
        <v>29</v>
      </c>
      <c r="E709" s="5" t="s">
        <v>13</v>
      </c>
      <c r="F709" s="5" t="s">
        <v>14</v>
      </c>
      <c r="G709" s="5" t="s">
        <v>15</v>
      </c>
      <c r="H709" s="5">
        <v>142769</v>
      </c>
      <c r="I709" s="5">
        <v>3344</v>
      </c>
      <c r="J709" s="6">
        <f t="shared" si="11"/>
        <v>139425</v>
      </c>
      <c r="L709" s="21">
        <v>141693</v>
      </c>
      <c r="M709" s="22" t="s">
        <v>10</v>
      </c>
      <c r="N709" s="22" t="s">
        <v>31</v>
      </c>
      <c r="O709" s="22" t="s">
        <v>26</v>
      </c>
      <c r="P709" s="22" t="s">
        <v>19</v>
      </c>
      <c r="Q709" s="22" t="s">
        <v>14</v>
      </c>
      <c r="R709" s="22" t="s">
        <v>24</v>
      </c>
      <c r="S709" s="22">
        <v>21626</v>
      </c>
      <c r="T709" s="78">
        <v>540</v>
      </c>
      <c r="U709" s="23">
        <v>21086</v>
      </c>
    </row>
    <row r="710" spans="1:21">
      <c r="A710" s="5">
        <v>249239</v>
      </c>
      <c r="B710" s="5" t="s">
        <v>10</v>
      </c>
      <c r="C710" s="5" t="s">
        <v>17</v>
      </c>
      <c r="D710" s="5" t="s">
        <v>33</v>
      </c>
      <c r="E710" s="5" t="s">
        <v>19</v>
      </c>
      <c r="F710" s="5" t="s">
        <v>28</v>
      </c>
      <c r="G710" s="5" t="s">
        <v>15</v>
      </c>
      <c r="H710" s="5">
        <v>39258</v>
      </c>
      <c r="I710" s="5">
        <v>0</v>
      </c>
      <c r="J710" s="6">
        <f t="shared" si="11"/>
        <v>39258</v>
      </c>
      <c r="L710" s="18">
        <v>248962</v>
      </c>
      <c r="M710" s="19" t="s">
        <v>16</v>
      </c>
      <c r="N710" s="19" t="s">
        <v>25</v>
      </c>
      <c r="O710" s="19" t="s">
        <v>18</v>
      </c>
      <c r="P710" s="19" t="s">
        <v>13</v>
      </c>
      <c r="Q710" s="19" t="s">
        <v>14</v>
      </c>
      <c r="R710" s="19" t="s">
        <v>15</v>
      </c>
      <c r="S710" s="19">
        <v>23782</v>
      </c>
      <c r="T710" s="77">
        <v>273</v>
      </c>
      <c r="U710" s="20">
        <v>23509</v>
      </c>
    </row>
    <row r="711" spans="1:21">
      <c r="A711" s="5">
        <v>238766</v>
      </c>
      <c r="B711" s="5" t="s">
        <v>10</v>
      </c>
      <c r="C711" s="5" t="s">
        <v>17</v>
      </c>
      <c r="D711" s="5" t="s">
        <v>23</v>
      </c>
      <c r="E711" s="5" t="s">
        <v>19</v>
      </c>
      <c r="F711" s="5" t="s">
        <v>14</v>
      </c>
      <c r="G711" s="5" t="s">
        <v>24</v>
      </c>
      <c r="H711" s="5">
        <v>25625</v>
      </c>
      <c r="I711" s="5">
        <v>337</v>
      </c>
      <c r="J711" s="6">
        <f t="shared" si="11"/>
        <v>25288</v>
      </c>
      <c r="L711" s="21">
        <v>35604</v>
      </c>
      <c r="M711" s="22" t="s">
        <v>16</v>
      </c>
      <c r="N711" s="22" t="s">
        <v>35</v>
      </c>
      <c r="O711" s="22" t="s">
        <v>18</v>
      </c>
      <c r="P711" s="22" t="s">
        <v>19</v>
      </c>
      <c r="Q711" s="22" t="s">
        <v>14</v>
      </c>
      <c r="R711" s="22" t="s">
        <v>24</v>
      </c>
      <c r="S711" s="22">
        <v>43570</v>
      </c>
      <c r="T711" s="78">
        <v>939</v>
      </c>
      <c r="U711" s="23">
        <v>42631</v>
      </c>
    </row>
    <row r="712" spans="1:21">
      <c r="A712" s="5">
        <v>6340</v>
      </c>
      <c r="B712" s="5" t="s">
        <v>10</v>
      </c>
      <c r="C712" s="5" t="s">
        <v>39</v>
      </c>
      <c r="D712" s="5" t="s">
        <v>33</v>
      </c>
      <c r="E712" s="5" t="s">
        <v>13</v>
      </c>
      <c r="F712" s="5" t="s">
        <v>14</v>
      </c>
      <c r="G712" s="5" t="s">
        <v>15</v>
      </c>
      <c r="H712" s="5">
        <v>74710</v>
      </c>
      <c r="I712" s="5">
        <v>8333</v>
      </c>
      <c r="J712" s="6">
        <f t="shared" si="11"/>
        <v>66377</v>
      </c>
      <c r="L712" s="18">
        <v>234753</v>
      </c>
      <c r="M712" s="19" t="s">
        <v>16</v>
      </c>
      <c r="N712" s="19" t="s">
        <v>27</v>
      </c>
      <c r="O712" s="19" t="s">
        <v>12</v>
      </c>
      <c r="P712" s="19" t="s">
        <v>19</v>
      </c>
      <c r="Q712" s="19" t="s">
        <v>14</v>
      </c>
      <c r="R712" s="19" t="s">
        <v>24</v>
      </c>
      <c r="S712" s="19">
        <v>25239</v>
      </c>
      <c r="T712" s="77">
        <v>431</v>
      </c>
      <c r="U712" s="20">
        <v>24808</v>
      </c>
    </row>
    <row r="713" spans="1:21">
      <c r="A713" s="5">
        <v>151973</v>
      </c>
      <c r="B713" s="5" t="s">
        <v>16</v>
      </c>
      <c r="C713" s="5" t="s">
        <v>22</v>
      </c>
      <c r="D713" s="5" t="s">
        <v>30</v>
      </c>
      <c r="E713" s="5" t="s">
        <v>13</v>
      </c>
      <c r="F713" s="5" t="s">
        <v>14</v>
      </c>
      <c r="G713" s="5" t="s">
        <v>15</v>
      </c>
      <c r="H713" s="5">
        <v>18458</v>
      </c>
      <c r="I713" s="5">
        <v>343</v>
      </c>
      <c r="J713" s="6">
        <f t="shared" si="11"/>
        <v>18115</v>
      </c>
      <c r="L713" s="21">
        <v>221400</v>
      </c>
      <c r="M713" s="22" t="s">
        <v>16</v>
      </c>
      <c r="N713" s="22" t="s">
        <v>25</v>
      </c>
      <c r="O713" s="22" t="s">
        <v>33</v>
      </c>
      <c r="P713" s="22" t="s">
        <v>19</v>
      </c>
      <c r="Q713" s="22" t="s">
        <v>14</v>
      </c>
      <c r="R713" s="22" t="s">
        <v>24</v>
      </c>
      <c r="S713" s="22">
        <v>53544</v>
      </c>
      <c r="T713" s="78">
        <v>1300</v>
      </c>
      <c r="U713" s="23">
        <v>52244</v>
      </c>
    </row>
    <row r="714" spans="1:21">
      <c r="A714" s="5">
        <v>141007</v>
      </c>
      <c r="B714" s="5" t="s">
        <v>10</v>
      </c>
      <c r="C714" s="5" t="s">
        <v>17</v>
      </c>
      <c r="D714" s="5" t="s">
        <v>18</v>
      </c>
      <c r="E714" s="5" t="s">
        <v>19</v>
      </c>
      <c r="F714" s="5" t="s">
        <v>14</v>
      </c>
      <c r="G714" s="5" t="s">
        <v>24</v>
      </c>
      <c r="H714" s="5">
        <v>63024</v>
      </c>
      <c r="I714" s="5">
        <v>482</v>
      </c>
      <c r="J714" s="6">
        <f t="shared" si="11"/>
        <v>62542</v>
      </c>
      <c r="L714" s="18">
        <v>94204</v>
      </c>
      <c r="M714" s="19" t="s">
        <v>16</v>
      </c>
      <c r="N714" s="19" t="s">
        <v>37</v>
      </c>
      <c r="O714" s="19" t="s">
        <v>30</v>
      </c>
      <c r="P714" s="19" t="s">
        <v>13</v>
      </c>
      <c r="Q714" s="19" t="s">
        <v>14</v>
      </c>
      <c r="R714" s="19" t="s">
        <v>15</v>
      </c>
      <c r="S714" s="19">
        <v>125466</v>
      </c>
      <c r="T714" s="77">
        <v>21075</v>
      </c>
      <c r="U714" s="20">
        <v>104391</v>
      </c>
    </row>
    <row r="715" spans="1:21">
      <c r="A715" s="5">
        <v>154205</v>
      </c>
      <c r="B715" s="5" t="s">
        <v>10</v>
      </c>
      <c r="C715" s="5" t="s">
        <v>22</v>
      </c>
      <c r="D715" s="5" t="s">
        <v>30</v>
      </c>
      <c r="E715" s="5" t="s">
        <v>13</v>
      </c>
      <c r="F715" s="5" t="s">
        <v>28</v>
      </c>
      <c r="G715" s="5" t="s">
        <v>15</v>
      </c>
      <c r="H715" s="5">
        <v>82987</v>
      </c>
      <c r="I715" s="5">
        <v>2399</v>
      </c>
      <c r="J715" s="6">
        <f t="shared" si="11"/>
        <v>80588</v>
      </c>
      <c r="L715" s="21">
        <v>233508</v>
      </c>
      <c r="M715" s="22" t="s">
        <v>10</v>
      </c>
      <c r="N715" s="22" t="s">
        <v>17</v>
      </c>
      <c r="O715" s="22" t="s">
        <v>30</v>
      </c>
      <c r="P715" s="22" t="s">
        <v>19</v>
      </c>
      <c r="Q715" s="22" t="s">
        <v>14</v>
      </c>
      <c r="R715" s="22" t="s">
        <v>24</v>
      </c>
      <c r="S715" s="22">
        <v>54503</v>
      </c>
      <c r="T715" s="78">
        <v>3353</v>
      </c>
      <c r="U715" s="23">
        <v>51150</v>
      </c>
    </row>
    <row r="716" spans="1:21">
      <c r="A716" s="5">
        <v>15878</v>
      </c>
      <c r="B716" s="5" t="s">
        <v>10</v>
      </c>
      <c r="C716" s="5" t="s">
        <v>11</v>
      </c>
      <c r="D716" s="5" t="s">
        <v>30</v>
      </c>
      <c r="E716" s="5" t="s">
        <v>13</v>
      </c>
      <c r="F716" s="5" t="s">
        <v>14</v>
      </c>
      <c r="G716" s="5" t="s">
        <v>15</v>
      </c>
      <c r="H716" s="5">
        <v>47465</v>
      </c>
      <c r="I716" s="5">
        <v>2527</v>
      </c>
      <c r="J716" s="6">
        <f t="shared" si="11"/>
        <v>44938</v>
      </c>
      <c r="L716" s="18">
        <v>60482</v>
      </c>
      <c r="M716" s="19" t="s">
        <v>16</v>
      </c>
      <c r="N716" s="19" t="s">
        <v>35</v>
      </c>
      <c r="O716" s="19" t="s">
        <v>12</v>
      </c>
      <c r="P716" s="19" t="s">
        <v>19</v>
      </c>
      <c r="Q716" s="19" t="s">
        <v>14</v>
      </c>
      <c r="R716" s="19" t="s">
        <v>15</v>
      </c>
      <c r="S716" s="19">
        <v>57941</v>
      </c>
      <c r="T716" s="77">
        <v>804</v>
      </c>
      <c r="U716" s="20">
        <v>57137</v>
      </c>
    </row>
    <row r="717" spans="1:21">
      <c r="A717" s="5">
        <v>159237</v>
      </c>
      <c r="B717" s="5" t="s">
        <v>16</v>
      </c>
      <c r="C717" s="5" t="s">
        <v>34</v>
      </c>
      <c r="D717" s="5" t="s">
        <v>29</v>
      </c>
      <c r="E717" s="5" t="s">
        <v>19</v>
      </c>
      <c r="F717" s="5" t="s">
        <v>14</v>
      </c>
      <c r="G717" s="5" t="s">
        <v>24</v>
      </c>
      <c r="H717" s="5">
        <v>29069</v>
      </c>
      <c r="I717" s="5">
        <v>2047</v>
      </c>
      <c r="J717" s="6">
        <f t="shared" si="11"/>
        <v>27022</v>
      </c>
      <c r="L717" s="21">
        <v>78884</v>
      </c>
      <c r="M717" s="22" t="s">
        <v>10</v>
      </c>
      <c r="N717" s="22" t="s">
        <v>39</v>
      </c>
      <c r="O717" s="22" t="s">
        <v>32</v>
      </c>
      <c r="P717" s="22" t="s">
        <v>13</v>
      </c>
      <c r="Q717" s="22" t="s">
        <v>14</v>
      </c>
      <c r="R717" s="22" t="s">
        <v>15</v>
      </c>
      <c r="S717" s="22">
        <v>10740</v>
      </c>
      <c r="T717" s="78">
        <v>0</v>
      </c>
      <c r="U717" s="23">
        <v>10740</v>
      </c>
    </row>
    <row r="718" spans="1:21">
      <c r="A718" s="5">
        <v>125591</v>
      </c>
      <c r="B718" s="5" t="s">
        <v>16</v>
      </c>
      <c r="C718" s="5" t="s">
        <v>17</v>
      </c>
      <c r="D718" s="5" t="s">
        <v>33</v>
      </c>
      <c r="E718" s="5" t="s">
        <v>19</v>
      </c>
      <c r="F718" s="5" t="s">
        <v>28</v>
      </c>
      <c r="G718" s="5" t="s">
        <v>24</v>
      </c>
      <c r="H718" s="5">
        <v>34294</v>
      </c>
      <c r="I718" s="5">
        <v>1076</v>
      </c>
      <c r="J718" s="6">
        <f t="shared" si="11"/>
        <v>33218</v>
      </c>
      <c r="L718" s="18">
        <v>30831</v>
      </c>
      <c r="M718" s="19" t="s">
        <v>10</v>
      </c>
      <c r="N718" s="19" t="s">
        <v>11</v>
      </c>
      <c r="O718" s="19" t="s">
        <v>30</v>
      </c>
      <c r="P718" s="19" t="s">
        <v>13</v>
      </c>
      <c r="Q718" s="19" t="s">
        <v>14</v>
      </c>
      <c r="R718" s="19" t="s">
        <v>15</v>
      </c>
      <c r="S718" s="19">
        <v>157614</v>
      </c>
      <c r="T718" s="77">
        <v>374</v>
      </c>
      <c r="U718" s="20">
        <v>157240</v>
      </c>
    </row>
    <row r="719" spans="1:21">
      <c r="A719" s="5">
        <v>17386</v>
      </c>
      <c r="B719" s="5" t="s">
        <v>16</v>
      </c>
      <c r="C719" s="5" t="s">
        <v>34</v>
      </c>
      <c r="D719" s="5" t="s">
        <v>36</v>
      </c>
      <c r="E719" s="5" t="s">
        <v>13</v>
      </c>
      <c r="F719" s="5" t="s">
        <v>14</v>
      </c>
      <c r="G719" s="5" t="s">
        <v>15</v>
      </c>
      <c r="H719" s="5">
        <v>30106</v>
      </c>
      <c r="I719" s="5">
        <v>1183</v>
      </c>
      <c r="J719" s="6">
        <f t="shared" si="11"/>
        <v>28923</v>
      </c>
      <c r="L719" s="21">
        <v>170323</v>
      </c>
      <c r="M719" s="22" t="s">
        <v>10</v>
      </c>
      <c r="N719" s="22" t="s">
        <v>17</v>
      </c>
      <c r="O719" s="22" t="s">
        <v>29</v>
      </c>
      <c r="P719" s="22" t="s">
        <v>19</v>
      </c>
      <c r="Q719" s="22" t="s">
        <v>14</v>
      </c>
      <c r="R719" s="22" t="s">
        <v>24</v>
      </c>
      <c r="S719" s="22">
        <v>42571</v>
      </c>
      <c r="T719" s="78">
        <v>418</v>
      </c>
      <c r="U719" s="23">
        <v>42153</v>
      </c>
    </row>
    <row r="720" spans="1:21">
      <c r="A720" s="5">
        <v>27609</v>
      </c>
      <c r="B720" s="5" t="s">
        <v>10</v>
      </c>
      <c r="C720" s="5" t="s">
        <v>11</v>
      </c>
      <c r="D720" s="5" t="s">
        <v>23</v>
      </c>
      <c r="E720" s="5" t="s">
        <v>19</v>
      </c>
      <c r="F720" s="5" t="s">
        <v>14</v>
      </c>
      <c r="G720" s="5" t="s">
        <v>24</v>
      </c>
      <c r="H720" s="5">
        <v>12363</v>
      </c>
      <c r="I720" s="5">
        <v>168</v>
      </c>
      <c r="J720" s="6">
        <f t="shared" si="11"/>
        <v>12195</v>
      </c>
      <c r="L720" s="18">
        <v>169245</v>
      </c>
      <c r="M720" s="19" t="s">
        <v>10</v>
      </c>
      <c r="N720" s="19" t="s">
        <v>34</v>
      </c>
      <c r="O720" s="19" t="s">
        <v>30</v>
      </c>
      <c r="P720" s="19" t="s">
        <v>13</v>
      </c>
      <c r="Q720" s="19" t="s">
        <v>14</v>
      </c>
      <c r="R720" s="19" t="s">
        <v>15</v>
      </c>
      <c r="S720" s="19">
        <v>270704</v>
      </c>
      <c r="T720" s="77">
        <v>1041</v>
      </c>
      <c r="U720" s="20">
        <v>269663</v>
      </c>
    </row>
    <row r="721" spans="1:21">
      <c r="A721" s="5">
        <v>176077</v>
      </c>
      <c r="B721" s="5" t="s">
        <v>10</v>
      </c>
      <c r="C721" s="5" t="s">
        <v>22</v>
      </c>
      <c r="D721" s="5" t="s">
        <v>12</v>
      </c>
      <c r="E721" s="5" t="s">
        <v>19</v>
      </c>
      <c r="F721" s="5" t="s">
        <v>14</v>
      </c>
      <c r="G721" s="5" t="s">
        <v>15</v>
      </c>
      <c r="H721" s="5">
        <v>37747</v>
      </c>
      <c r="I721" s="5">
        <v>3058</v>
      </c>
      <c r="J721" s="6">
        <f t="shared" si="11"/>
        <v>34689</v>
      </c>
      <c r="L721" s="21">
        <v>251462</v>
      </c>
      <c r="M721" s="22" t="s">
        <v>16</v>
      </c>
      <c r="N721" s="22" t="s">
        <v>17</v>
      </c>
      <c r="O721" s="22" t="s">
        <v>21</v>
      </c>
      <c r="P721" s="22" t="s">
        <v>19</v>
      </c>
      <c r="Q721" s="22" t="s">
        <v>14</v>
      </c>
      <c r="R721" s="22" t="s">
        <v>24</v>
      </c>
      <c r="S721" s="22">
        <v>30678</v>
      </c>
      <c r="T721" s="78">
        <v>280</v>
      </c>
      <c r="U721" s="23">
        <v>30398</v>
      </c>
    </row>
    <row r="722" spans="1:21">
      <c r="A722" s="5">
        <v>251449</v>
      </c>
      <c r="B722" s="5" t="s">
        <v>10</v>
      </c>
      <c r="C722" s="5" t="s">
        <v>17</v>
      </c>
      <c r="D722" s="5" t="s">
        <v>29</v>
      </c>
      <c r="E722" s="5" t="s">
        <v>19</v>
      </c>
      <c r="F722" s="5" t="s">
        <v>28</v>
      </c>
      <c r="G722" s="5" t="s">
        <v>24</v>
      </c>
      <c r="H722" s="5">
        <v>36272</v>
      </c>
      <c r="I722" s="5">
        <v>507</v>
      </c>
      <c r="J722" s="6">
        <f t="shared" si="11"/>
        <v>35765</v>
      </c>
      <c r="L722" s="18">
        <v>164027</v>
      </c>
      <c r="M722" s="19" t="s">
        <v>10</v>
      </c>
      <c r="N722" s="19" t="s">
        <v>31</v>
      </c>
      <c r="O722" s="19" t="s">
        <v>36</v>
      </c>
      <c r="P722" s="19" t="s">
        <v>19</v>
      </c>
      <c r="Q722" s="19" t="s">
        <v>14</v>
      </c>
      <c r="R722" s="19" t="s">
        <v>15</v>
      </c>
      <c r="S722" s="19">
        <v>5685</v>
      </c>
      <c r="T722" s="77">
        <v>0</v>
      </c>
      <c r="U722" s="20">
        <v>5685</v>
      </c>
    </row>
    <row r="723" spans="1:21">
      <c r="A723" s="5">
        <v>71684</v>
      </c>
      <c r="B723" s="5" t="s">
        <v>16</v>
      </c>
      <c r="C723" s="5" t="s">
        <v>11</v>
      </c>
      <c r="D723" s="5" t="s">
        <v>33</v>
      </c>
      <c r="E723" s="5" t="s">
        <v>13</v>
      </c>
      <c r="F723" s="5" t="s">
        <v>28</v>
      </c>
      <c r="G723" s="5" t="s">
        <v>15</v>
      </c>
      <c r="H723" s="5">
        <v>15685</v>
      </c>
      <c r="I723" s="5">
        <v>55</v>
      </c>
      <c r="J723" s="6">
        <f t="shared" si="11"/>
        <v>15630</v>
      </c>
      <c r="L723" s="21">
        <v>4402</v>
      </c>
      <c r="M723" s="22" t="s">
        <v>10</v>
      </c>
      <c r="N723" s="22" t="s">
        <v>37</v>
      </c>
      <c r="O723" s="22" t="s">
        <v>12</v>
      </c>
      <c r="P723" s="22" t="s">
        <v>13</v>
      </c>
      <c r="Q723" s="22" t="s">
        <v>14</v>
      </c>
      <c r="R723" s="22" t="s">
        <v>15</v>
      </c>
      <c r="S723" s="22">
        <v>19208</v>
      </c>
      <c r="T723" s="78">
        <v>415</v>
      </c>
      <c r="U723" s="23">
        <v>18793</v>
      </c>
    </row>
    <row r="724" spans="1:21">
      <c r="A724" s="5">
        <v>213900</v>
      </c>
      <c r="B724" s="5" t="s">
        <v>10</v>
      </c>
      <c r="C724" s="5" t="s">
        <v>11</v>
      </c>
      <c r="D724" s="5" t="s">
        <v>23</v>
      </c>
      <c r="E724" s="5" t="s">
        <v>13</v>
      </c>
      <c r="F724" s="5" t="s">
        <v>14</v>
      </c>
      <c r="G724" s="5" t="s">
        <v>15</v>
      </c>
      <c r="H724" s="5">
        <v>179410</v>
      </c>
      <c r="I724" s="5">
        <v>3116</v>
      </c>
      <c r="J724" s="6">
        <f t="shared" si="11"/>
        <v>176294</v>
      </c>
      <c r="L724" s="18">
        <v>193301</v>
      </c>
      <c r="M724" s="19" t="s">
        <v>10</v>
      </c>
      <c r="N724" s="19" t="s">
        <v>34</v>
      </c>
      <c r="O724" s="19" t="s">
        <v>12</v>
      </c>
      <c r="P724" s="19" t="s">
        <v>19</v>
      </c>
      <c r="Q724" s="19" t="s">
        <v>14</v>
      </c>
      <c r="R724" s="19" t="s">
        <v>15</v>
      </c>
      <c r="S724" s="19">
        <v>78412</v>
      </c>
      <c r="T724" s="77">
        <v>270</v>
      </c>
      <c r="U724" s="20">
        <v>78142</v>
      </c>
    </row>
    <row r="725" spans="1:21">
      <c r="A725" s="5">
        <v>63932</v>
      </c>
      <c r="B725" s="5" t="s">
        <v>10</v>
      </c>
      <c r="C725" s="5" t="s">
        <v>27</v>
      </c>
      <c r="D725" s="5" t="s">
        <v>29</v>
      </c>
      <c r="E725" s="5" t="s">
        <v>13</v>
      </c>
      <c r="F725" s="5" t="s">
        <v>14</v>
      </c>
      <c r="G725" s="5" t="s">
        <v>15</v>
      </c>
      <c r="H725" s="5">
        <v>84562</v>
      </c>
      <c r="I725" s="5">
        <v>6401</v>
      </c>
      <c r="J725" s="6">
        <f t="shared" si="11"/>
        <v>78161</v>
      </c>
      <c r="L725" s="21">
        <v>253979</v>
      </c>
      <c r="M725" s="22" t="s">
        <v>10</v>
      </c>
      <c r="N725" s="22" t="s">
        <v>17</v>
      </c>
      <c r="O725" s="22" t="s">
        <v>26</v>
      </c>
      <c r="P725" s="22" t="s">
        <v>19</v>
      </c>
      <c r="Q725" s="22" t="s">
        <v>14</v>
      </c>
      <c r="R725" s="22" t="s">
        <v>24</v>
      </c>
      <c r="S725" s="22">
        <v>87780</v>
      </c>
      <c r="T725" s="78">
        <v>4598</v>
      </c>
      <c r="U725" s="23">
        <v>83182</v>
      </c>
    </row>
    <row r="726" spans="1:21">
      <c r="A726" s="5">
        <v>199294</v>
      </c>
      <c r="B726" s="5" t="s">
        <v>16</v>
      </c>
      <c r="C726" s="5" t="s">
        <v>39</v>
      </c>
      <c r="D726" s="5" t="s">
        <v>32</v>
      </c>
      <c r="E726" s="5" t="s">
        <v>13</v>
      </c>
      <c r="F726" s="5" t="s">
        <v>14</v>
      </c>
      <c r="G726" s="5" t="s">
        <v>15</v>
      </c>
      <c r="H726" s="5">
        <v>33852</v>
      </c>
      <c r="I726" s="5">
        <v>528</v>
      </c>
      <c r="J726" s="6">
        <f t="shared" si="11"/>
        <v>33324</v>
      </c>
      <c r="L726" s="18">
        <v>72789</v>
      </c>
      <c r="M726" s="19" t="s">
        <v>16</v>
      </c>
      <c r="N726" s="19" t="s">
        <v>35</v>
      </c>
      <c r="O726" s="19" t="s">
        <v>32</v>
      </c>
      <c r="P726" s="19" t="s">
        <v>19</v>
      </c>
      <c r="Q726" s="19" t="s">
        <v>14</v>
      </c>
      <c r="R726" s="19" t="s">
        <v>24</v>
      </c>
      <c r="S726" s="19">
        <v>619</v>
      </c>
      <c r="T726" s="77">
        <v>0</v>
      </c>
      <c r="U726" s="20">
        <v>619</v>
      </c>
    </row>
    <row r="727" spans="1:21">
      <c r="A727" s="5">
        <v>72731</v>
      </c>
      <c r="B727" s="5" t="s">
        <v>10</v>
      </c>
      <c r="C727" s="5" t="s">
        <v>27</v>
      </c>
      <c r="D727" s="5" t="s">
        <v>23</v>
      </c>
      <c r="E727" s="5" t="s">
        <v>13</v>
      </c>
      <c r="F727" s="5" t="s">
        <v>14</v>
      </c>
      <c r="G727" s="5" t="s">
        <v>24</v>
      </c>
      <c r="H727" s="5">
        <v>41819</v>
      </c>
      <c r="I727" s="5">
        <v>1012</v>
      </c>
      <c r="J727" s="6">
        <f t="shared" si="11"/>
        <v>40807</v>
      </c>
      <c r="L727" s="21">
        <v>39919</v>
      </c>
      <c r="M727" s="22" t="s">
        <v>16</v>
      </c>
      <c r="N727" s="22" t="s">
        <v>35</v>
      </c>
      <c r="O727" s="22" t="s">
        <v>23</v>
      </c>
      <c r="P727" s="22" t="s">
        <v>13</v>
      </c>
      <c r="Q727" s="22" t="s">
        <v>14</v>
      </c>
      <c r="R727" s="22" t="s">
        <v>15</v>
      </c>
      <c r="S727" s="22">
        <v>14397</v>
      </c>
      <c r="T727" s="78">
        <v>0</v>
      </c>
      <c r="U727" s="23">
        <v>14397</v>
      </c>
    </row>
    <row r="728" spans="1:21">
      <c r="A728" s="5">
        <v>99834</v>
      </c>
      <c r="B728" s="5" t="s">
        <v>16</v>
      </c>
      <c r="C728" s="5" t="s">
        <v>34</v>
      </c>
      <c r="D728" s="5" t="s">
        <v>36</v>
      </c>
      <c r="E728" s="5" t="s">
        <v>19</v>
      </c>
      <c r="F728" s="5" t="s">
        <v>14</v>
      </c>
      <c r="G728" s="5" t="s">
        <v>24</v>
      </c>
      <c r="H728" s="5">
        <v>38434</v>
      </c>
      <c r="I728" s="5">
        <v>317</v>
      </c>
      <c r="J728" s="6">
        <f t="shared" si="11"/>
        <v>38117</v>
      </c>
      <c r="L728" s="18">
        <v>185076</v>
      </c>
      <c r="M728" s="19" t="s">
        <v>16</v>
      </c>
      <c r="N728" s="19" t="s">
        <v>11</v>
      </c>
      <c r="O728" s="19" t="s">
        <v>26</v>
      </c>
      <c r="P728" s="19" t="s">
        <v>13</v>
      </c>
      <c r="Q728" s="19" t="s">
        <v>14</v>
      </c>
      <c r="R728" s="19" t="s">
        <v>24</v>
      </c>
      <c r="S728" s="19">
        <v>9974</v>
      </c>
      <c r="T728" s="77">
        <v>320</v>
      </c>
      <c r="U728" s="20">
        <v>9654</v>
      </c>
    </row>
    <row r="729" spans="1:21">
      <c r="A729" s="5">
        <v>161786</v>
      </c>
      <c r="B729" s="5" t="s">
        <v>16</v>
      </c>
      <c r="C729" s="5" t="s">
        <v>25</v>
      </c>
      <c r="D729" s="5" t="s">
        <v>30</v>
      </c>
      <c r="E729" s="5" t="s">
        <v>13</v>
      </c>
      <c r="F729" s="5" t="s">
        <v>14</v>
      </c>
      <c r="G729" s="5" t="s">
        <v>24</v>
      </c>
      <c r="H729" s="5">
        <v>28082</v>
      </c>
      <c r="I729" s="5">
        <v>1764</v>
      </c>
      <c r="J729" s="6">
        <f t="shared" si="11"/>
        <v>26318</v>
      </c>
      <c r="L729" s="21">
        <v>115494</v>
      </c>
      <c r="M729" s="22" t="s">
        <v>10</v>
      </c>
      <c r="N729" s="22" t="s">
        <v>25</v>
      </c>
      <c r="O729" s="22" t="s">
        <v>30</v>
      </c>
      <c r="P729" s="22" t="s">
        <v>19</v>
      </c>
      <c r="Q729" s="22" t="s">
        <v>14</v>
      </c>
      <c r="R729" s="22" t="s">
        <v>15</v>
      </c>
      <c r="S729" s="22">
        <v>52533</v>
      </c>
      <c r="T729" s="78">
        <v>2855</v>
      </c>
      <c r="U729" s="23">
        <v>49678</v>
      </c>
    </row>
    <row r="730" spans="1:21">
      <c r="A730" s="5">
        <v>95259</v>
      </c>
      <c r="B730" s="5" t="s">
        <v>16</v>
      </c>
      <c r="C730" s="5" t="s">
        <v>38</v>
      </c>
      <c r="D730" s="5" t="s">
        <v>33</v>
      </c>
      <c r="E730" s="5" t="s">
        <v>13</v>
      </c>
      <c r="F730" s="5" t="s">
        <v>14</v>
      </c>
      <c r="G730" s="5" t="s">
        <v>15</v>
      </c>
      <c r="H730" s="5">
        <v>23775</v>
      </c>
      <c r="I730" s="5">
        <v>833</v>
      </c>
      <c r="J730" s="6">
        <f t="shared" si="11"/>
        <v>22942</v>
      </c>
      <c r="L730" s="18">
        <v>233072</v>
      </c>
      <c r="M730" s="19" t="s">
        <v>10</v>
      </c>
      <c r="N730" s="19" t="s">
        <v>25</v>
      </c>
      <c r="O730" s="19" t="s">
        <v>32</v>
      </c>
      <c r="P730" s="19" t="s">
        <v>19</v>
      </c>
      <c r="Q730" s="19" t="s">
        <v>14</v>
      </c>
      <c r="R730" s="19" t="s">
        <v>24</v>
      </c>
      <c r="S730" s="19">
        <v>7</v>
      </c>
      <c r="T730" s="77">
        <v>0</v>
      </c>
      <c r="U730" s="20">
        <v>7</v>
      </c>
    </row>
    <row r="731" spans="1:21">
      <c r="A731" s="5">
        <v>178749</v>
      </c>
      <c r="B731" s="5" t="s">
        <v>16</v>
      </c>
      <c r="C731" s="5" t="s">
        <v>17</v>
      </c>
      <c r="D731" s="5" t="s">
        <v>33</v>
      </c>
      <c r="E731" s="5" t="s">
        <v>19</v>
      </c>
      <c r="F731" s="5" t="s">
        <v>28</v>
      </c>
      <c r="G731" s="5" t="s">
        <v>24</v>
      </c>
      <c r="H731" s="5">
        <v>21889</v>
      </c>
      <c r="I731" s="5">
        <v>0</v>
      </c>
      <c r="J731" s="6">
        <f t="shared" si="11"/>
        <v>21889</v>
      </c>
      <c r="L731" s="21">
        <v>110529</v>
      </c>
      <c r="M731" s="22" t="s">
        <v>16</v>
      </c>
      <c r="N731" s="22" t="s">
        <v>27</v>
      </c>
      <c r="O731" s="22" t="s">
        <v>36</v>
      </c>
      <c r="P731" s="22" t="s">
        <v>19</v>
      </c>
      <c r="Q731" s="22" t="s">
        <v>14</v>
      </c>
      <c r="R731" s="22" t="s">
        <v>24</v>
      </c>
      <c r="S731" s="22">
        <v>11043</v>
      </c>
      <c r="T731" s="78">
        <v>0</v>
      </c>
      <c r="U731" s="23">
        <v>11043</v>
      </c>
    </row>
    <row r="732" spans="1:21">
      <c r="A732" s="5">
        <v>34593</v>
      </c>
      <c r="B732" s="5" t="s">
        <v>10</v>
      </c>
      <c r="C732" s="5" t="s">
        <v>35</v>
      </c>
      <c r="D732" s="5" t="s">
        <v>30</v>
      </c>
      <c r="E732" s="5" t="s">
        <v>13</v>
      </c>
      <c r="F732" s="5" t="s">
        <v>28</v>
      </c>
      <c r="G732" s="5" t="s">
        <v>15</v>
      </c>
      <c r="H732" s="5">
        <v>102932</v>
      </c>
      <c r="I732" s="5">
        <v>3460</v>
      </c>
      <c r="J732" s="6">
        <f t="shared" si="11"/>
        <v>99472</v>
      </c>
      <c r="L732" s="18">
        <v>13459</v>
      </c>
      <c r="M732" s="19" t="s">
        <v>16</v>
      </c>
      <c r="N732" s="19" t="s">
        <v>37</v>
      </c>
      <c r="O732" s="19" t="s">
        <v>32</v>
      </c>
      <c r="P732" s="19" t="s">
        <v>13</v>
      </c>
      <c r="Q732" s="19" t="s">
        <v>14</v>
      </c>
      <c r="R732" s="19" t="s">
        <v>15</v>
      </c>
      <c r="S732" s="19">
        <v>15365</v>
      </c>
      <c r="T732" s="77">
        <v>202</v>
      </c>
      <c r="U732" s="20">
        <v>15163</v>
      </c>
    </row>
    <row r="733" spans="1:21">
      <c r="A733" s="5">
        <v>97724</v>
      </c>
      <c r="B733" s="5" t="s">
        <v>16</v>
      </c>
      <c r="C733" s="5" t="s">
        <v>34</v>
      </c>
      <c r="D733" s="5" t="s">
        <v>36</v>
      </c>
      <c r="E733" s="5" t="s">
        <v>13</v>
      </c>
      <c r="F733" s="5" t="s">
        <v>14</v>
      </c>
      <c r="G733" s="5" t="s">
        <v>24</v>
      </c>
      <c r="H733" s="5">
        <v>34074</v>
      </c>
      <c r="I733" s="5">
        <v>1060</v>
      </c>
      <c r="J733" s="6">
        <f t="shared" si="11"/>
        <v>33014</v>
      </c>
      <c r="L733" s="21">
        <v>201966</v>
      </c>
      <c r="M733" s="22" t="s">
        <v>10</v>
      </c>
      <c r="N733" s="22" t="s">
        <v>38</v>
      </c>
      <c r="O733" s="22" t="s">
        <v>21</v>
      </c>
      <c r="P733" s="22" t="s">
        <v>13</v>
      </c>
      <c r="Q733" s="22" t="s">
        <v>14</v>
      </c>
      <c r="R733" s="22" t="s">
        <v>15</v>
      </c>
      <c r="S733" s="22">
        <v>36458</v>
      </c>
      <c r="T733" s="78">
        <v>4209</v>
      </c>
      <c r="U733" s="23">
        <v>32249</v>
      </c>
    </row>
    <row r="734" spans="1:21">
      <c r="A734" s="5">
        <v>95696</v>
      </c>
      <c r="B734" s="5" t="s">
        <v>16</v>
      </c>
      <c r="C734" s="5" t="s">
        <v>39</v>
      </c>
      <c r="D734" s="5" t="s">
        <v>32</v>
      </c>
      <c r="E734" s="5" t="s">
        <v>13</v>
      </c>
      <c r="F734" s="5" t="s">
        <v>14</v>
      </c>
      <c r="G734" s="5" t="s">
        <v>15</v>
      </c>
      <c r="H734" s="5">
        <v>83420</v>
      </c>
      <c r="I734" s="5">
        <v>2844</v>
      </c>
      <c r="J734" s="6">
        <f t="shared" si="11"/>
        <v>80576</v>
      </c>
      <c r="L734" s="18">
        <v>27980</v>
      </c>
      <c r="M734" s="19" t="s">
        <v>10</v>
      </c>
      <c r="N734" s="19" t="s">
        <v>11</v>
      </c>
      <c r="O734" s="19" t="s">
        <v>12</v>
      </c>
      <c r="P734" s="19" t="s">
        <v>13</v>
      </c>
      <c r="Q734" s="19" t="s">
        <v>14</v>
      </c>
      <c r="R734" s="19" t="s">
        <v>15</v>
      </c>
      <c r="S734" s="19">
        <v>66395</v>
      </c>
      <c r="T734" s="77">
        <v>2319</v>
      </c>
      <c r="U734" s="20">
        <v>64076</v>
      </c>
    </row>
    <row r="735" spans="1:21">
      <c r="A735" s="5">
        <v>177538</v>
      </c>
      <c r="B735" s="5" t="s">
        <v>16</v>
      </c>
      <c r="C735" s="5" t="s">
        <v>25</v>
      </c>
      <c r="D735" s="5" t="s">
        <v>30</v>
      </c>
      <c r="E735" s="5" t="s">
        <v>19</v>
      </c>
      <c r="F735" s="5" t="s">
        <v>28</v>
      </c>
      <c r="G735" s="5" t="s">
        <v>15</v>
      </c>
      <c r="H735" s="5">
        <v>30531</v>
      </c>
      <c r="I735" s="5">
        <v>0</v>
      </c>
      <c r="J735" s="6">
        <f t="shared" si="11"/>
        <v>30531</v>
      </c>
      <c r="L735" s="21">
        <v>215770</v>
      </c>
      <c r="M735" s="22" t="s">
        <v>10</v>
      </c>
      <c r="N735" s="22" t="s">
        <v>38</v>
      </c>
      <c r="O735" s="22" t="s">
        <v>23</v>
      </c>
      <c r="P735" s="22" t="s">
        <v>13</v>
      </c>
      <c r="Q735" s="22" t="s">
        <v>14</v>
      </c>
      <c r="R735" s="22" t="s">
        <v>15</v>
      </c>
      <c r="S735" s="22">
        <v>50789</v>
      </c>
      <c r="T735" s="78">
        <v>587</v>
      </c>
      <c r="U735" s="23">
        <v>50202</v>
      </c>
    </row>
    <row r="736" spans="1:21">
      <c r="A736" s="5">
        <v>115505</v>
      </c>
      <c r="B736" s="5" t="s">
        <v>10</v>
      </c>
      <c r="C736" s="5" t="s">
        <v>25</v>
      </c>
      <c r="D736" s="5" t="s">
        <v>12</v>
      </c>
      <c r="E736" s="5" t="s">
        <v>19</v>
      </c>
      <c r="F736" s="5" t="s">
        <v>14</v>
      </c>
      <c r="G736" s="5" t="s">
        <v>15</v>
      </c>
      <c r="H736" s="5">
        <v>95614</v>
      </c>
      <c r="I736" s="5">
        <v>5867</v>
      </c>
      <c r="J736" s="6">
        <f t="shared" si="11"/>
        <v>89747</v>
      </c>
      <c r="L736" s="18">
        <v>185739</v>
      </c>
      <c r="M736" s="19" t="s">
        <v>10</v>
      </c>
      <c r="N736" s="19" t="s">
        <v>39</v>
      </c>
      <c r="O736" s="19" t="s">
        <v>36</v>
      </c>
      <c r="P736" s="19" t="s">
        <v>13</v>
      </c>
      <c r="Q736" s="19" t="s">
        <v>14</v>
      </c>
      <c r="R736" s="19" t="s">
        <v>15</v>
      </c>
      <c r="S736" s="19">
        <v>53674</v>
      </c>
      <c r="T736" s="77">
        <v>4593</v>
      </c>
      <c r="U736" s="20">
        <v>49081</v>
      </c>
    </row>
    <row r="737" spans="1:21">
      <c r="A737" s="5">
        <v>109731</v>
      </c>
      <c r="B737" s="5" t="s">
        <v>16</v>
      </c>
      <c r="C737" s="5" t="s">
        <v>35</v>
      </c>
      <c r="D737" s="5" t="s">
        <v>26</v>
      </c>
      <c r="E737" s="5" t="s">
        <v>13</v>
      </c>
      <c r="F737" s="5" t="s">
        <v>14</v>
      </c>
      <c r="G737" s="5" t="s">
        <v>24</v>
      </c>
      <c r="H737" s="5">
        <v>4857</v>
      </c>
      <c r="I737" s="5">
        <v>0</v>
      </c>
      <c r="J737" s="6">
        <f t="shared" si="11"/>
        <v>4857</v>
      </c>
      <c r="L737" s="21">
        <v>210154</v>
      </c>
      <c r="M737" s="22" t="s">
        <v>16</v>
      </c>
      <c r="N737" s="22" t="s">
        <v>38</v>
      </c>
      <c r="O737" s="22" t="s">
        <v>32</v>
      </c>
      <c r="P737" s="22" t="s">
        <v>13</v>
      </c>
      <c r="Q737" s="22" t="s">
        <v>14</v>
      </c>
      <c r="R737" s="22" t="s">
        <v>15</v>
      </c>
      <c r="S737" s="22">
        <v>5070</v>
      </c>
      <c r="T737" s="78">
        <v>0</v>
      </c>
      <c r="U737" s="23">
        <v>5070</v>
      </c>
    </row>
    <row r="738" spans="1:21">
      <c r="A738" s="5">
        <v>171099</v>
      </c>
      <c r="B738" s="5" t="s">
        <v>10</v>
      </c>
      <c r="C738" s="5" t="s">
        <v>31</v>
      </c>
      <c r="D738" s="5" t="s">
        <v>21</v>
      </c>
      <c r="E738" s="5" t="s">
        <v>19</v>
      </c>
      <c r="F738" s="5" t="s">
        <v>14</v>
      </c>
      <c r="G738" s="5" t="s">
        <v>24</v>
      </c>
      <c r="H738" s="5">
        <v>28839</v>
      </c>
      <c r="I738" s="5">
        <v>605</v>
      </c>
      <c r="J738" s="6">
        <f t="shared" si="11"/>
        <v>28234</v>
      </c>
      <c r="L738" s="18">
        <v>161231</v>
      </c>
      <c r="M738" s="19" t="s">
        <v>10</v>
      </c>
      <c r="N738" s="19" t="s">
        <v>25</v>
      </c>
      <c r="O738" s="19" t="s">
        <v>26</v>
      </c>
      <c r="P738" s="19" t="s">
        <v>19</v>
      </c>
      <c r="Q738" s="19" t="s">
        <v>14</v>
      </c>
      <c r="R738" s="19" t="s">
        <v>15</v>
      </c>
      <c r="S738" s="19">
        <v>65394</v>
      </c>
      <c r="T738" s="77">
        <v>9745</v>
      </c>
      <c r="U738" s="20">
        <v>55649</v>
      </c>
    </row>
    <row r="739" spans="1:21">
      <c r="A739" s="5">
        <v>227196</v>
      </c>
      <c r="B739" s="5" t="s">
        <v>10</v>
      </c>
      <c r="C739" s="5" t="s">
        <v>25</v>
      </c>
      <c r="D739" s="5" t="s">
        <v>26</v>
      </c>
      <c r="E739" s="5" t="s">
        <v>19</v>
      </c>
      <c r="F739" s="5" t="s">
        <v>28</v>
      </c>
      <c r="G739" s="5" t="s">
        <v>24</v>
      </c>
      <c r="H739" s="5">
        <v>42950</v>
      </c>
      <c r="I739" s="5">
        <v>0</v>
      </c>
      <c r="J739" s="6">
        <f t="shared" si="11"/>
        <v>42950</v>
      </c>
      <c r="L739" s="21">
        <v>140624</v>
      </c>
      <c r="M739" s="22" t="s">
        <v>16</v>
      </c>
      <c r="N739" s="22" t="s">
        <v>17</v>
      </c>
      <c r="O739" s="22" t="s">
        <v>36</v>
      </c>
      <c r="P739" s="22" t="s">
        <v>19</v>
      </c>
      <c r="Q739" s="22" t="s">
        <v>14</v>
      </c>
      <c r="R739" s="22" t="s">
        <v>15</v>
      </c>
      <c r="S739" s="22">
        <v>29381</v>
      </c>
      <c r="T739" s="78">
        <v>1032</v>
      </c>
      <c r="U739" s="23">
        <v>28349</v>
      </c>
    </row>
    <row r="740" spans="1:21">
      <c r="A740" s="5">
        <v>2664</v>
      </c>
      <c r="B740" s="5" t="s">
        <v>10</v>
      </c>
      <c r="C740" s="5" t="s">
        <v>20</v>
      </c>
      <c r="D740" s="5" t="s">
        <v>32</v>
      </c>
      <c r="E740" s="5" t="s">
        <v>13</v>
      </c>
      <c r="F740" s="5" t="s">
        <v>14</v>
      </c>
      <c r="G740" s="5" t="s">
        <v>24</v>
      </c>
      <c r="H740" s="5">
        <v>17985</v>
      </c>
      <c r="I740" s="5">
        <v>322</v>
      </c>
      <c r="J740" s="6">
        <f t="shared" si="11"/>
        <v>17663</v>
      </c>
      <c r="L740" s="18">
        <v>196033</v>
      </c>
      <c r="M740" s="19" t="s">
        <v>10</v>
      </c>
      <c r="N740" s="19" t="s">
        <v>11</v>
      </c>
      <c r="O740" s="19" t="s">
        <v>23</v>
      </c>
      <c r="P740" s="19" t="s">
        <v>19</v>
      </c>
      <c r="Q740" s="19" t="s">
        <v>14</v>
      </c>
      <c r="R740" s="19" t="s">
        <v>24</v>
      </c>
      <c r="S740" s="19">
        <v>14066</v>
      </c>
      <c r="T740" s="77">
        <v>0</v>
      </c>
      <c r="U740" s="20">
        <v>14066</v>
      </c>
    </row>
    <row r="741" spans="1:21">
      <c r="A741" s="5">
        <v>2057</v>
      </c>
      <c r="B741" s="5" t="s">
        <v>16</v>
      </c>
      <c r="C741" s="5" t="s">
        <v>39</v>
      </c>
      <c r="D741" s="5" t="s">
        <v>33</v>
      </c>
      <c r="E741" s="5" t="s">
        <v>19</v>
      </c>
      <c r="F741" s="5" t="s">
        <v>14</v>
      </c>
      <c r="G741" s="5" t="s">
        <v>15</v>
      </c>
      <c r="H741" s="5">
        <v>36043</v>
      </c>
      <c r="I741" s="5">
        <v>7789</v>
      </c>
      <c r="J741" s="6">
        <f t="shared" si="11"/>
        <v>28254</v>
      </c>
      <c r="L741" s="21">
        <v>183468</v>
      </c>
      <c r="M741" s="22" t="s">
        <v>10</v>
      </c>
      <c r="N741" s="22" t="s">
        <v>38</v>
      </c>
      <c r="O741" s="22" t="s">
        <v>12</v>
      </c>
      <c r="P741" s="22" t="s">
        <v>13</v>
      </c>
      <c r="Q741" s="22" t="s">
        <v>14</v>
      </c>
      <c r="R741" s="22" t="s">
        <v>15</v>
      </c>
      <c r="S741" s="22">
        <v>202364</v>
      </c>
      <c r="T741" s="78">
        <v>138</v>
      </c>
      <c r="U741" s="23">
        <v>202226</v>
      </c>
    </row>
    <row r="742" spans="1:21">
      <c r="A742" s="5">
        <v>100751</v>
      </c>
      <c r="B742" s="5" t="s">
        <v>10</v>
      </c>
      <c r="C742" s="5" t="s">
        <v>34</v>
      </c>
      <c r="D742" s="5" t="s">
        <v>12</v>
      </c>
      <c r="E742" s="5" t="s">
        <v>13</v>
      </c>
      <c r="F742" s="5" t="s">
        <v>14</v>
      </c>
      <c r="G742" s="5" t="s">
        <v>15</v>
      </c>
      <c r="H742" s="5">
        <v>82008</v>
      </c>
      <c r="I742" s="5">
        <v>4438</v>
      </c>
      <c r="J742" s="6">
        <f t="shared" si="11"/>
        <v>77570</v>
      </c>
      <c r="L742" s="18">
        <v>47868</v>
      </c>
      <c r="M742" s="19" t="s">
        <v>16</v>
      </c>
      <c r="N742" s="19" t="s">
        <v>35</v>
      </c>
      <c r="O742" s="19" t="s">
        <v>30</v>
      </c>
      <c r="P742" s="19" t="s">
        <v>19</v>
      </c>
      <c r="Q742" s="19" t="s">
        <v>14</v>
      </c>
      <c r="R742" s="19" t="s">
        <v>15</v>
      </c>
      <c r="S742" s="19">
        <v>200292</v>
      </c>
      <c r="T742" s="77">
        <v>9151</v>
      </c>
      <c r="U742" s="20">
        <v>191141</v>
      </c>
    </row>
    <row r="743" spans="1:21">
      <c r="A743" s="5">
        <v>102449</v>
      </c>
      <c r="B743" s="5" t="s">
        <v>16</v>
      </c>
      <c r="C743" s="5" t="s">
        <v>34</v>
      </c>
      <c r="D743" s="5" t="s">
        <v>12</v>
      </c>
      <c r="E743" s="5" t="s">
        <v>13</v>
      </c>
      <c r="F743" s="5" t="s">
        <v>14</v>
      </c>
      <c r="G743" s="5" t="s">
        <v>15</v>
      </c>
      <c r="H743" s="5">
        <v>84090</v>
      </c>
      <c r="I743" s="5">
        <v>4361</v>
      </c>
      <c r="J743" s="6">
        <f t="shared" si="11"/>
        <v>79729</v>
      </c>
      <c r="L743" s="21">
        <v>76988</v>
      </c>
      <c r="M743" s="22" t="s">
        <v>10</v>
      </c>
      <c r="N743" s="22" t="s">
        <v>35</v>
      </c>
      <c r="O743" s="22" t="s">
        <v>32</v>
      </c>
      <c r="P743" s="22" t="s">
        <v>13</v>
      </c>
      <c r="Q743" s="22" t="s">
        <v>14</v>
      </c>
      <c r="R743" s="22" t="s">
        <v>15</v>
      </c>
      <c r="S743" s="22">
        <v>31504</v>
      </c>
      <c r="T743" s="78">
        <v>0</v>
      </c>
      <c r="U743" s="23">
        <v>31504</v>
      </c>
    </row>
    <row r="744" spans="1:21">
      <c r="A744" s="5">
        <v>183143</v>
      </c>
      <c r="B744" s="5" t="s">
        <v>10</v>
      </c>
      <c r="C744" s="5" t="s">
        <v>37</v>
      </c>
      <c r="D744" s="5" t="s">
        <v>26</v>
      </c>
      <c r="E744" s="5" t="s">
        <v>13</v>
      </c>
      <c r="F744" s="5" t="s">
        <v>14</v>
      </c>
      <c r="G744" s="5" t="s">
        <v>24</v>
      </c>
      <c r="H744" s="5">
        <v>55127</v>
      </c>
      <c r="I744" s="5">
        <v>1275</v>
      </c>
      <c r="J744" s="6">
        <f t="shared" si="11"/>
        <v>53852</v>
      </c>
      <c r="L744" s="18">
        <v>200631</v>
      </c>
      <c r="M744" s="19" t="s">
        <v>16</v>
      </c>
      <c r="N744" s="19" t="s">
        <v>37</v>
      </c>
      <c r="O744" s="19" t="s">
        <v>33</v>
      </c>
      <c r="P744" s="19" t="s">
        <v>13</v>
      </c>
      <c r="Q744" s="19" t="s">
        <v>14</v>
      </c>
      <c r="R744" s="19" t="s">
        <v>15</v>
      </c>
      <c r="S744" s="19">
        <v>57207</v>
      </c>
      <c r="T744" s="77">
        <v>243</v>
      </c>
      <c r="U744" s="20">
        <v>56964</v>
      </c>
    </row>
    <row r="745" spans="1:21">
      <c r="A745" s="5">
        <v>203773</v>
      </c>
      <c r="B745" s="5" t="s">
        <v>16</v>
      </c>
      <c r="C745" s="5" t="s">
        <v>37</v>
      </c>
      <c r="D745" s="5" t="s">
        <v>12</v>
      </c>
      <c r="E745" s="5" t="s">
        <v>13</v>
      </c>
      <c r="F745" s="5" t="s">
        <v>14</v>
      </c>
      <c r="G745" s="5" t="s">
        <v>15</v>
      </c>
      <c r="H745" s="5">
        <v>46703</v>
      </c>
      <c r="I745" s="5">
        <v>325</v>
      </c>
      <c r="J745" s="6">
        <f t="shared" si="11"/>
        <v>46378</v>
      </c>
      <c r="L745" s="21">
        <v>73388</v>
      </c>
      <c r="M745" s="22" t="s">
        <v>10</v>
      </c>
      <c r="N745" s="22" t="s">
        <v>27</v>
      </c>
      <c r="O745" s="22" t="s">
        <v>23</v>
      </c>
      <c r="P745" s="22" t="s">
        <v>13</v>
      </c>
      <c r="Q745" s="22" t="s">
        <v>14</v>
      </c>
      <c r="R745" s="22" t="s">
        <v>15</v>
      </c>
      <c r="S745" s="22">
        <v>146765</v>
      </c>
      <c r="T745" s="78">
        <v>17627</v>
      </c>
      <c r="U745" s="23">
        <v>129138</v>
      </c>
    </row>
    <row r="746" spans="1:21">
      <c r="A746" s="5">
        <v>48704</v>
      </c>
      <c r="B746" s="5" t="s">
        <v>10</v>
      </c>
      <c r="C746" s="5" t="s">
        <v>27</v>
      </c>
      <c r="D746" s="5" t="s">
        <v>30</v>
      </c>
      <c r="E746" s="5" t="s">
        <v>13</v>
      </c>
      <c r="F746" s="5" t="s">
        <v>14</v>
      </c>
      <c r="G746" s="5" t="s">
        <v>15</v>
      </c>
      <c r="H746" s="5">
        <v>75992</v>
      </c>
      <c r="I746" s="5">
        <v>615</v>
      </c>
      <c r="J746" s="6">
        <f t="shared" si="11"/>
        <v>75377</v>
      </c>
      <c r="L746" s="18">
        <v>216692</v>
      </c>
      <c r="M746" s="19" t="s">
        <v>10</v>
      </c>
      <c r="N746" s="19" t="s">
        <v>34</v>
      </c>
      <c r="O746" s="19" t="s">
        <v>36</v>
      </c>
      <c r="P746" s="19" t="s">
        <v>13</v>
      </c>
      <c r="Q746" s="19" t="s">
        <v>14</v>
      </c>
      <c r="R746" s="19" t="s">
        <v>15</v>
      </c>
      <c r="S746" s="19">
        <v>36998</v>
      </c>
      <c r="T746" s="77">
        <v>2000</v>
      </c>
      <c r="U746" s="20">
        <v>34998</v>
      </c>
    </row>
    <row r="747" spans="1:21">
      <c r="A747" s="5">
        <v>134449</v>
      </c>
      <c r="B747" s="5" t="s">
        <v>16</v>
      </c>
      <c r="C747" s="5" t="s">
        <v>22</v>
      </c>
      <c r="D747" s="5" t="s">
        <v>30</v>
      </c>
      <c r="E747" s="5" t="s">
        <v>13</v>
      </c>
      <c r="F747" s="5" t="s">
        <v>28</v>
      </c>
      <c r="G747" s="5" t="s">
        <v>15</v>
      </c>
      <c r="H747" s="5">
        <v>47729</v>
      </c>
      <c r="I747" s="5">
        <v>0</v>
      </c>
      <c r="J747" s="6">
        <f t="shared" si="11"/>
        <v>47729</v>
      </c>
      <c r="L747" s="21">
        <v>119195</v>
      </c>
      <c r="M747" s="22" t="s">
        <v>10</v>
      </c>
      <c r="N747" s="22" t="s">
        <v>31</v>
      </c>
      <c r="O747" s="22" t="s">
        <v>12</v>
      </c>
      <c r="P747" s="22" t="s">
        <v>19</v>
      </c>
      <c r="Q747" s="22" t="s">
        <v>14</v>
      </c>
      <c r="R747" s="22" t="s">
        <v>24</v>
      </c>
      <c r="S747" s="22">
        <v>1096</v>
      </c>
      <c r="T747" s="78">
        <v>136</v>
      </c>
      <c r="U747" s="23">
        <v>960</v>
      </c>
    </row>
    <row r="748" spans="1:21">
      <c r="A748" s="5">
        <v>75961</v>
      </c>
      <c r="B748" s="5" t="s">
        <v>16</v>
      </c>
      <c r="C748" s="5" t="s">
        <v>27</v>
      </c>
      <c r="D748" s="5" t="s">
        <v>33</v>
      </c>
      <c r="E748" s="5" t="s">
        <v>19</v>
      </c>
      <c r="F748" s="5" t="s">
        <v>28</v>
      </c>
      <c r="G748" s="5" t="s">
        <v>15</v>
      </c>
      <c r="H748" s="5">
        <v>40390</v>
      </c>
      <c r="I748" s="5">
        <v>318</v>
      </c>
      <c r="J748" s="6">
        <f t="shared" si="11"/>
        <v>40072</v>
      </c>
      <c r="L748" s="18">
        <v>92716</v>
      </c>
      <c r="M748" s="19" t="s">
        <v>10</v>
      </c>
      <c r="N748" s="19" t="s">
        <v>20</v>
      </c>
      <c r="O748" s="19" t="s">
        <v>32</v>
      </c>
      <c r="P748" s="19" t="s">
        <v>13</v>
      </c>
      <c r="Q748" s="19" t="s">
        <v>14</v>
      </c>
      <c r="R748" s="19" t="s">
        <v>15</v>
      </c>
      <c r="S748" s="19">
        <v>14242</v>
      </c>
      <c r="T748" s="77">
        <v>0</v>
      </c>
      <c r="U748" s="20">
        <v>14242</v>
      </c>
    </row>
    <row r="749" spans="1:21">
      <c r="A749" s="5">
        <v>241385</v>
      </c>
      <c r="B749" s="5" t="s">
        <v>16</v>
      </c>
      <c r="C749" s="5" t="s">
        <v>35</v>
      </c>
      <c r="D749" s="5" t="s">
        <v>33</v>
      </c>
      <c r="E749" s="5" t="s">
        <v>13</v>
      </c>
      <c r="F749" s="5" t="s">
        <v>14</v>
      </c>
      <c r="G749" s="5" t="s">
        <v>24</v>
      </c>
      <c r="H749" s="5">
        <v>30008</v>
      </c>
      <c r="I749" s="5">
        <v>161</v>
      </c>
      <c r="J749" s="6">
        <f t="shared" si="11"/>
        <v>29847</v>
      </c>
      <c r="L749" s="21">
        <v>54541</v>
      </c>
      <c r="M749" s="22" t="s">
        <v>16</v>
      </c>
      <c r="N749" s="22" t="s">
        <v>35</v>
      </c>
      <c r="O749" s="22" t="s">
        <v>32</v>
      </c>
      <c r="P749" s="22" t="s">
        <v>13</v>
      </c>
      <c r="Q749" s="22" t="s">
        <v>14</v>
      </c>
      <c r="R749" s="22" t="s">
        <v>15</v>
      </c>
      <c r="S749" s="22">
        <v>32368</v>
      </c>
      <c r="T749" s="78">
        <v>9</v>
      </c>
      <c r="U749" s="23">
        <v>32359</v>
      </c>
    </row>
    <row r="750" spans="1:21">
      <c r="A750" s="5">
        <v>10099</v>
      </c>
      <c r="B750" s="5" t="s">
        <v>10</v>
      </c>
      <c r="C750" s="5" t="s">
        <v>20</v>
      </c>
      <c r="D750" s="5" t="s">
        <v>32</v>
      </c>
      <c r="E750" s="5" t="s">
        <v>13</v>
      </c>
      <c r="F750" s="5" t="s">
        <v>14</v>
      </c>
      <c r="G750" s="5" t="s">
        <v>15</v>
      </c>
      <c r="H750" s="5">
        <v>77602</v>
      </c>
      <c r="I750" s="5">
        <v>0</v>
      </c>
      <c r="J750" s="6">
        <f t="shared" si="11"/>
        <v>77602</v>
      </c>
      <c r="L750" s="18">
        <v>31739</v>
      </c>
      <c r="M750" s="19" t="s">
        <v>10</v>
      </c>
      <c r="N750" s="19" t="s">
        <v>35</v>
      </c>
      <c r="O750" s="19" t="s">
        <v>32</v>
      </c>
      <c r="P750" s="19" t="s">
        <v>19</v>
      </c>
      <c r="Q750" s="19" t="s">
        <v>14</v>
      </c>
      <c r="R750" s="19" t="s">
        <v>24</v>
      </c>
      <c r="S750" s="19">
        <v>107291</v>
      </c>
      <c r="T750" s="77">
        <v>145</v>
      </c>
      <c r="U750" s="20">
        <v>107146</v>
      </c>
    </row>
    <row r="751" spans="1:21">
      <c r="A751" s="5">
        <v>172962</v>
      </c>
      <c r="B751" s="5" t="s">
        <v>16</v>
      </c>
      <c r="C751" s="5" t="s">
        <v>31</v>
      </c>
      <c r="D751" s="5" t="s">
        <v>36</v>
      </c>
      <c r="E751" s="5" t="s">
        <v>19</v>
      </c>
      <c r="F751" s="5" t="s">
        <v>28</v>
      </c>
      <c r="G751" s="5" t="s">
        <v>24</v>
      </c>
      <c r="H751" s="5">
        <v>6657</v>
      </c>
      <c r="I751" s="5">
        <v>0</v>
      </c>
      <c r="J751" s="6">
        <f t="shared" si="11"/>
        <v>6657</v>
      </c>
      <c r="L751" s="21">
        <v>225950</v>
      </c>
      <c r="M751" s="22" t="s">
        <v>10</v>
      </c>
      <c r="N751" s="22" t="s">
        <v>22</v>
      </c>
      <c r="O751" s="22" t="s">
        <v>12</v>
      </c>
      <c r="P751" s="22" t="s">
        <v>19</v>
      </c>
      <c r="Q751" s="22" t="s">
        <v>14</v>
      </c>
      <c r="R751" s="22" t="s">
        <v>15</v>
      </c>
      <c r="S751" s="22">
        <v>56592</v>
      </c>
      <c r="T751" s="78">
        <v>5715</v>
      </c>
      <c r="U751" s="23">
        <v>50877</v>
      </c>
    </row>
    <row r="752" spans="1:21">
      <c r="A752" s="5">
        <v>209832</v>
      </c>
      <c r="B752" s="5" t="s">
        <v>16</v>
      </c>
      <c r="C752" s="5" t="s">
        <v>38</v>
      </c>
      <c r="D752" s="5" t="s">
        <v>12</v>
      </c>
      <c r="E752" s="5" t="s">
        <v>13</v>
      </c>
      <c r="F752" s="5" t="s">
        <v>14</v>
      </c>
      <c r="G752" s="5" t="s">
        <v>15</v>
      </c>
      <c r="H752" s="5">
        <v>113967</v>
      </c>
      <c r="I752" s="5">
        <v>4431</v>
      </c>
      <c r="J752" s="6">
        <f t="shared" si="11"/>
        <v>109536</v>
      </c>
      <c r="L752" s="18">
        <v>83242</v>
      </c>
      <c r="M752" s="19" t="s">
        <v>10</v>
      </c>
      <c r="N752" s="19" t="s">
        <v>34</v>
      </c>
      <c r="O752" s="19" t="s">
        <v>33</v>
      </c>
      <c r="P752" s="19" t="s">
        <v>13</v>
      </c>
      <c r="Q752" s="19" t="s">
        <v>14</v>
      </c>
      <c r="R752" s="19" t="s">
        <v>15</v>
      </c>
      <c r="S752" s="19">
        <v>114378</v>
      </c>
      <c r="T752" s="77">
        <v>123</v>
      </c>
      <c r="U752" s="20">
        <v>114255</v>
      </c>
    </row>
    <row r="753" spans="1:21">
      <c r="A753" s="5">
        <v>237184</v>
      </c>
      <c r="B753" s="5" t="s">
        <v>16</v>
      </c>
      <c r="C753" s="5" t="s">
        <v>25</v>
      </c>
      <c r="D753" s="5" t="s">
        <v>33</v>
      </c>
      <c r="E753" s="5" t="s">
        <v>13</v>
      </c>
      <c r="F753" s="5" t="s">
        <v>14</v>
      </c>
      <c r="G753" s="5" t="s">
        <v>24</v>
      </c>
      <c r="H753" s="5">
        <v>37298</v>
      </c>
      <c r="I753" s="5">
        <v>1880</v>
      </c>
      <c r="J753" s="6">
        <f t="shared" si="11"/>
        <v>35418</v>
      </c>
      <c r="L753" s="21">
        <v>214200</v>
      </c>
      <c r="M753" s="22" t="s">
        <v>10</v>
      </c>
      <c r="N753" s="22" t="s">
        <v>11</v>
      </c>
      <c r="O753" s="22" t="s">
        <v>32</v>
      </c>
      <c r="P753" s="22" t="s">
        <v>13</v>
      </c>
      <c r="Q753" s="22" t="s">
        <v>14</v>
      </c>
      <c r="R753" s="22" t="s">
        <v>15</v>
      </c>
      <c r="S753" s="22">
        <v>106685</v>
      </c>
      <c r="T753" s="78">
        <v>2672</v>
      </c>
      <c r="U753" s="23">
        <v>104013</v>
      </c>
    </row>
    <row r="754" spans="1:21">
      <c r="A754" s="5">
        <v>74814</v>
      </c>
      <c r="B754" s="5" t="s">
        <v>10</v>
      </c>
      <c r="C754" s="5" t="s">
        <v>34</v>
      </c>
      <c r="D754" s="5" t="s">
        <v>32</v>
      </c>
      <c r="E754" s="5" t="s">
        <v>13</v>
      </c>
      <c r="F754" s="5" t="s">
        <v>14</v>
      </c>
      <c r="G754" s="5" t="s">
        <v>24</v>
      </c>
      <c r="H754" s="5">
        <v>22435</v>
      </c>
      <c r="I754" s="5">
        <v>0</v>
      </c>
      <c r="J754" s="6">
        <f t="shared" si="11"/>
        <v>22435</v>
      </c>
      <c r="L754" s="18">
        <v>122898</v>
      </c>
      <c r="M754" s="19" t="s">
        <v>10</v>
      </c>
      <c r="N754" s="19" t="s">
        <v>25</v>
      </c>
      <c r="O754" s="19" t="s">
        <v>18</v>
      </c>
      <c r="P754" s="19" t="s">
        <v>13</v>
      </c>
      <c r="Q754" s="19" t="s">
        <v>14</v>
      </c>
      <c r="R754" s="19" t="s">
        <v>24</v>
      </c>
      <c r="S754" s="19">
        <v>116064</v>
      </c>
      <c r="T754" s="77">
        <v>2123</v>
      </c>
      <c r="U754" s="20">
        <v>113941</v>
      </c>
    </row>
    <row r="755" spans="1:21">
      <c r="A755" s="5">
        <v>89712</v>
      </c>
      <c r="B755" s="5" t="s">
        <v>10</v>
      </c>
      <c r="C755" s="5" t="s">
        <v>38</v>
      </c>
      <c r="D755" s="5" t="s">
        <v>32</v>
      </c>
      <c r="E755" s="5" t="s">
        <v>13</v>
      </c>
      <c r="F755" s="5" t="s">
        <v>28</v>
      </c>
      <c r="G755" s="5" t="s">
        <v>15</v>
      </c>
      <c r="H755" s="5">
        <v>6544</v>
      </c>
      <c r="I755" s="5">
        <v>11</v>
      </c>
      <c r="J755" s="6">
        <f t="shared" si="11"/>
        <v>6533</v>
      </c>
      <c r="L755" s="21">
        <v>54483</v>
      </c>
      <c r="M755" s="22" t="s">
        <v>16</v>
      </c>
      <c r="N755" s="22" t="s">
        <v>27</v>
      </c>
      <c r="O755" s="22" t="s">
        <v>12</v>
      </c>
      <c r="P755" s="22" t="s">
        <v>19</v>
      </c>
      <c r="Q755" s="22" t="s">
        <v>14</v>
      </c>
      <c r="R755" s="22" t="s">
        <v>15</v>
      </c>
      <c r="S755" s="22">
        <v>161245</v>
      </c>
      <c r="T755" s="78">
        <v>21631</v>
      </c>
      <c r="U755" s="23">
        <v>139614</v>
      </c>
    </row>
    <row r="756" spans="1:21">
      <c r="A756" s="5">
        <v>93995</v>
      </c>
      <c r="B756" s="5" t="s">
        <v>10</v>
      </c>
      <c r="C756" s="5" t="s">
        <v>38</v>
      </c>
      <c r="D756" s="5" t="s">
        <v>32</v>
      </c>
      <c r="E756" s="5" t="s">
        <v>13</v>
      </c>
      <c r="F756" s="5" t="s">
        <v>14</v>
      </c>
      <c r="G756" s="5" t="s">
        <v>24</v>
      </c>
      <c r="H756" s="5">
        <v>25845</v>
      </c>
      <c r="I756" s="5">
        <v>1975</v>
      </c>
      <c r="J756" s="6">
        <f t="shared" si="11"/>
        <v>23870</v>
      </c>
      <c r="L756" s="18">
        <v>41384</v>
      </c>
      <c r="M756" s="19" t="s">
        <v>16</v>
      </c>
      <c r="N756" s="19" t="s">
        <v>34</v>
      </c>
      <c r="O756" s="19" t="s">
        <v>12</v>
      </c>
      <c r="P756" s="19" t="s">
        <v>13</v>
      </c>
      <c r="Q756" s="19" t="s">
        <v>14</v>
      </c>
      <c r="R756" s="19" t="s">
        <v>15</v>
      </c>
      <c r="S756" s="19">
        <v>97322</v>
      </c>
      <c r="T756" s="77">
        <v>1931</v>
      </c>
      <c r="U756" s="20">
        <v>95391</v>
      </c>
    </row>
    <row r="757" spans="1:21">
      <c r="A757" s="5">
        <v>40587</v>
      </c>
      <c r="B757" s="5" t="s">
        <v>16</v>
      </c>
      <c r="C757" s="5" t="s">
        <v>38</v>
      </c>
      <c r="D757" s="5" t="s">
        <v>33</v>
      </c>
      <c r="E757" s="5" t="s">
        <v>13</v>
      </c>
      <c r="F757" s="5" t="s">
        <v>14</v>
      </c>
      <c r="G757" s="5" t="s">
        <v>15</v>
      </c>
      <c r="H757" s="5">
        <v>63641</v>
      </c>
      <c r="I757" s="5">
        <v>63</v>
      </c>
      <c r="J757" s="6">
        <f t="shared" si="11"/>
        <v>63578</v>
      </c>
      <c r="L757" s="21">
        <v>182979</v>
      </c>
      <c r="M757" s="22" t="s">
        <v>10</v>
      </c>
      <c r="N757" s="22" t="s">
        <v>20</v>
      </c>
      <c r="O757" s="22" t="s">
        <v>32</v>
      </c>
      <c r="P757" s="22" t="s">
        <v>13</v>
      </c>
      <c r="Q757" s="22" t="s">
        <v>14</v>
      </c>
      <c r="R757" s="22" t="s">
        <v>15</v>
      </c>
      <c r="S757" s="22">
        <v>13719</v>
      </c>
      <c r="T757" s="78">
        <v>704</v>
      </c>
      <c r="U757" s="23">
        <v>13015</v>
      </c>
    </row>
    <row r="758" spans="1:21">
      <c r="A758" s="5">
        <v>139341</v>
      </c>
      <c r="B758" s="5" t="s">
        <v>10</v>
      </c>
      <c r="C758" s="5" t="s">
        <v>25</v>
      </c>
      <c r="D758" s="5" t="s">
        <v>36</v>
      </c>
      <c r="E758" s="5" t="s">
        <v>19</v>
      </c>
      <c r="F758" s="5" t="s">
        <v>14</v>
      </c>
      <c r="G758" s="5" t="s">
        <v>15</v>
      </c>
      <c r="H758" s="5">
        <v>4002</v>
      </c>
      <c r="I758" s="5">
        <v>0</v>
      </c>
      <c r="J758" s="6">
        <f t="shared" si="11"/>
        <v>4002</v>
      </c>
      <c r="L758" s="18">
        <v>127799</v>
      </c>
      <c r="M758" s="19" t="s">
        <v>16</v>
      </c>
      <c r="N758" s="19" t="s">
        <v>22</v>
      </c>
      <c r="O758" s="19" t="s">
        <v>33</v>
      </c>
      <c r="P758" s="19" t="s">
        <v>19</v>
      </c>
      <c r="Q758" s="19" t="s">
        <v>14</v>
      </c>
      <c r="R758" s="19" t="s">
        <v>15</v>
      </c>
      <c r="S758" s="19">
        <v>81435</v>
      </c>
      <c r="T758" s="77">
        <v>897</v>
      </c>
      <c r="U758" s="20">
        <v>80538</v>
      </c>
    </row>
    <row r="759" spans="1:21">
      <c r="A759" s="5">
        <v>202417</v>
      </c>
      <c r="B759" s="5" t="s">
        <v>10</v>
      </c>
      <c r="C759" s="5" t="s">
        <v>37</v>
      </c>
      <c r="D759" s="5" t="s">
        <v>30</v>
      </c>
      <c r="E759" s="5" t="s">
        <v>13</v>
      </c>
      <c r="F759" s="5" t="s">
        <v>14</v>
      </c>
      <c r="G759" s="5" t="s">
        <v>15</v>
      </c>
      <c r="H759" s="5">
        <v>54800</v>
      </c>
      <c r="I759" s="5">
        <v>4226</v>
      </c>
      <c r="J759" s="6">
        <f t="shared" si="11"/>
        <v>50574</v>
      </c>
      <c r="L759" s="21">
        <v>68215</v>
      </c>
      <c r="M759" s="22" t="s">
        <v>16</v>
      </c>
      <c r="N759" s="22" t="s">
        <v>37</v>
      </c>
      <c r="O759" s="22" t="s">
        <v>33</v>
      </c>
      <c r="P759" s="22" t="s">
        <v>13</v>
      </c>
      <c r="Q759" s="22" t="s">
        <v>14</v>
      </c>
      <c r="R759" s="22" t="s">
        <v>24</v>
      </c>
      <c r="S759" s="22">
        <v>21780</v>
      </c>
      <c r="T759" s="78">
        <v>578</v>
      </c>
      <c r="U759" s="23">
        <v>21202</v>
      </c>
    </row>
    <row r="760" spans="1:21">
      <c r="A760" s="5">
        <v>232392</v>
      </c>
      <c r="B760" s="5" t="s">
        <v>10</v>
      </c>
      <c r="C760" s="5" t="s">
        <v>17</v>
      </c>
      <c r="D760" s="5" t="s">
        <v>18</v>
      </c>
      <c r="E760" s="5" t="s">
        <v>19</v>
      </c>
      <c r="F760" s="5" t="s">
        <v>14</v>
      </c>
      <c r="G760" s="5" t="s">
        <v>24</v>
      </c>
      <c r="H760" s="5">
        <v>25379</v>
      </c>
      <c r="I760" s="5">
        <v>249</v>
      </c>
      <c r="J760" s="6">
        <f t="shared" si="11"/>
        <v>25130</v>
      </c>
      <c r="L760" s="18">
        <v>13552</v>
      </c>
      <c r="M760" s="19" t="s">
        <v>16</v>
      </c>
      <c r="N760" s="19" t="s">
        <v>34</v>
      </c>
      <c r="O760" s="19" t="s">
        <v>30</v>
      </c>
      <c r="P760" s="19" t="s">
        <v>13</v>
      </c>
      <c r="Q760" s="19" t="s">
        <v>14</v>
      </c>
      <c r="R760" s="19" t="s">
        <v>15</v>
      </c>
      <c r="S760" s="19">
        <v>155773</v>
      </c>
      <c r="T760" s="77">
        <v>0</v>
      </c>
      <c r="U760" s="20">
        <v>155773</v>
      </c>
    </row>
    <row r="761" spans="1:21">
      <c r="A761" s="5">
        <v>251085</v>
      </c>
      <c r="B761" s="5" t="s">
        <v>10</v>
      </c>
      <c r="C761" s="5" t="s">
        <v>39</v>
      </c>
      <c r="D761" s="5" t="s">
        <v>21</v>
      </c>
      <c r="E761" s="5" t="s">
        <v>13</v>
      </c>
      <c r="F761" s="5" t="s">
        <v>14</v>
      </c>
      <c r="G761" s="5" t="s">
        <v>15</v>
      </c>
      <c r="H761" s="5">
        <v>12899</v>
      </c>
      <c r="I761" s="5">
        <v>0</v>
      </c>
      <c r="J761" s="6">
        <f t="shared" si="11"/>
        <v>12899</v>
      </c>
      <c r="L761" s="21">
        <v>120004</v>
      </c>
      <c r="M761" s="22" t="s">
        <v>16</v>
      </c>
      <c r="N761" s="22" t="s">
        <v>22</v>
      </c>
      <c r="O761" s="22" t="s">
        <v>12</v>
      </c>
      <c r="P761" s="22" t="s">
        <v>13</v>
      </c>
      <c r="Q761" s="22" t="s">
        <v>14</v>
      </c>
      <c r="R761" s="22" t="s">
        <v>15</v>
      </c>
      <c r="S761" s="22">
        <v>48062</v>
      </c>
      <c r="T761" s="78">
        <v>1027</v>
      </c>
      <c r="U761" s="23">
        <v>47035</v>
      </c>
    </row>
    <row r="762" spans="1:21">
      <c r="A762" s="5">
        <v>165703</v>
      </c>
      <c r="B762" s="5" t="s">
        <v>16</v>
      </c>
      <c r="C762" s="5" t="s">
        <v>27</v>
      </c>
      <c r="D762" s="5" t="s">
        <v>33</v>
      </c>
      <c r="E762" s="5" t="s">
        <v>13</v>
      </c>
      <c r="F762" s="5" t="s">
        <v>28</v>
      </c>
      <c r="G762" s="5" t="s">
        <v>24</v>
      </c>
      <c r="H762" s="5">
        <v>12492</v>
      </c>
      <c r="I762" s="5">
        <v>0</v>
      </c>
      <c r="J762" s="6">
        <f t="shared" si="11"/>
        <v>12492</v>
      </c>
      <c r="L762" s="18">
        <v>147138</v>
      </c>
      <c r="M762" s="19" t="s">
        <v>16</v>
      </c>
      <c r="N762" s="19" t="s">
        <v>22</v>
      </c>
      <c r="O762" s="19" t="s">
        <v>33</v>
      </c>
      <c r="P762" s="19" t="s">
        <v>19</v>
      </c>
      <c r="Q762" s="19" t="s">
        <v>14</v>
      </c>
      <c r="R762" s="19" t="s">
        <v>24</v>
      </c>
      <c r="S762" s="19">
        <v>21838</v>
      </c>
      <c r="T762" s="77">
        <v>0</v>
      </c>
      <c r="U762" s="20">
        <v>21838</v>
      </c>
    </row>
    <row r="763" spans="1:21">
      <c r="A763" s="5">
        <v>7293</v>
      </c>
      <c r="B763" s="5" t="s">
        <v>10</v>
      </c>
      <c r="C763" s="5" t="s">
        <v>37</v>
      </c>
      <c r="D763" s="5" t="s">
        <v>12</v>
      </c>
      <c r="E763" s="5" t="s">
        <v>13</v>
      </c>
      <c r="F763" s="5" t="s">
        <v>14</v>
      </c>
      <c r="G763" s="5" t="s">
        <v>15</v>
      </c>
      <c r="H763" s="5">
        <v>308104</v>
      </c>
      <c r="I763" s="5">
        <v>1083</v>
      </c>
      <c r="J763" s="6">
        <f t="shared" si="11"/>
        <v>307021</v>
      </c>
      <c r="L763" s="21">
        <v>237604</v>
      </c>
      <c r="M763" s="22" t="s">
        <v>10</v>
      </c>
      <c r="N763" s="22" t="s">
        <v>25</v>
      </c>
      <c r="O763" s="22" t="s">
        <v>18</v>
      </c>
      <c r="P763" s="22" t="s">
        <v>19</v>
      </c>
      <c r="Q763" s="22" t="s">
        <v>14</v>
      </c>
      <c r="R763" s="22" t="s">
        <v>24</v>
      </c>
      <c r="S763" s="22">
        <v>25872</v>
      </c>
      <c r="T763" s="78">
        <v>382</v>
      </c>
      <c r="U763" s="23">
        <v>25490</v>
      </c>
    </row>
    <row r="764" spans="1:21">
      <c r="A764" s="5">
        <v>133874</v>
      </c>
      <c r="B764" s="5" t="s">
        <v>10</v>
      </c>
      <c r="C764" s="5" t="s">
        <v>25</v>
      </c>
      <c r="D764" s="5" t="s">
        <v>21</v>
      </c>
      <c r="E764" s="5" t="s">
        <v>19</v>
      </c>
      <c r="F764" s="5" t="s">
        <v>28</v>
      </c>
      <c r="G764" s="5" t="s">
        <v>24</v>
      </c>
      <c r="H764" s="5">
        <v>4796</v>
      </c>
      <c r="I764" s="5">
        <v>0</v>
      </c>
      <c r="J764" s="6">
        <f t="shared" si="11"/>
        <v>4796</v>
      </c>
      <c r="L764" s="18">
        <v>181935</v>
      </c>
      <c r="M764" s="19" t="s">
        <v>10</v>
      </c>
      <c r="N764" s="19" t="s">
        <v>38</v>
      </c>
      <c r="O764" s="19" t="s">
        <v>29</v>
      </c>
      <c r="P764" s="19" t="s">
        <v>13</v>
      </c>
      <c r="Q764" s="19" t="s">
        <v>14</v>
      </c>
      <c r="R764" s="19" t="s">
        <v>24</v>
      </c>
      <c r="S764" s="19">
        <v>81954</v>
      </c>
      <c r="T764" s="77">
        <v>1890</v>
      </c>
      <c r="U764" s="20">
        <v>80064</v>
      </c>
    </row>
    <row r="765" spans="1:21">
      <c r="A765" s="5">
        <v>98414</v>
      </c>
      <c r="B765" s="5" t="s">
        <v>10</v>
      </c>
      <c r="C765" s="5" t="s">
        <v>34</v>
      </c>
      <c r="D765" s="5" t="s">
        <v>32</v>
      </c>
      <c r="E765" s="5" t="s">
        <v>13</v>
      </c>
      <c r="F765" s="5" t="s">
        <v>14</v>
      </c>
      <c r="G765" s="5" t="s">
        <v>15</v>
      </c>
      <c r="H765" s="5">
        <v>141894</v>
      </c>
      <c r="I765" s="5">
        <v>3784</v>
      </c>
      <c r="J765" s="6">
        <f t="shared" si="11"/>
        <v>138110</v>
      </c>
      <c r="L765" s="21">
        <v>99748</v>
      </c>
      <c r="M765" s="22" t="s">
        <v>16</v>
      </c>
      <c r="N765" s="22" t="s">
        <v>27</v>
      </c>
      <c r="O765" s="22" t="s">
        <v>32</v>
      </c>
      <c r="P765" s="22" t="s">
        <v>13</v>
      </c>
      <c r="Q765" s="22" t="s">
        <v>14</v>
      </c>
      <c r="R765" s="22" t="s">
        <v>15</v>
      </c>
      <c r="S765" s="22">
        <v>39366</v>
      </c>
      <c r="T765" s="78">
        <v>0</v>
      </c>
      <c r="U765" s="23">
        <v>39366</v>
      </c>
    </row>
    <row r="766" spans="1:21">
      <c r="A766" s="5">
        <v>258399</v>
      </c>
      <c r="B766" s="5" t="s">
        <v>10</v>
      </c>
      <c r="C766" s="5" t="s">
        <v>17</v>
      </c>
      <c r="D766" s="5" t="s">
        <v>23</v>
      </c>
      <c r="E766" s="5" t="s">
        <v>19</v>
      </c>
      <c r="F766" s="5" t="s">
        <v>14</v>
      </c>
      <c r="G766" s="5" t="s">
        <v>24</v>
      </c>
      <c r="H766" s="5">
        <v>40195</v>
      </c>
      <c r="I766" s="5">
        <v>4424</v>
      </c>
      <c r="J766" s="6">
        <f t="shared" si="11"/>
        <v>35771</v>
      </c>
      <c r="L766" s="18">
        <v>99754</v>
      </c>
      <c r="M766" s="19" t="s">
        <v>10</v>
      </c>
      <c r="N766" s="19" t="s">
        <v>34</v>
      </c>
      <c r="O766" s="19" t="s">
        <v>26</v>
      </c>
      <c r="P766" s="19" t="s">
        <v>13</v>
      </c>
      <c r="Q766" s="19" t="s">
        <v>14</v>
      </c>
      <c r="R766" s="19" t="s">
        <v>24</v>
      </c>
      <c r="S766" s="19">
        <v>25115</v>
      </c>
      <c r="T766" s="77">
        <v>3060</v>
      </c>
      <c r="U766" s="20">
        <v>22055</v>
      </c>
    </row>
    <row r="767" spans="1:21">
      <c r="A767" s="5">
        <v>175359</v>
      </c>
      <c r="B767" s="5" t="s">
        <v>16</v>
      </c>
      <c r="C767" s="5" t="s">
        <v>22</v>
      </c>
      <c r="D767" s="5" t="s">
        <v>18</v>
      </c>
      <c r="E767" s="5" t="s">
        <v>13</v>
      </c>
      <c r="F767" s="5" t="s">
        <v>14</v>
      </c>
      <c r="G767" s="5" t="s">
        <v>15</v>
      </c>
      <c r="H767" s="5">
        <v>995</v>
      </c>
      <c r="I767" s="5">
        <v>279</v>
      </c>
      <c r="J767" s="6">
        <f t="shared" si="11"/>
        <v>716</v>
      </c>
      <c r="L767" s="21">
        <v>109876</v>
      </c>
      <c r="M767" s="22" t="s">
        <v>10</v>
      </c>
      <c r="N767" s="22" t="s">
        <v>11</v>
      </c>
      <c r="O767" s="22" t="s">
        <v>32</v>
      </c>
      <c r="P767" s="22" t="s">
        <v>13</v>
      </c>
      <c r="Q767" s="22" t="s">
        <v>14</v>
      </c>
      <c r="R767" s="22" t="s">
        <v>15</v>
      </c>
      <c r="S767" s="22">
        <v>3745</v>
      </c>
      <c r="T767" s="78">
        <v>110</v>
      </c>
      <c r="U767" s="23">
        <v>3635</v>
      </c>
    </row>
    <row r="768" spans="1:21">
      <c r="A768" s="5">
        <v>172160</v>
      </c>
      <c r="B768" s="5" t="s">
        <v>16</v>
      </c>
      <c r="C768" s="5" t="s">
        <v>11</v>
      </c>
      <c r="D768" s="5" t="s">
        <v>21</v>
      </c>
      <c r="E768" s="5" t="s">
        <v>13</v>
      </c>
      <c r="F768" s="5" t="s">
        <v>14</v>
      </c>
      <c r="G768" s="5" t="s">
        <v>15</v>
      </c>
      <c r="H768" s="5">
        <v>44641</v>
      </c>
      <c r="I768" s="5">
        <v>444</v>
      </c>
      <c r="J768" s="6">
        <f t="shared" si="11"/>
        <v>44197</v>
      </c>
      <c r="L768" s="18">
        <v>90820</v>
      </c>
      <c r="M768" s="19" t="s">
        <v>16</v>
      </c>
      <c r="N768" s="19" t="s">
        <v>38</v>
      </c>
      <c r="O768" s="19" t="s">
        <v>33</v>
      </c>
      <c r="P768" s="19" t="s">
        <v>13</v>
      </c>
      <c r="Q768" s="19" t="s">
        <v>14</v>
      </c>
      <c r="R768" s="19" t="s">
        <v>15</v>
      </c>
      <c r="S768" s="19">
        <v>4582</v>
      </c>
      <c r="T768" s="77">
        <v>210</v>
      </c>
      <c r="U768" s="20">
        <v>4372</v>
      </c>
    </row>
    <row r="769" spans="1:21">
      <c r="A769" s="5">
        <v>19953</v>
      </c>
      <c r="B769" s="5" t="s">
        <v>10</v>
      </c>
      <c r="C769" s="5" t="s">
        <v>11</v>
      </c>
      <c r="D769" s="5" t="s">
        <v>12</v>
      </c>
      <c r="E769" s="5" t="s">
        <v>13</v>
      </c>
      <c r="F769" s="5" t="s">
        <v>14</v>
      </c>
      <c r="G769" s="5" t="s">
        <v>15</v>
      </c>
      <c r="H769" s="5">
        <v>64028</v>
      </c>
      <c r="I769" s="5">
        <v>1640</v>
      </c>
      <c r="J769" s="6">
        <f t="shared" si="11"/>
        <v>62388</v>
      </c>
      <c r="L769" s="21">
        <v>108536</v>
      </c>
      <c r="M769" s="22" t="s">
        <v>10</v>
      </c>
      <c r="N769" s="22" t="s">
        <v>25</v>
      </c>
      <c r="O769" s="22" t="s">
        <v>23</v>
      </c>
      <c r="P769" s="22" t="s">
        <v>19</v>
      </c>
      <c r="Q769" s="22" t="s">
        <v>14</v>
      </c>
      <c r="R769" s="22" t="s">
        <v>24</v>
      </c>
      <c r="S769" s="22">
        <v>64752</v>
      </c>
      <c r="T769" s="78">
        <v>6029</v>
      </c>
      <c r="U769" s="23">
        <v>58723</v>
      </c>
    </row>
    <row r="770" spans="1:21">
      <c r="A770" s="5">
        <v>134335</v>
      </c>
      <c r="B770" s="5" t="s">
        <v>10</v>
      </c>
      <c r="C770" s="5" t="s">
        <v>25</v>
      </c>
      <c r="D770" s="5" t="s">
        <v>32</v>
      </c>
      <c r="E770" s="5" t="s">
        <v>13</v>
      </c>
      <c r="F770" s="5" t="s">
        <v>14</v>
      </c>
      <c r="G770" s="5" t="s">
        <v>24</v>
      </c>
      <c r="H770" s="5">
        <v>21963</v>
      </c>
      <c r="I770" s="5">
        <v>0</v>
      </c>
      <c r="J770" s="6">
        <f t="shared" ref="J770:J833" si="12">H770-I770</f>
        <v>21963</v>
      </c>
      <c r="L770" s="18">
        <v>37585</v>
      </c>
      <c r="M770" s="19" t="s">
        <v>16</v>
      </c>
      <c r="N770" s="19" t="s">
        <v>35</v>
      </c>
      <c r="O770" s="19" t="s">
        <v>18</v>
      </c>
      <c r="P770" s="19" t="s">
        <v>19</v>
      </c>
      <c r="Q770" s="19" t="s">
        <v>14</v>
      </c>
      <c r="R770" s="19" t="s">
        <v>24</v>
      </c>
      <c r="S770" s="19">
        <v>47072</v>
      </c>
      <c r="T770" s="77">
        <v>892</v>
      </c>
      <c r="U770" s="20">
        <v>46180</v>
      </c>
    </row>
    <row r="771" spans="1:21">
      <c r="A771" s="5">
        <v>106589</v>
      </c>
      <c r="B771" s="5" t="s">
        <v>10</v>
      </c>
      <c r="C771" s="5" t="s">
        <v>25</v>
      </c>
      <c r="D771" s="5" t="s">
        <v>26</v>
      </c>
      <c r="E771" s="5" t="s">
        <v>19</v>
      </c>
      <c r="F771" s="5" t="s">
        <v>14</v>
      </c>
      <c r="G771" s="5" t="s">
        <v>24</v>
      </c>
      <c r="H771" s="5">
        <v>93019</v>
      </c>
      <c r="I771" s="5">
        <v>19172</v>
      </c>
      <c r="J771" s="6">
        <f t="shared" si="12"/>
        <v>73847</v>
      </c>
    </row>
    <row r="772" spans="1:21">
      <c r="A772" s="5">
        <v>195840</v>
      </c>
      <c r="B772" s="5" t="s">
        <v>16</v>
      </c>
      <c r="C772" s="5" t="s">
        <v>34</v>
      </c>
      <c r="D772" s="5" t="s">
        <v>26</v>
      </c>
      <c r="E772" s="5" t="s">
        <v>19</v>
      </c>
      <c r="F772" s="5" t="s">
        <v>14</v>
      </c>
      <c r="G772" s="5" t="s">
        <v>24</v>
      </c>
      <c r="H772" s="5">
        <v>34034</v>
      </c>
      <c r="I772" s="5">
        <v>265</v>
      </c>
      <c r="J772" s="6">
        <f t="shared" si="12"/>
        <v>33769</v>
      </c>
    </row>
    <row r="773" spans="1:21">
      <c r="A773" s="5">
        <v>202686</v>
      </c>
      <c r="B773" s="5" t="s">
        <v>16</v>
      </c>
      <c r="C773" s="5" t="s">
        <v>37</v>
      </c>
      <c r="D773" s="5" t="s">
        <v>18</v>
      </c>
      <c r="E773" s="5" t="s">
        <v>13</v>
      </c>
      <c r="F773" s="5" t="s">
        <v>14</v>
      </c>
      <c r="G773" s="5" t="s">
        <v>15</v>
      </c>
      <c r="H773" s="5">
        <v>21462</v>
      </c>
      <c r="I773" s="5">
        <v>0</v>
      </c>
      <c r="J773" s="6">
        <f t="shared" si="12"/>
        <v>21462</v>
      </c>
    </row>
    <row r="774" spans="1:21">
      <c r="A774" s="5">
        <v>29893</v>
      </c>
      <c r="B774" s="5" t="s">
        <v>10</v>
      </c>
      <c r="C774" s="5" t="s">
        <v>11</v>
      </c>
      <c r="D774" s="5" t="s">
        <v>29</v>
      </c>
      <c r="E774" s="5" t="s">
        <v>13</v>
      </c>
      <c r="F774" s="5" t="s">
        <v>14</v>
      </c>
      <c r="G774" s="5" t="s">
        <v>24</v>
      </c>
      <c r="H774" s="5">
        <v>37850</v>
      </c>
      <c r="I774" s="5">
        <v>285</v>
      </c>
      <c r="J774" s="6">
        <f t="shared" si="12"/>
        <v>37565</v>
      </c>
    </row>
    <row r="775" spans="1:21">
      <c r="A775" s="5">
        <v>245623</v>
      </c>
      <c r="B775" s="5" t="s">
        <v>10</v>
      </c>
      <c r="C775" s="5" t="s">
        <v>17</v>
      </c>
      <c r="D775" s="5" t="s">
        <v>29</v>
      </c>
      <c r="E775" s="5" t="s">
        <v>19</v>
      </c>
      <c r="F775" s="5" t="s">
        <v>28</v>
      </c>
      <c r="G775" s="5" t="s">
        <v>15</v>
      </c>
      <c r="H775" s="5">
        <v>28095</v>
      </c>
      <c r="I775" s="5">
        <v>245</v>
      </c>
      <c r="J775" s="6">
        <f t="shared" si="12"/>
        <v>27850</v>
      </c>
    </row>
    <row r="776" spans="1:21">
      <c r="A776" s="5">
        <v>251206</v>
      </c>
      <c r="B776" s="5" t="s">
        <v>16</v>
      </c>
      <c r="C776" s="5" t="s">
        <v>17</v>
      </c>
      <c r="D776" s="5" t="s">
        <v>36</v>
      </c>
      <c r="E776" s="5" t="s">
        <v>19</v>
      </c>
      <c r="F776" s="5" t="s">
        <v>14</v>
      </c>
      <c r="G776" s="5" t="s">
        <v>24</v>
      </c>
      <c r="H776" s="5">
        <v>36550</v>
      </c>
      <c r="I776" s="5">
        <v>2936</v>
      </c>
      <c r="J776" s="6">
        <f t="shared" si="12"/>
        <v>33614</v>
      </c>
    </row>
    <row r="777" spans="1:21">
      <c r="A777" s="5">
        <v>140007</v>
      </c>
      <c r="B777" s="5" t="s">
        <v>10</v>
      </c>
      <c r="C777" s="5" t="s">
        <v>17</v>
      </c>
      <c r="D777" s="5" t="s">
        <v>18</v>
      </c>
      <c r="E777" s="5" t="s">
        <v>19</v>
      </c>
      <c r="F777" s="5" t="s">
        <v>14</v>
      </c>
      <c r="G777" s="5" t="s">
        <v>15</v>
      </c>
      <c r="H777" s="5">
        <v>5530</v>
      </c>
      <c r="I777" s="5">
        <v>92</v>
      </c>
      <c r="J777" s="6">
        <f t="shared" si="12"/>
        <v>5438</v>
      </c>
    </row>
    <row r="778" spans="1:21">
      <c r="A778" s="5">
        <v>219657</v>
      </c>
      <c r="B778" s="5" t="s">
        <v>16</v>
      </c>
      <c r="C778" s="5" t="s">
        <v>25</v>
      </c>
      <c r="D778" s="5" t="s">
        <v>21</v>
      </c>
      <c r="E778" s="5" t="s">
        <v>13</v>
      </c>
      <c r="F778" s="5" t="s">
        <v>28</v>
      </c>
      <c r="G778" s="5" t="s">
        <v>24</v>
      </c>
      <c r="H778" s="5">
        <v>55341</v>
      </c>
      <c r="I778" s="5">
        <v>1625</v>
      </c>
      <c r="J778" s="6">
        <f t="shared" si="12"/>
        <v>53716</v>
      </c>
    </row>
    <row r="779" spans="1:21">
      <c r="A779" s="5">
        <v>155122</v>
      </c>
      <c r="B779" s="5" t="s">
        <v>16</v>
      </c>
      <c r="C779" s="5" t="s">
        <v>17</v>
      </c>
      <c r="D779" s="5" t="s">
        <v>18</v>
      </c>
      <c r="E779" s="5" t="s">
        <v>19</v>
      </c>
      <c r="F779" s="5" t="s">
        <v>28</v>
      </c>
      <c r="G779" s="5" t="s">
        <v>15</v>
      </c>
      <c r="H779" s="5">
        <v>25552</v>
      </c>
      <c r="I779" s="5">
        <v>117</v>
      </c>
      <c r="J779" s="6">
        <f t="shared" si="12"/>
        <v>25435</v>
      </c>
      <c r="L779" t="s">
        <v>134</v>
      </c>
    </row>
    <row r="780" spans="1:21">
      <c r="A780" s="5">
        <v>209635</v>
      </c>
      <c r="B780" s="5" t="s">
        <v>16</v>
      </c>
      <c r="C780" s="5" t="s">
        <v>38</v>
      </c>
      <c r="D780" s="5" t="s">
        <v>33</v>
      </c>
      <c r="E780" s="5" t="s">
        <v>13</v>
      </c>
      <c r="F780" s="5" t="s">
        <v>28</v>
      </c>
      <c r="G780" s="5" t="s">
        <v>15</v>
      </c>
      <c r="H780" s="5">
        <v>57115</v>
      </c>
      <c r="I780" s="5">
        <v>937</v>
      </c>
      <c r="J780" s="6">
        <f t="shared" si="12"/>
        <v>56178</v>
      </c>
      <c r="L780" s="28" t="s">
        <v>0</v>
      </c>
      <c r="M780" s="29" t="s">
        <v>1</v>
      </c>
      <c r="N780" s="29" t="s">
        <v>2</v>
      </c>
      <c r="O780" s="29" t="s">
        <v>3</v>
      </c>
      <c r="P780" s="29" t="s">
        <v>4</v>
      </c>
      <c r="Q780" s="29" t="s">
        <v>5</v>
      </c>
      <c r="R780" s="29" t="s">
        <v>6</v>
      </c>
      <c r="S780" s="29" t="s">
        <v>7</v>
      </c>
      <c r="T780" s="79" t="s">
        <v>8</v>
      </c>
      <c r="U780" s="30" t="s">
        <v>9</v>
      </c>
    </row>
    <row r="781" spans="1:21">
      <c r="A781" s="5">
        <v>24808</v>
      </c>
      <c r="B781" s="5" t="s">
        <v>16</v>
      </c>
      <c r="C781" s="5" t="s">
        <v>11</v>
      </c>
      <c r="D781" s="5" t="s">
        <v>32</v>
      </c>
      <c r="E781" s="5" t="s">
        <v>13</v>
      </c>
      <c r="F781" s="5" t="s">
        <v>14</v>
      </c>
      <c r="G781" s="5" t="s">
        <v>15</v>
      </c>
      <c r="H781" s="5">
        <v>203977</v>
      </c>
      <c r="I781" s="5">
        <v>36100</v>
      </c>
      <c r="J781" s="6">
        <f t="shared" si="12"/>
        <v>167877</v>
      </c>
      <c r="L781" s="31">
        <v>60300</v>
      </c>
      <c r="M781" s="32" t="s">
        <v>10</v>
      </c>
      <c r="N781" s="32" t="s">
        <v>27</v>
      </c>
      <c r="O781" s="32" t="s">
        <v>12</v>
      </c>
      <c r="P781" s="32" t="s">
        <v>13</v>
      </c>
      <c r="Q781" s="32" t="s">
        <v>28</v>
      </c>
      <c r="R781" s="32" t="s">
        <v>15</v>
      </c>
      <c r="S781" s="32">
        <v>94769</v>
      </c>
      <c r="T781" s="80">
        <v>838</v>
      </c>
      <c r="U781" s="33">
        <v>93931</v>
      </c>
    </row>
    <row r="782" spans="1:21">
      <c r="A782" s="5">
        <v>194182</v>
      </c>
      <c r="B782" s="5" t="s">
        <v>16</v>
      </c>
      <c r="C782" s="5" t="s">
        <v>11</v>
      </c>
      <c r="D782" s="5" t="s">
        <v>23</v>
      </c>
      <c r="E782" s="5" t="s">
        <v>13</v>
      </c>
      <c r="F782" s="5" t="s">
        <v>28</v>
      </c>
      <c r="G782" s="5" t="s">
        <v>15</v>
      </c>
      <c r="H782" s="5">
        <v>33192</v>
      </c>
      <c r="I782" s="5">
        <v>269</v>
      </c>
      <c r="J782" s="6">
        <f t="shared" si="12"/>
        <v>32923</v>
      </c>
      <c r="L782" s="34">
        <v>109650</v>
      </c>
      <c r="M782" s="35" t="s">
        <v>10</v>
      </c>
      <c r="N782" s="35" t="s">
        <v>22</v>
      </c>
      <c r="O782" s="35" t="s">
        <v>23</v>
      </c>
      <c r="P782" s="35" t="s">
        <v>19</v>
      </c>
      <c r="Q782" s="35" t="s">
        <v>28</v>
      </c>
      <c r="R782" s="35" t="s">
        <v>15</v>
      </c>
      <c r="S782" s="35">
        <v>120743</v>
      </c>
      <c r="T782" s="81">
        <v>4363</v>
      </c>
      <c r="U782" s="36">
        <v>116380</v>
      </c>
    </row>
    <row r="783" spans="1:21">
      <c r="A783" s="5">
        <v>28655</v>
      </c>
      <c r="B783" s="5" t="s">
        <v>10</v>
      </c>
      <c r="C783" s="5" t="s">
        <v>35</v>
      </c>
      <c r="D783" s="5" t="s">
        <v>23</v>
      </c>
      <c r="E783" s="5" t="s">
        <v>13</v>
      </c>
      <c r="F783" s="5" t="s">
        <v>28</v>
      </c>
      <c r="G783" s="5" t="s">
        <v>24</v>
      </c>
      <c r="H783" s="5">
        <v>93232</v>
      </c>
      <c r="I783" s="5">
        <v>164</v>
      </c>
      <c r="J783" s="6">
        <f t="shared" si="12"/>
        <v>93068</v>
      </c>
      <c r="L783" s="31">
        <v>177001</v>
      </c>
      <c r="M783" s="32" t="s">
        <v>16</v>
      </c>
      <c r="N783" s="32" t="s">
        <v>25</v>
      </c>
      <c r="O783" s="32" t="s">
        <v>30</v>
      </c>
      <c r="P783" s="32" t="s">
        <v>19</v>
      </c>
      <c r="Q783" s="32" t="s">
        <v>28</v>
      </c>
      <c r="R783" s="32" t="s">
        <v>15</v>
      </c>
      <c r="S783" s="32">
        <v>25172</v>
      </c>
      <c r="T783" s="80">
        <v>7850</v>
      </c>
      <c r="U783" s="33">
        <v>17322</v>
      </c>
    </row>
    <row r="784" spans="1:21">
      <c r="A784" s="5">
        <v>176587</v>
      </c>
      <c r="B784" s="5" t="s">
        <v>16</v>
      </c>
      <c r="C784" s="5" t="s">
        <v>17</v>
      </c>
      <c r="D784" s="5" t="s">
        <v>18</v>
      </c>
      <c r="E784" s="5" t="s">
        <v>19</v>
      </c>
      <c r="F784" s="5" t="s">
        <v>28</v>
      </c>
      <c r="G784" s="5" t="s">
        <v>24</v>
      </c>
      <c r="H784" s="5">
        <v>30325</v>
      </c>
      <c r="I784" s="5">
        <v>183</v>
      </c>
      <c r="J784" s="6">
        <f t="shared" si="12"/>
        <v>30142</v>
      </c>
      <c r="L784" s="34">
        <v>28041</v>
      </c>
      <c r="M784" s="35" t="s">
        <v>16</v>
      </c>
      <c r="N784" s="35" t="s">
        <v>11</v>
      </c>
      <c r="O784" s="35" t="s">
        <v>33</v>
      </c>
      <c r="P784" s="35" t="s">
        <v>13</v>
      </c>
      <c r="Q784" s="35" t="s">
        <v>28</v>
      </c>
      <c r="R784" s="35" t="s">
        <v>15</v>
      </c>
      <c r="S784" s="35">
        <v>71962</v>
      </c>
      <c r="T784" s="81">
        <v>344</v>
      </c>
      <c r="U784" s="36">
        <v>71618</v>
      </c>
    </row>
    <row r="785" spans="1:21">
      <c r="A785" s="5">
        <v>188556</v>
      </c>
      <c r="B785" s="5" t="s">
        <v>10</v>
      </c>
      <c r="C785" s="5" t="s">
        <v>20</v>
      </c>
      <c r="D785" s="5" t="s">
        <v>32</v>
      </c>
      <c r="E785" s="5" t="s">
        <v>13</v>
      </c>
      <c r="F785" s="5" t="s">
        <v>14</v>
      </c>
      <c r="G785" s="5" t="s">
        <v>15</v>
      </c>
      <c r="H785" s="5">
        <v>47299</v>
      </c>
      <c r="I785" s="5">
        <v>290</v>
      </c>
      <c r="J785" s="6">
        <f t="shared" si="12"/>
        <v>47009</v>
      </c>
      <c r="L785" s="31">
        <v>122913</v>
      </c>
      <c r="M785" s="32" t="s">
        <v>16</v>
      </c>
      <c r="N785" s="32" t="s">
        <v>25</v>
      </c>
      <c r="O785" s="32" t="s">
        <v>21</v>
      </c>
      <c r="P785" s="32" t="s">
        <v>19</v>
      </c>
      <c r="Q785" s="32" t="s">
        <v>28</v>
      </c>
      <c r="R785" s="32" t="s">
        <v>24</v>
      </c>
      <c r="S785" s="32">
        <v>7089</v>
      </c>
      <c r="T785" s="80">
        <v>0</v>
      </c>
      <c r="U785" s="33">
        <v>7089</v>
      </c>
    </row>
    <row r="786" spans="1:21">
      <c r="A786" s="5">
        <v>50450</v>
      </c>
      <c r="B786" s="5" t="s">
        <v>16</v>
      </c>
      <c r="C786" s="5" t="s">
        <v>35</v>
      </c>
      <c r="D786" s="5" t="s">
        <v>12</v>
      </c>
      <c r="E786" s="5" t="s">
        <v>13</v>
      </c>
      <c r="F786" s="5" t="s">
        <v>14</v>
      </c>
      <c r="G786" s="5" t="s">
        <v>15</v>
      </c>
      <c r="H786" s="5">
        <v>13812</v>
      </c>
      <c r="I786" s="5">
        <v>0</v>
      </c>
      <c r="J786" s="6">
        <f t="shared" si="12"/>
        <v>13812</v>
      </c>
      <c r="L786" s="34">
        <v>240294</v>
      </c>
      <c r="M786" s="35" t="s">
        <v>10</v>
      </c>
      <c r="N786" s="35" t="s">
        <v>25</v>
      </c>
      <c r="O786" s="35" t="s">
        <v>36</v>
      </c>
      <c r="P786" s="35" t="s">
        <v>19</v>
      </c>
      <c r="Q786" s="35" t="s">
        <v>28</v>
      </c>
      <c r="R786" s="35" t="s">
        <v>24</v>
      </c>
      <c r="S786" s="35">
        <v>19124</v>
      </c>
      <c r="T786" s="81">
        <v>0</v>
      </c>
      <c r="U786" s="36">
        <v>19124</v>
      </c>
    </row>
    <row r="787" spans="1:21">
      <c r="A787" s="5">
        <v>35784</v>
      </c>
      <c r="B787" s="5" t="s">
        <v>10</v>
      </c>
      <c r="C787" s="5" t="s">
        <v>35</v>
      </c>
      <c r="D787" s="5" t="s">
        <v>26</v>
      </c>
      <c r="E787" s="5" t="s">
        <v>13</v>
      </c>
      <c r="F787" s="5" t="s">
        <v>28</v>
      </c>
      <c r="G787" s="5" t="s">
        <v>15</v>
      </c>
      <c r="H787" s="5">
        <v>122128</v>
      </c>
      <c r="I787" s="5">
        <v>5831</v>
      </c>
      <c r="J787" s="6">
        <f t="shared" si="12"/>
        <v>116297</v>
      </c>
      <c r="L787" s="31">
        <v>252207</v>
      </c>
      <c r="M787" s="32" t="s">
        <v>10</v>
      </c>
      <c r="N787" s="32" t="s">
        <v>35</v>
      </c>
      <c r="O787" s="32" t="s">
        <v>32</v>
      </c>
      <c r="P787" s="32" t="s">
        <v>13</v>
      </c>
      <c r="Q787" s="32" t="s">
        <v>28</v>
      </c>
      <c r="R787" s="32" t="s">
        <v>24</v>
      </c>
      <c r="S787" s="32">
        <v>9527</v>
      </c>
      <c r="T787" s="80">
        <v>0</v>
      </c>
      <c r="U787" s="33">
        <v>9527</v>
      </c>
    </row>
    <row r="788" spans="1:21">
      <c r="A788" s="5">
        <v>80318</v>
      </c>
      <c r="B788" s="5" t="s">
        <v>10</v>
      </c>
      <c r="C788" s="5" t="s">
        <v>37</v>
      </c>
      <c r="D788" s="5" t="s">
        <v>29</v>
      </c>
      <c r="E788" s="5" t="s">
        <v>13</v>
      </c>
      <c r="F788" s="5" t="s">
        <v>14</v>
      </c>
      <c r="G788" s="5" t="s">
        <v>24</v>
      </c>
      <c r="H788" s="5">
        <v>22998</v>
      </c>
      <c r="I788" s="5">
        <v>198</v>
      </c>
      <c r="J788" s="6">
        <f t="shared" si="12"/>
        <v>22800</v>
      </c>
      <c r="L788" s="34">
        <v>98602</v>
      </c>
      <c r="M788" s="35" t="s">
        <v>10</v>
      </c>
      <c r="N788" s="35" t="s">
        <v>34</v>
      </c>
      <c r="O788" s="35" t="s">
        <v>23</v>
      </c>
      <c r="P788" s="35" t="s">
        <v>13</v>
      </c>
      <c r="Q788" s="35" t="s">
        <v>28</v>
      </c>
      <c r="R788" s="35" t="s">
        <v>24</v>
      </c>
      <c r="S788" s="35">
        <v>61386</v>
      </c>
      <c r="T788" s="81">
        <v>1007</v>
      </c>
      <c r="U788" s="36">
        <v>60379</v>
      </c>
    </row>
    <row r="789" spans="1:21">
      <c r="A789" s="5">
        <v>13114</v>
      </c>
      <c r="B789" s="5" t="s">
        <v>16</v>
      </c>
      <c r="C789" s="5" t="s">
        <v>34</v>
      </c>
      <c r="D789" s="5" t="s">
        <v>18</v>
      </c>
      <c r="E789" s="5" t="s">
        <v>13</v>
      </c>
      <c r="F789" s="5" t="s">
        <v>14</v>
      </c>
      <c r="G789" s="5" t="s">
        <v>15</v>
      </c>
      <c r="H789" s="5">
        <v>29097</v>
      </c>
      <c r="I789" s="5">
        <v>6997</v>
      </c>
      <c r="J789" s="6">
        <f t="shared" si="12"/>
        <v>22100</v>
      </c>
      <c r="L789" s="31">
        <v>89197</v>
      </c>
      <c r="M789" s="32" t="s">
        <v>10</v>
      </c>
      <c r="N789" s="32" t="s">
        <v>20</v>
      </c>
      <c r="O789" s="32" t="s">
        <v>32</v>
      </c>
      <c r="P789" s="32" t="s">
        <v>13</v>
      </c>
      <c r="Q789" s="32" t="s">
        <v>28</v>
      </c>
      <c r="R789" s="32" t="s">
        <v>15</v>
      </c>
      <c r="S789" s="32">
        <v>59910</v>
      </c>
      <c r="T789" s="80">
        <v>21</v>
      </c>
      <c r="U789" s="33">
        <v>59889</v>
      </c>
    </row>
    <row r="790" spans="1:21">
      <c r="A790" s="5">
        <v>238848</v>
      </c>
      <c r="B790" s="5" t="s">
        <v>10</v>
      </c>
      <c r="C790" s="5" t="s">
        <v>34</v>
      </c>
      <c r="D790" s="5" t="s">
        <v>32</v>
      </c>
      <c r="E790" s="5" t="s">
        <v>13</v>
      </c>
      <c r="F790" s="5" t="s">
        <v>14</v>
      </c>
      <c r="G790" s="5" t="s">
        <v>24</v>
      </c>
      <c r="H790" s="5">
        <v>19903</v>
      </c>
      <c r="I790" s="5">
        <v>0</v>
      </c>
      <c r="J790" s="6">
        <f t="shared" si="12"/>
        <v>19903</v>
      </c>
      <c r="L790" s="34">
        <v>224846</v>
      </c>
      <c r="M790" s="35" t="s">
        <v>16</v>
      </c>
      <c r="N790" s="35" t="s">
        <v>17</v>
      </c>
      <c r="O790" s="35" t="s">
        <v>30</v>
      </c>
      <c r="P790" s="35" t="s">
        <v>13</v>
      </c>
      <c r="Q790" s="35" t="s">
        <v>28</v>
      </c>
      <c r="R790" s="35" t="s">
        <v>24</v>
      </c>
      <c r="S790" s="35">
        <v>66457</v>
      </c>
      <c r="T790" s="81">
        <v>822</v>
      </c>
      <c r="U790" s="36">
        <v>65635</v>
      </c>
    </row>
    <row r="791" spans="1:21">
      <c r="A791" s="5">
        <v>93717</v>
      </c>
      <c r="B791" s="5" t="s">
        <v>10</v>
      </c>
      <c r="C791" s="5" t="s">
        <v>20</v>
      </c>
      <c r="D791" s="5" t="s">
        <v>32</v>
      </c>
      <c r="E791" s="5" t="s">
        <v>19</v>
      </c>
      <c r="F791" s="5" t="s">
        <v>14</v>
      </c>
      <c r="G791" s="5" t="s">
        <v>15</v>
      </c>
      <c r="H791" s="5">
        <v>38850</v>
      </c>
      <c r="I791" s="5">
        <v>96</v>
      </c>
      <c r="J791" s="6">
        <f t="shared" si="12"/>
        <v>38754</v>
      </c>
      <c r="L791" s="31">
        <v>226711</v>
      </c>
      <c r="M791" s="32" t="s">
        <v>16</v>
      </c>
      <c r="N791" s="32" t="s">
        <v>25</v>
      </c>
      <c r="O791" s="32" t="s">
        <v>12</v>
      </c>
      <c r="P791" s="32" t="s">
        <v>13</v>
      </c>
      <c r="Q791" s="32" t="s">
        <v>28</v>
      </c>
      <c r="R791" s="32" t="s">
        <v>15</v>
      </c>
      <c r="S791" s="32">
        <v>21969</v>
      </c>
      <c r="T791" s="80">
        <v>8136</v>
      </c>
      <c r="U791" s="33">
        <v>13833</v>
      </c>
    </row>
    <row r="792" spans="1:21">
      <c r="A792" s="5">
        <v>91493</v>
      </c>
      <c r="B792" s="5" t="s">
        <v>10</v>
      </c>
      <c r="C792" s="5" t="s">
        <v>20</v>
      </c>
      <c r="D792" s="5" t="s">
        <v>32</v>
      </c>
      <c r="E792" s="5" t="s">
        <v>13</v>
      </c>
      <c r="F792" s="5" t="s">
        <v>14</v>
      </c>
      <c r="G792" s="5" t="s">
        <v>15</v>
      </c>
      <c r="H792" s="5">
        <v>7049</v>
      </c>
      <c r="I792" s="5">
        <v>0</v>
      </c>
      <c r="J792" s="6">
        <f t="shared" si="12"/>
        <v>7049</v>
      </c>
      <c r="L792" s="34">
        <v>222425</v>
      </c>
      <c r="M792" s="35" t="s">
        <v>10</v>
      </c>
      <c r="N792" s="35" t="s">
        <v>27</v>
      </c>
      <c r="O792" s="35" t="s">
        <v>30</v>
      </c>
      <c r="P792" s="35" t="s">
        <v>13</v>
      </c>
      <c r="Q792" s="35" t="s">
        <v>28</v>
      </c>
      <c r="R792" s="35" t="s">
        <v>15</v>
      </c>
      <c r="S792" s="35">
        <v>79237</v>
      </c>
      <c r="T792" s="81">
        <v>785</v>
      </c>
      <c r="U792" s="36">
        <v>78452</v>
      </c>
    </row>
    <row r="793" spans="1:21">
      <c r="A793" s="5">
        <v>217116</v>
      </c>
      <c r="B793" s="5" t="s">
        <v>10</v>
      </c>
      <c r="C793" s="5" t="s">
        <v>11</v>
      </c>
      <c r="D793" s="5" t="s">
        <v>32</v>
      </c>
      <c r="E793" s="5" t="s">
        <v>13</v>
      </c>
      <c r="F793" s="5" t="s">
        <v>28</v>
      </c>
      <c r="G793" s="5" t="s">
        <v>24</v>
      </c>
      <c r="H793" s="5">
        <v>44100</v>
      </c>
      <c r="I793" s="5">
        <v>10790</v>
      </c>
      <c r="J793" s="6">
        <f t="shared" si="12"/>
        <v>33310</v>
      </c>
      <c r="L793" s="31">
        <v>107732</v>
      </c>
      <c r="M793" s="32" t="s">
        <v>10</v>
      </c>
      <c r="N793" s="32" t="s">
        <v>22</v>
      </c>
      <c r="O793" s="32" t="s">
        <v>12</v>
      </c>
      <c r="P793" s="32" t="s">
        <v>13</v>
      </c>
      <c r="Q793" s="32" t="s">
        <v>28</v>
      </c>
      <c r="R793" s="32" t="s">
        <v>15</v>
      </c>
      <c r="S793" s="32">
        <v>71800</v>
      </c>
      <c r="T793" s="80">
        <v>2664</v>
      </c>
      <c r="U793" s="33">
        <v>69136</v>
      </c>
    </row>
    <row r="794" spans="1:21">
      <c r="A794" s="5">
        <v>42644</v>
      </c>
      <c r="B794" s="5" t="s">
        <v>16</v>
      </c>
      <c r="C794" s="5" t="s">
        <v>35</v>
      </c>
      <c r="D794" s="5" t="s">
        <v>33</v>
      </c>
      <c r="E794" s="5" t="s">
        <v>19</v>
      </c>
      <c r="F794" s="5" t="s">
        <v>14</v>
      </c>
      <c r="G794" s="5" t="s">
        <v>24</v>
      </c>
      <c r="H794" s="5">
        <v>60018</v>
      </c>
      <c r="I794" s="5">
        <v>469</v>
      </c>
      <c r="J794" s="6">
        <f t="shared" si="12"/>
        <v>59549</v>
      </c>
      <c r="L794" s="34">
        <v>240008</v>
      </c>
      <c r="M794" s="35" t="s">
        <v>16</v>
      </c>
      <c r="N794" s="35" t="s">
        <v>27</v>
      </c>
      <c r="O794" s="35" t="s">
        <v>12</v>
      </c>
      <c r="P794" s="35" t="s">
        <v>13</v>
      </c>
      <c r="Q794" s="35" t="s">
        <v>28</v>
      </c>
      <c r="R794" s="35" t="s">
        <v>15</v>
      </c>
      <c r="S794" s="35">
        <v>35404</v>
      </c>
      <c r="T794" s="81">
        <v>366</v>
      </c>
      <c r="U794" s="36">
        <v>35038</v>
      </c>
    </row>
    <row r="795" spans="1:21">
      <c r="A795" s="5">
        <v>216647</v>
      </c>
      <c r="B795" s="5" t="s">
        <v>10</v>
      </c>
      <c r="C795" s="5" t="s">
        <v>34</v>
      </c>
      <c r="D795" s="5" t="s">
        <v>12</v>
      </c>
      <c r="E795" s="5" t="s">
        <v>19</v>
      </c>
      <c r="F795" s="5" t="s">
        <v>28</v>
      </c>
      <c r="G795" s="5" t="s">
        <v>24</v>
      </c>
      <c r="H795" s="5">
        <v>42736</v>
      </c>
      <c r="I795" s="5">
        <v>175</v>
      </c>
      <c r="J795" s="6">
        <f t="shared" si="12"/>
        <v>42561</v>
      </c>
      <c r="L795" s="31">
        <v>170416</v>
      </c>
      <c r="M795" s="32" t="s">
        <v>16</v>
      </c>
      <c r="N795" s="32" t="s">
        <v>35</v>
      </c>
      <c r="O795" s="32" t="s">
        <v>30</v>
      </c>
      <c r="P795" s="32" t="s">
        <v>13</v>
      </c>
      <c r="Q795" s="32" t="s">
        <v>28</v>
      </c>
      <c r="R795" s="32" t="s">
        <v>15</v>
      </c>
      <c r="S795" s="32">
        <v>113671</v>
      </c>
      <c r="T795" s="80">
        <v>1610</v>
      </c>
      <c r="U795" s="33">
        <v>112061</v>
      </c>
    </row>
    <row r="796" spans="1:21">
      <c r="A796" s="5">
        <v>171112</v>
      </c>
      <c r="B796" s="5" t="s">
        <v>16</v>
      </c>
      <c r="C796" s="5" t="s">
        <v>31</v>
      </c>
      <c r="D796" s="5" t="s">
        <v>21</v>
      </c>
      <c r="E796" s="5" t="s">
        <v>19</v>
      </c>
      <c r="F796" s="5" t="s">
        <v>28</v>
      </c>
      <c r="G796" s="5" t="s">
        <v>24</v>
      </c>
      <c r="H796" s="5">
        <v>11511</v>
      </c>
      <c r="I796" s="5">
        <v>137</v>
      </c>
      <c r="J796" s="6">
        <f t="shared" si="12"/>
        <v>11374</v>
      </c>
      <c r="L796" s="34">
        <v>176406</v>
      </c>
      <c r="M796" s="35" t="s">
        <v>10</v>
      </c>
      <c r="N796" s="35" t="s">
        <v>17</v>
      </c>
      <c r="O796" s="35" t="s">
        <v>26</v>
      </c>
      <c r="P796" s="35" t="s">
        <v>19</v>
      </c>
      <c r="Q796" s="35" t="s">
        <v>28</v>
      </c>
      <c r="R796" s="35" t="s">
        <v>24</v>
      </c>
      <c r="S796" s="35">
        <v>34495</v>
      </c>
      <c r="T796" s="81">
        <v>141</v>
      </c>
      <c r="U796" s="36">
        <v>34354</v>
      </c>
    </row>
    <row r="797" spans="1:21">
      <c r="A797" s="5">
        <v>254527</v>
      </c>
      <c r="B797" s="5" t="s">
        <v>16</v>
      </c>
      <c r="C797" s="5" t="s">
        <v>25</v>
      </c>
      <c r="D797" s="5" t="s">
        <v>33</v>
      </c>
      <c r="E797" s="5" t="s">
        <v>19</v>
      </c>
      <c r="F797" s="5" t="s">
        <v>14</v>
      </c>
      <c r="G797" s="5" t="s">
        <v>24</v>
      </c>
      <c r="H797" s="5">
        <v>21113</v>
      </c>
      <c r="I797" s="5">
        <v>328</v>
      </c>
      <c r="J797" s="6">
        <f t="shared" si="12"/>
        <v>20785</v>
      </c>
      <c r="L797" s="31">
        <v>219670</v>
      </c>
      <c r="M797" s="32" t="s">
        <v>10</v>
      </c>
      <c r="N797" s="32" t="s">
        <v>37</v>
      </c>
      <c r="O797" s="32" t="s">
        <v>33</v>
      </c>
      <c r="P797" s="32" t="s">
        <v>19</v>
      </c>
      <c r="Q797" s="32" t="s">
        <v>28</v>
      </c>
      <c r="R797" s="32" t="s">
        <v>15</v>
      </c>
      <c r="S797" s="32">
        <v>59711</v>
      </c>
      <c r="T797" s="80">
        <v>0</v>
      </c>
      <c r="U797" s="33">
        <v>59711</v>
      </c>
    </row>
    <row r="798" spans="1:21">
      <c r="A798" s="5">
        <v>24725</v>
      </c>
      <c r="B798" s="5" t="s">
        <v>16</v>
      </c>
      <c r="C798" s="5" t="s">
        <v>35</v>
      </c>
      <c r="D798" s="5" t="s">
        <v>23</v>
      </c>
      <c r="E798" s="5" t="s">
        <v>13</v>
      </c>
      <c r="F798" s="5" t="s">
        <v>14</v>
      </c>
      <c r="G798" s="5" t="s">
        <v>15</v>
      </c>
      <c r="H798" s="5">
        <v>63142</v>
      </c>
      <c r="I798" s="5">
        <v>4254</v>
      </c>
      <c r="J798" s="6">
        <f t="shared" si="12"/>
        <v>58888</v>
      </c>
      <c r="L798" s="34">
        <v>205631</v>
      </c>
      <c r="M798" s="35" t="s">
        <v>16</v>
      </c>
      <c r="N798" s="35" t="s">
        <v>20</v>
      </c>
      <c r="O798" s="35" t="s">
        <v>32</v>
      </c>
      <c r="P798" s="35" t="s">
        <v>19</v>
      </c>
      <c r="Q798" s="35" t="s">
        <v>28</v>
      </c>
      <c r="R798" s="35" t="s">
        <v>24</v>
      </c>
      <c r="S798" s="35">
        <v>395</v>
      </c>
      <c r="T798" s="81">
        <v>0</v>
      </c>
      <c r="U798" s="36">
        <v>395</v>
      </c>
    </row>
    <row r="799" spans="1:21">
      <c r="A799" s="5">
        <v>188399</v>
      </c>
      <c r="B799" s="5" t="s">
        <v>16</v>
      </c>
      <c r="C799" s="5" t="s">
        <v>38</v>
      </c>
      <c r="D799" s="5" t="s">
        <v>32</v>
      </c>
      <c r="E799" s="5" t="s">
        <v>13</v>
      </c>
      <c r="F799" s="5" t="s">
        <v>14</v>
      </c>
      <c r="G799" s="5" t="s">
        <v>15</v>
      </c>
      <c r="H799" s="5">
        <v>53319</v>
      </c>
      <c r="I799" s="5">
        <v>0</v>
      </c>
      <c r="J799" s="6">
        <f t="shared" si="12"/>
        <v>53319</v>
      </c>
      <c r="L799" s="31">
        <v>20069</v>
      </c>
      <c r="M799" s="32" t="s">
        <v>16</v>
      </c>
      <c r="N799" s="32" t="s">
        <v>11</v>
      </c>
      <c r="O799" s="32" t="s">
        <v>30</v>
      </c>
      <c r="P799" s="32" t="s">
        <v>13</v>
      </c>
      <c r="Q799" s="32" t="s">
        <v>28</v>
      </c>
      <c r="R799" s="32" t="s">
        <v>15</v>
      </c>
      <c r="S799" s="32">
        <v>127747</v>
      </c>
      <c r="T799" s="80">
        <v>4</v>
      </c>
      <c r="U799" s="33">
        <v>127743</v>
      </c>
    </row>
    <row r="800" spans="1:21">
      <c r="A800" s="5">
        <v>223203</v>
      </c>
      <c r="B800" s="5" t="s">
        <v>16</v>
      </c>
      <c r="C800" s="5" t="s">
        <v>25</v>
      </c>
      <c r="D800" s="5" t="s">
        <v>33</v>
      </c>
      <c r="E800" s="5" t="s">
        <v>19</v>
      </c>
      <c r="F800" s="5" t="s">
        <v>28</v>
      </c>
      <c r="G800" s="5" t="s">
        <v>24</v>
      </c>
      <c r="H800" s="5">
        <v>18268</v>
      </c>
      <c r="I800" s="5">
        <v>36</v>
      </c>
      <c r="J800" s="6">
        <f t="shared" si="12"/>
        <v>18232</v>
      </c>
      <c r="L800" s="34">
        <v>29380</v>
      </c>
      <c r="M800" s="35" t="s">
        <v>10</v>
      </c>
      <c r="N800" s="35" t="s">
        <v>34</v>
      </c>
      <c r="O800" s="35" t="s">
        <v>30</v>
      </c>
      <c r="P800" s="35" t="s">
        <v>13</v>
      </c>
      <c r="Q800" s="35" t="s">
        <v>28</v>
      </c>
      <c r="R800" s="35" t="s">
        <v>15</v>
      </c>
      <c r="S800" s="35">
        <v>114667</v>
      </c>
      <c r="T800" s="81">
        <v>514</v>
      </c>
      <c r="U800" s="36">
        <v>114153</v>
      </c>
    </row>
    <row r="801" spans="1:21">
      <c r="A801" s="5">
        <v>29100</v>
      </c>
      <c r="B801" s="5" t="s">
        <v>10</v>
      </c>
      <c r="C801" s="5" t="s">
        <v>35</v>
      </c>
      <c r="D801" s="5" t="s">
        <v>33</v>
      </c>
      <c r="E801" s="5" t="s">
        <v>13</v>
      </c>
      <c r="F801" s="5" t="s">
        <v>14</v>
      </c>
      <c r="G801" s="5" t="s">
        <v>15</v>
      </c>
      <c r="H801" s="5">
        <v>57252</v>
      </c>
      <c r="I801" s="5">
        <v>7765</v>
      </c>
      <c r="J801" s="6">
        <f t="shared" si="12"/>
        <v>49487</v>
      </c>
      <c r="L801" s="31">
        <v>1628</v>
      </c>
      <c r="M801" s="32" t="s">
        <v>10</v>
      </c>
      <c r="N801" s="32" t="s">
        <v>39</v>
      </c>
      <c r="O801" s="32" t="s">
        <v>32</v>
      </c>
      <c r="P801" s="32" t="s">
        <v>19</v>
      </c>
      <c r="Q801" s="32" t="s">
        <v>28</v>
      </c>
      <c r="R801" s="32" t="s">
        <v>24</v>
      </c>
      <c r="S801" s="32">
        <v>4081</v>
      </c>
      <c r="T801" s="80">
        <v>0</v>
      </c>
      <c r="U801" s="33">
        <v>4081</v>
      </c>
    </row>
    <row r="802" spans="1:21">
      <c r="A802" s="5">
        <v>102880</v>
      </c>
      <c r="B802" s="5" t="s">
        <v>10</v>
      </c>
      <c r="C802" s="5" t="s">
        <v>11</v>
      </c>
      <c r="D802" s="5" t="s">
        <v>30</v>
      </c>
      <c r="E802" s="5" t="s">
        <v>13</v>
      </c>
      <c r="F802" s="5" t="s">
        <v>14</v>
      </c>
      <c r="G802" s="5" t="s">
        <v>15</v>
      </c>
      <c r="H802" s="5">
        <v>320023</v>
      </c>
      <c r="I802" s="5">
        <v>11775</v>
      </c>
      <c r="J802" s="6">
        <f t="shared" si="12"/>
        <v>308248</v>
      </c>
      <c r="L802" s="34">
        <v>238912</v>
      </c>
      <c r="M802" s="35" t="s">
        <v>10</v>
      </c>
      <c r="N802" s="35" t="s">
        <v>17</v>
      </c>
      <c r="O802" s="35" t="s">
        <v>18</v>
      </c>
      <c r="P802" s="35" t="s">
        <v>19</v>
      </c>
      <c r="Q802" s="35" t="s">
        <v>28</v>
      </c>
      <c r="R802" s="35" t="s">
        <v>15</v>
      </c>
      <c r="S802" s="35">
        <v>11568</v>
      </c>
      <c r="T802" s="81">
        <v>380</v>
      </c>
      <c r="U802" s="36">
        <v>11188</v>
      </c>
    </row>
    <row r="803" spans="1:21">
      <c r="A803" s="5">
        <v>24654</v>
      </c>
      <c r="B803" s="5" t="s">
        <v>10</v>
      </c>
      <c r="C803" s="5" t="s">
        <v>11</v>
      </c>
      <c r="D803" s="5" t="s">
        <v>23</v>
      </c>
      <c r="E803" s="5" t="s">
        <v>19</v>
      </c>
      <c r="F803" s="5" t="s">
        <v>14</v>
      </c>
      <c r="G803" s="5" t="s">
        <v>24</v>
      </c>
      <c r="H803" s="5">
        <v>82447</v>
      </c>
      <c r="I803" s="5">
        <v>5248</v>
      </c>
      <c r="J803" s="6">
        <f t="shared" si="12"/>
        <v>77199</v>
      </c>
      <c r="L803" s="31">
        <v>235723</v>
      </c>
      <c r="M803" s="32" t="s">
        <v>16</v>
      </c>
      <c r="N803" s="32" t="s">
        <v>17</v>
      </c>
      <c r="O803" s="32" t="s">
        <v>30</v>
      </c>
      <c r="P803" s="32" t="s">
        <v>19</v>
      </c>
      <c r="Q803" s="32" t="s">
        <v>28</v>
      </c>
      <c r="R803" s="32" t="s">
        <v>15</v>
      </c>
      <c r="S803" s="32">
        <v>45033</v>
      </c>
      <c r="T803" s="80">
        <v>2422</v>
      </c>
      <c r="U803" s="33">
        <v>42611</v>
      </c>
    </row>
    <row r="804" spans="1:21">
      <c r="A804" s="5">
        <v>194889</v>
      </c>
      <c r="B804" s="5" t="s">
        <v>16</v>
      </c>
      <c r="C804" s="5" t="s">
        <v>11</v>
      </c>
      <c r="D804" s="5" t="s">
        <v>33</v>
      </c>
      <c r="E804" s="5" t="s">
        <v>19</v>
      </c>
      <c r="F804" s="5" t="s">
        <v>14</v>
      </c>
      <c r="G804" s="5" t="s">
        <v>15</v>
      </c>
      <c r="H804" s="5">
        <v>86314</v>
      </c>
      <c r="I804" s="5">
        <v>1998</v>
      </c>
      <c r="J804" s="6">
        <f t="shared" si="12"/>
        <v>84316</v>
      </c>
      <c r="L804" s="34">
        <v>222188</v>
      </c>
      <c r="M804" s="35" t="s">
        <v>16</v>
      </c>
      <c r="N804" s="35" t="s">
        <v>20</v>
      </c>
      <c r="O804" s="35" t="s">
        <v>32</v>
      </c>
      <c r="P804" s="35" t="s">
        <v>19</v>
      </c>
      <c r="Q804" s="35" t="s">
        <v>28</v>
      </c>
      <c r="R804" s="35" t="s">
        <v>15</v>
      </c>
      <c r="S804" s="35">
        <v>107373</v>
      </c>
      <c r="T804" s="81">
        <v>0</v>
      </c>
      <c r="U804" s="36">
        <v>107373</v>
      </c>
    </row>
    <row r="805" spans="1:21">
      <c r="A805" s="5">
        <v>80861</v>
      </c>
      <c r="B805" s="5" t="s">
        <v>16</v>
      </c>
      <c r="C805" s="5" t="s">
        <v>38</v>
      </c>
      <c r="D805" s="5" t="s">
        <v>33</v>
      </c>
      <c r="E805" s="5" t="s">
        <v>19</v>
      </c>
      <c r="F805" s="5" t="s">
        <v>14</v>
      </c>
      <c r="G805" s="5" t="s">
        <v>15</v>
      </c>
      <c r="H805" s="5">
        <v>37153</v>
      </c>
      <c r="I805" s="5">
        <v>406</v>
      </c>
      <c r="J805" s="6">
        <f t="shared" si="12"/>
        <v>36747</v>
      </c>
      <c r="L805" s="31">
        <v>148276</v>
      </c>
      <c r="M805" s="32" t="s">
        <v>16</v>
      </c>
      <c r="N805" s="32" t="s">
        <v>25</v>
      </c>
      <c r="O805" s="32" t="s">
        <v>36</v>
      </c>
      <c r="P805" s="32" t="s">
        <v>19</v>
      </c>
      <c r="Q805" s="32" t="s">
        <v>28</v>
      </c>
      <c r="R805" s="32" t="s">
        <v>24</v>
      </c>
      <c r="S805" s="32">
        <v>65323</v>
      </c>
      <c r="T805" s="80">
        <v>355</v>
      </c>
      <c r="U805" s="33">
        <v>64968</v>
      </c>
    </row>
    <row r="806" spans="1:21">
      <c r="A806" s="5">
        <v>151263</v>
      </c>
      <c r="B806" s="5" t="s">
        <v>16</v>
      </c>
      <c r="C806" s="5" t="s">
        <v>22</v>
      </c>
      <c r="D806" s="5" t="s">
        <v>30</v>
      </c>
      <c r="E806" s="5" t="s">
        <v>13</v>
      </c>
      <c r="F806" s="5" t="s">
        <v>14</v>
      </c>
      <c r="G806" s="5" t="s">
        <v>24</v>
      </c>
      <c r="H806" s="5">
        <v>39718</v>
      </c>
      <c r="I806" s="5">
        <v>3016</v>
      </c>
      <c r="J806" s="6">
        <f t="shared" si="12"/>
        <v>36702</v>
      </c>
      <c r="L806" s="34">
        <v>254383</v>
      </c>
      <c r="M806" s="35" t="s">
        <v>10</v>
      </c>
      <c r="N806" s="35" t="s">
        <v>31</v>
      </c>
      <c r="O806" s="35" t="s">
        <v>21</v>
      </c>
      <c r="P806" s="35" t="s">
        <v>19</v>
      </c>
      <c r="Q806" s="35" t="s">
        <v>28</v>
      </c>
      <c r="R806" s="35" t="s">
        <v>15</v>
      </c>
      <c r="S806" s="35">
        <v>25281</v>
      </c>
      <c r="T806" s="81">
        <v>196</v>
      </c>
      <c r="U806" s="36">
        <v>25085</v>
      </c>
    </row>
    <row r="807" spans="1:21">
      <c r="A807" s="5">
        <v>27100</v>
      </c>
      <c r="B807" s="5" t="s">
        <v>16</v>
      </c>
      <c r="C807" s="5" t="s">
        <v>35</v>
      </c>
      <c r="D807" s="5" t="s">
        <v>30</v>
      </c>
      <c r="E807" s="5" t="s">
        <v>19</v>
      </c>
      <c r="F807" s="5" t="s">
        <v>14</v>
      </c>
      <c r="G807" s="5" t="s">
        <v>24</v>
      </c>
      <c r="H807" s="5">
        <v>87809</v>
      </c>
      <c r="I807" s="5">
        <v>8172</v>
      </c>
      <c r="J807" s="6">
        <f t="shared" si="12"/>
        <v>79637</v>
      </c>
      <c r="L807" s="31">
        <v>247583</v>
      </c>
      <c r="M807" s="32" t="s">
        <v>16</v>
      </c>
      <c r="N807" s="32" t="s">
        <v>17</v>
      </c>
      <c r="O807" s="32" t="s">
        <v>23</v>
      </c>
      <c r="P807" s="32" t="s">
        <v>19</v>
      </c>
      <c r="Q807" s="32" t="s">
        <v>28</v>
      </c>
      <c r="R807" s="32" t="s">
        <v>15</v>
      </c>
      <c r="S807" s="32">
        <v>26704</v>
      </c>
      <c r="T807" s="80">
        <v>286</v>
      </c>
      <c r="U807" s="33">
        <v>26418</v>
      </c>
    </row>
    <row r="808" spans="1:21">
      <c r="A808" s="5">
        <v>153875</v>
      </c>
      <c r="B808" s="5" t="s">
        <v>16</v>
      </c>
      <c r="C808" s="5" t="s">
        <v>25</v>
      </c>
      <c r="D808" s="5" t="s">
        <v>30</v>
      </c>
      <c r="E808" s="5" t="s">
        <v>13</v>
      </c>
      <c r="F808" s="5" t="s">
        <v>14</v>
      </c>
      <c r="G808" s="5" t="s">
        <v>15</v>
      </c>
      <c r="H808" s="5">
        <v>54434</v>
      </c>
      <c r="I808" s="5">
        <v>888</v>
      </c>
      <c r="J808" s="6">
        <f t="shared" si="12"/>
        <v>53546</v>
      </c>
      <c r="L808" s="34">
        <v>238918</v>
      </c>
      <c r="M808" s="35" t="s">
        <v>16</v>
      </c>
      <c r="N808" s="35" t="s">
        <v>17</v>
      </c>
      <c r="O808" s="35" t="s">
        <v>18</v>
      </c>
      <c r="P808" s="35" t="s">
        <v>19</v>
      </c>
      <c r="Q808" s="35" t="s">
        <v>28</v>
      </c>
      <c r="R808" s="35" t="s">
        <v>24</v>
      </c>
      <c r="S808" s="35">
        <v>30551</v>
      </c>
      <c r="T808" s="81">
        <v>0</v>
      </c>
      <c r="U808" s="36">
        <v>30551</v>
      </c>
    </row>
    <row r="809" spans="1:21">
      <c r="A809" s="5">
        <v>198016</v>
      </c>
      <c r="B809" s="5" t="s">
        <v>10</v>
      </c>
      <c r="C809" s="5" t="s">
        <v>38</v>
      </c>
      <c r="D809" s="5" t="s">
        <v>32</v>
      </c>
      <c r="E809" s="5" t="s">
        <v>19</v>
      </c>
      <c r="F809" s="5" t="s">
        <v>14</v>
      </c>
      <c r="G809" s="5" t="s">
        <v>15</v>
      </c>
      <c r="H809" s="5">
        <v>52726</v>
      </c>
      <c r="I809" s="5">
        <v>8</v>
      </c>
      <c r="J809" s="6">
        <f t="shared" si="12"/>
        <v>52718</v>
      </c>
      <c r="L809" s="31">
        <v>76082</v>
      </c>
      <c r="M809" s="32" t="s">
        <v>16</v>
      </c>
      <c r="N809" s="32" t="s">
        <v>20</v>
      </c>
      <c r="O809" s="32" t="s">
        <v>32</v>
      </c>
      <c r="P809" s="32" t="s">
        <v>19</v>
      </c>
      <c r="Q809" s="32" t="s">
        <v>28</v>
      </c>
      <c r="R809" s="32" t="s">
        <v>24</v>
      </c>
      <c r="S809" s="32">
        <v>303</v>
      </c>
      <c r="T809" s="80">
        <v>0</v>
      </c>
      <c r="U809" s="33">
        <v>303</v>
      </c>
    </row>
    <row r="810" spans="1:21">
      <c r="A810" s="5">
        <v>57957</v>
      </c>
      <c r="B810" s="5" t="s">
        <v>16</v>
      </c>
      <c r="C810" s="5" t="s">
        <v>20</v>
      </c>
      <c r="D810" s="5" t="s">
        <v>32</v>
      </c>
      <c r="E810" s="5" t="s">
        <v>13</v>
      </c>
      <c r="F810" s="5" t="s">
        <v>14</v>
      </c>
      <c r="G810" s="5" t="s">
        <v>15</v>
      </c>
      <c r="H810" s="5">
        <v>19594</v>
      </c>
      <c r="I810" s="5">
        <v>54</v>
      </c>
      <c r="J810" s="6">
        <f t="shared" si="12"/>
        <v>19540</v>
      </c>
      <c r="L810" s="34">
        <v>72102</v>
      </c>
      <c r="M810" s="35" t="s">
        <v>16</v>
      </c>
      <c r="N810" s="35" t="s">
        <v>27</v>
      </c>
      <c r="O810" s="35" t="s">
        <v>26</v>
      </c>
      <c r="P810" s="35" t="s">
        <v>13</v>
      </c>
      <c r="Q810" s="35" t="s">
        <v>28</v>
      </c>
      <c r="R810" s="35" t="s">
        <v>24</v>
      </c>
      <c r="S810" s="35">
        <v>13558</v>
      </c>
      <c r="T810" s="81">
        <v>404</v>
      </c>
      <c r="U810" s="36">
        <v>13154</v>
      </c>
    </row>
    <row r="811" spans="1:21">
      <c r="A811" s="5">
        <v>53102</v>
      </c>
      <c r="B811" s="5" t="s">
        <v>10</v>
      </c>
      <c r="C811" s="5" t="s">
        <v>35</v>
      </c>
      <c r="D811" s="5" t="s">
        <v>32</v>
      </c>
      <c r="E811" s="5" t="s">
        <v>13</v>
      </c>
      <c r="F811" s="5" t="s">
        <v>14</v>
      </c>
      <c r="G811" s="5" t="s">
        <v>15</v>
      </c>
      <c r="H811" s="5">
        <v>64882</v>
      </c>
      <c r="I811" s="5">
        <v>2008</v>
      </c>
      <c r="J811" s="6">
        <f t="shared" si="12"/>
        <v>62874</v>
      </c>
      <c r="L811" s="31">
        <v>241528</v>
      </c>
      <c r="M811" s="32" t="s">
        <v>16</v>
      </c>
      <c r="N811" s="32" t="s">
        <v>25</v>
      </c>
      <c r="O811" s="32" t="s">
        <v>36</v>
      </c>
      <c r="P811" s="32" t="s">
        <v>19</v>
      </c>
      <c r="Q811" s="32" t="s">
        <v>28</v>
      </c>
      <c r="R811" s="32" t="s">
        <v>24</v>
      </c>
      <c r="S811" s="32">
        <v>19823</v>
      </c>
      <c r="T811" s="80">
        <v>0</v>
      </c>
      <c r="U811" s="33">
        <v>19823</v>
      </c>
    </row>
    <row r="812" spans="1:21">
      <c r="A812" s="5">
        <v>124298</v>
      </c>
      <c r="B812" s="5" t="s">
        <v>10</v>
      </c>
      <c r="C812" s="5" t="s">
        <v>25</v>
      </c>
      <c r="D812" s="5" t="s">
        <v>23</v>
      </c>
      <c r="E812" s="5" t="s">
        <v>13</v>
      </c>
      <c r="F812" s="5" t="s">
        <v>28</v>
      </c>
      <c r="G812" s="5" t="s">
        <v>15</v>
      </c>
      <c r="H812" s="5">
        <v>126758</v>
      </c>
      <c r="I812" s="5">
        <v>6567</v>
      </c>
      <c r="J812" s="6">
        <f t="shared" si="12"/>
        <v>120191</v>
      </c>
      <c r="L812" s="34">
        <v>84392</v>
      </c>
      <c r="M812" s="35" t="s">
        <v>10</v>
      </c>
      <c r="N812" s="35" t="s">
        <v>34</v>
      </c>
      <c r="O812" s="35" t="s">
        <v>12</v>
      </c>
      <c r="P812" s="35" t="s">
        <v>13</v>
      </c>
      <c r="Q812" s="35" t="s">
        <v>28</v>
      </c>
      <c r="R812" s="35" t="s">
        <v>24</v>
      </c>
      <c r="S812" s="35">
        <v>83643</v>
      </c>
      <c r="T812" s="81">
        <v>2200</v>
      </c>
      <c r="U812" s="36">
        <v>81443</v>
      </c>
    </row>
    <row r="813" spans="1:21">
      <c r="A813" s="5">
        <v>138401</v>
      </c>
      <c r="B813" s="5" t="s">
        <v>10</v>
      </c>
      <c r="C813" s="5" t="s">
        <v>25</v>
      </c>
      <c r="D813" s="5" t="s">
        <v>12</v>
      </c>
      <c r="E813" s="5" t="s">
        <v>19</v>
      </c>
      <c r="F813" s="5" t="s">
        <v>14</v>
      </c>
      <c r="G813" s="5" t="s">
        <v>24</v>
      </c>
      <c r="H813" s="5">
        <v>61883</v>
      </c>
      <c r="I813" s="5">
        <v>2491</v>
      </c>
      <c r="J813" s="6">
        <f t="shared" si="12"/>
        <v>59392</v>
      </c>
      <c r="L813" s="31">
        <v>91254</v>
      </c>
      <c r="M813" s="32" t="s">
        <v>10</v>
      </c>
      <c r="N813" s="32" t="s">
        <v>20</v>
      </c>
      <c r="O813" s="32" t="s">
        <v>32</v>
      </c>
      <c r="P813" s="32" t="s">
        <v>13</v>
      </c>
      <c r="Q813" s="32" t="s">
        <v>28</v>
      </c>
      <c r="R813" s="32" t="s">
        <v>15</v>
      </c>
      <c r="S813" s="32">
        <v>39656</v>
      </c>
      <c r="T813" s="80">
        <v>3692</v>
      </c>
      <c r="U813" s="33">
        <v>35964</v>
      </c>
    </row>
    <row r="814" spans="1:21">
      <c r="A814" s="5">
        <v>50588</v>
      </c>
      <c r="B814" s="5" t="s">
        <v>16</v>
      </c>
      <c r="C814" s="5" t="s">
        <v>35</v>
      </c>
      <c r="D814" s="5" t="s">
        <v>12</v>
      </c>
      <c r="E814" s="5" t="s">
        <v>13</v>
      </c>
      <c r="F814" s="5" t="s">
        <v>14</v>
      </c>
      <c r="G814" s="5" t="s">
        <v>15</v>
      </c>
      <c r="H814" s="5">
        <v>-80309</v>
      </c>
      <c r="I814" s="5">
        <v>6086</v>
      </c>
      <c r="J814" s="6">
        <f t="shared" si="12"/>
        <v>-86395</v>
      </c>
      <c r="L814" s="34">
        <v>191118</v>
      </c>
      <c r="M814" s="35" t="s">
        <v>10</v>
      </c>
      <c r="N814" s="35" t="s">
        <v>38</v>
      </c>
      <c r="O814" s="35" t="s">
        <v>30</v>
      </c>
      <c r="P814" s="35" t="s">
        <v>13</v>
      </c>
      <c r="Q814" s="35" t="s">
        <v>28</v>
      </c>
      <c r="R814" s="35" t="s">
        <v>24</v>
      </c>
      <c r="S814" s="35">
        <v>123215</v>
      </c>
      <c r="T814" s="81">
        <v>1695</v>
      </c>
      <c r="U814" s="36">
        <v>121520</v>
      </c>
    </row>
    <row r="815" spans="1:21">
      <c r="A815" s="5">
        <v>96731</v>
      </c>
      <c r="B815" s="5" t="s">
        <v>16</v>
      </c>
      <c r="C815" s="5" t="s">
        <v>34</v>
      </c>
      <c r="D815" s="5" t="s">
        <v>33</v>
      </c>
      <c r="E815" s="5" t="s">
        <v>13</v>
      </c>
      <c r="F815" s="5" t="s">
        <v>28</v>
      </c>
      <c r="G815" s="5" t="s">
        <v>15</v>
      </c>
      <c r="H815" s="5">
        <v>75532</v>
      </c>
      <c r="I815" s="5">
        <v>2777</v>
      </c>
      <c r="J815" s="6">
        <f t="shared" si="12"/>
        <v>72755</v>
      </c>
      <c r="L815" s="31">
        <v>50675</v>
      </c>
      <c r="M815" s="32" t="s">
        <v>10</v>
      </c>
      <c r="N815" s="32" t="s">
        <v>35</v>
      </c>
      <c r="O815" s="32" t="s">
        <v>26</v>
      </c>
      <c r="P815" s="32" t="s">
        <v>19</v>
      </c>
      <c r="Q815" s="32" t="s">
        <v>28</v>
      </c>
      <c r="R815" s="32" t="s">
        <v>24</v>
      </c>
      <c r="S815" s="32">
        <v>14683</v>
      </c>
      <c r="T815" s="80">
        <v>0</v>
      </c>
      <c r="U815" s="33">
        <v>14683</v>
      </c>
    </row>
    <row r="816" spans="1:21">
      <c r="A816" s="5">
        <v>257304</v>
      </c>
      <c r="B816" s="5" t="s">
        <v>10</v>
      </c>
      <c r="C816" s="5" t="s">
        <v>17</v>
      </c>
      <c r="D816" s="5" t="s">
        <v>23</v>
      </c>
      <c r="E816" s="5" t="s">
        <v>19</v>
      </c>
      <c r="F816" s="5" t="s">
        <v>14</v>
      </c>
      <c r="G816" s="5" t="s">
        <v>24</v>
      </c>
      <c r="H816" s="5">
        <v>108991</v>
      </c>
      <c r="I816" s="5">
        <v>16430</v>
      </c>
      <c r="J816" s="6">
        <f t="shared" si="12"/>
        <v>92561</v>
      </c>
      <c r="L816" s="34">
        <v>166867</v>
      </c>
      <c r="M816" s="35" t="s">
        <v>16</v>
      </c>
      <c r="N816" s="35" t="s">
        <v>22</v>
      </c>
      <c r="O816" s="35" t="s">
        <v>30</v>
      </c>
      <c r="P816" s="35" t="s">
        <v>13</v>
      </c>
      <c r="Q816" s="35" t="s">
        <v>28</v>
      </c>
      <c r="R816" s="35" t="s">
        <v>15</v>
      </c>
      <c r="S816" s="35">
        <v>84287</v>
      </c>
      <c r="T816" s="81">
        <v>0</v>
      </c>
      <c r="U816" s="36">
        <v>84287</v>
      </c>
    </row>
    <row r="817" spans="1:21">
      <c r="A817" s="5">
        <v>20559</v>
      </c>
      <c r="B817" s="5" t="s">
        <v>16</v>
      </c>
      <c r="C817" s="5" t="s">
        <v>11</v>
      </c>
      <c r="D817" s="5" t="s">
        <v>33</v>
      </c>
      <c r="E817" s="5" t="s">
        <v>13</v>
      </c>
      <c r="F817" s="5" t="s">
        <v>14</v>
      </c>
      <c r="G817" s="5" t="s">
        <v>24</v>
      </c>
      <c r="H817" s="5">
        <v>38472</v>
      </c>
      <c r="I817" s="5">
        <v>1453</v>
      </c>
      <c r="J817" s="6">
        <f t="shared" si="12"/>
        <v>37019</v>
      </c>
      <c r="L817" s="31">
        <v>123928</v>
      </c>
      <c r="M817" s="32" t="s">
        <v>16</v>
      </c>
      <c r="N817" s="32" t="s">
        <v>25</v>
      </c>
      <c r="O817" s="32" t="s">
        <v>33</v>
      </c>
      <c r="P817" s="32" t="s">
        <v>19</v>
      </c>
      <c r="Q817" s="32" t="s">
        <v>28</v>
      </c>
      <c r="R817" s="32" t="s">
        <v>15</v>
      </c>
      <c r="S817" s="32">
        <v>64006</v>
      </c>
      <c r="T817" s="80">
        <v>494</v>
      </c>
      <c r="U817" s="33">
        <v>63512</v>
      </c>
    </row>
    <row r="818" spans="1:21">
      <c r="A818" s="5">
        <v>113044</v>
      </c>
      <c r="B818" s="5" t="s">
        <v>16</v>
      </c>
      <c r="C818" s="5" t="s">
        <v>22</v>
      </c>
      <c r="D818" s="5" t="s">
        <v>21</v>
      </c>
      <c r="E818" s="5" t="s">
        <v>19</v>
      </c>
      <c r="F818" s="5" t="s">
        <v>14</v>
      </c>
      <c r="G818" s="5" t="s">
        <v>15</v>
      </c>
      <c r="H818" s="5">
        <v>24630</v>
      </c>
      <c r="I818" s="5">
        <v>59</v>
      </c>
      <c r="J818" s="6">
        <f t="shared" si="12"/>
        <v>24571</v>
      </c>
      <c r="L818" s="34">
        <v>161550</v>
      </c>
      <c r="M818" s="35" t="s">
        <v>16</v>
      </c>
      <c r="N818" s="35" t="s">
        <v>25</v>
      </c>
      <c r="O818" s="35" t="s">
        <v>21</v>
      </c>
      <c r="P818" s="35" t="s">
        <v>19</v>
      </c>
      <c r="Q818" s="35" t="s">
        <v>28</v>
      </c>
      <c r="R818" s="35" t="s">
        <v>15</v>
      </c>
      <c r="S818" s="35">
        <v>65714</v>
      </c>
      <c r="T818" s="81">
        <v>536</v>
      </c>
      <c r="U818" s="36">
        <v>65178</v>
      </c>
    </row>
    <row r="819" spans="1:21">
      <c r="A819" s="5">
        <v>211924</v>
      </c>
      <c r="B819" s="5" t="s">
        <v>16</v>
      </c>
      <c r="C819" s="5" t="s">
        <v>37</v>
      </c>
      <c r="D819" s="5" t="s">
        <v>36</v>
      </c>
      <c r="E819" s="5" t="s">
        <v>13</v>
      </c>
      <c r="F819" s="5" t="s">
        <v>14</v>
      </c>
      <c r="G819" s="5" t="s">
        <v>15</v>
      </c>
      <c r="H819" s="5">
        <v>71227</v>
      </c>
      <c r="I819" s="5">
        <v>896</v>
      </c>
      <c r="J819" s="6">
        <f t="shared" si="12"/>
        <v>70331</v>
      </c>
      <c r="L819" s="31">
        <v>101283</v>
      </c>
      <c r="M819" s="32" t="s">
        <v>16</v>
      </c>
      <c r="N819" s="32" t="s">
        <v>34</v>
      </c>
      <c r="O819" s="32" t="s">
        <v>30</v>
      </c>
      <c r="P819" s="32" t="s">
        <v>13</v>
      </c>
      <c r="Q819" s="32" t="s">
        <v>28</v>
      </c>
      <c r="R819" s="32" t="s">
        <v>24</v>
      </c>
      <c r="S819" s="32">
        <v>36104</v>
      </c>
      <c r="T819" s="80">
        <v>2838</v>
      </c>
      <c r="U819" s="33">
        <v>33266</v>
      </c>
    </row>
    <row r="820" spans="1:21">
      <c r="A820" s="5">
        <v>177714</v>
      </c>
      <c r="B820" s="5" t="s">
        <v>16</v>
      </c>
      <c r="C820" s="5" t="s">
        <v>11</v>
      </c>
      <c r="D820" s="5" t="s">
        <v>36</v>
      </c>
      <c r="E820" s="5" t="s">
        <v>19</v>
      </c>
      <c r="F820" s="5" t="s">
        <v>28</v>
      </c>
      <c r="G820" s="5" t="s">
        <v>24</v>
      </c>
      <c r="H820" s="5">
        <v>44382</v>
      </c>
      <c r="I820" s="5">
        <v>272</v>
      </c>
      <c r="J820" s="6">
        <f t="shared" si="12"/>
        <v>44110</v>
      </c>
      <c r="L820" s="34">
        <v>68346</v>
      </c>
      <c r="M820" s="35" t="s">
        <v>10</v>
      </c>
      <c r="N820" s="35" t="s">
        <v>27</v>
      </c>
      <c r="O820" s="35" t="s">
        <v>26</v>
      </c>
      <c r="P820" s="35" t="s">
        <v>13</v>
      </c>
      <c r="Q820" s="35" t="s">
        <v>28</v>
      </c>
      <c r="R820" s="35" t="s">
        <v>24</v>
      </c>
      <c r="S820" s="35">
        <v>41335</v>
      </c>
      <c r="T820" s="81">
        <v>325</v>
      </c>
      <c r="U820" s="36">
        <v>41010</v>
      </c>
    </row>
    <row r="821" spans="1:21">
      <c r="A821" s="5">
        <v>77093</v>
      </c>
      <c r="B821" s="5" t="s">
        <v>16</v>
      </c>
      <c r="C821" s="5" t="s">
        <v>35</v>
      </c>
      <c r="D821" s="5" t="s">
        <v>30</v>
      </c>
      <c r="E821" s="5" t="s">
        <v>19</v>
      </c>
      <c r="F821" s="5" t="s">
        <v>14</v>
      </c>
      <c r="G821" s="5" t="s">
        <v>15</v>
      </c>
      <c r="H821" s="5">
        <v>137272</v>
      </c>
      <c r="I821" s="5">
        <v>2971</v>
      </c>
      <c r="J821" s="6">
        <f t="shared" si="12"/>
        <v>134301</v>
      </c>
      <c r="L821" s="31">
        <v>90368</v>
      </c>
      <c r="M821" s="32" t="s">
        <v>10</v>
      </c>
      <c r="N821" s="32" t="s">
        <v>38</v>
      </c>
      <c r="O821" s="32" t="s">
        <v>30</v>
      </c>
      <c r="P821" s="32" t="s">
        <v>13</v>
      </c>
      <c r="Q821" s="32" t="s">
        <v>28</v>
      </c>
      <c r="R821" s="32" t="s">
        <v>24</v>
      </c>
      <c r="S821" s="32">
        <v>23959</v>
      </c>
      <c r="T821" s="80">
        <v>875</v>
      </c>
      <c r="U821" s="33">
        <v>23084</v>
      </c>
    </row>
    <row r="822" spans="1:21">
      <c r="A822" s="5">
        <v>7788</v>
      </c>
      <c r="B822" s="5" t="s">
        <v>10</v>
      </c>
      <c r="C822" s="5" t="s">
        <v>39</v>
      </c>
      <c r="D822" s="5" t="s">
        <v>30</v>
      </c>
      <c r="E822" s="5" t="s">
        <v>19</v>
      </c>
      <c r="F822" s="5" t="s">
        <v>14</v>
      </c>
      <c r="G822" s="5" t="s">
        <v>15</v>
      </c>
      <c r="H822" s="5">
        <v>116772</v>
      </c>
      <c r="I822" s="5">
        <v>3507</v>
      </c>
      <c r="J822" s="6">
        <f t="shared" si="12"/>
        <v>113265</v>
      </c>
      <c r="L822" s="34">
        <v>96521</v>
      </c>
      <c r="M822" s="35" t="s">
        <v>16</v>
      </c>
      <c r="N822" s="35" t="s">
        <v>20</v>
      </c>
      <c r="O822" s="35" t="s">
        <v>32</v>
      </c>
      <c r="P822" s="35" t="s">
        <v>13</v>
      </c>
      <c r="Q822" s="35" t="s">
        <v>28</v>
      </c>
      <c r="R822" s="35" t="s">
        <v>15</v>
      </c>
      <c r="S822" s="35">
        <v>32345</v>
      </c>
      <c r="T822" s="81">
        <v>3093</v>
      </c>
      <c r="U822" s="36">
        <v>29252</v>
      </c>
    </row>
    <row r="823" spans="1:21">
      <c r="A823" s="5">
        <v>193704</v>
      </c>
      <c r="B823" s="5" t="s">
        <v>10</v>
      </c>
      <c r="C823" s="5" t="s">
        <v>38</v>
      </c>
      <c r="D823" s="5" t="s">
        <v>26</v>
      </c>
      <c r="E823" s="5" t="s">
        <v>19</v>
      </c>
      <c r="F823" s="5" t="s">
        <v>14</v>
      </c>
      <c r="G823" s="5" t="s">
        <v>24</v>
      </c>
      <c r="H823" s="5">
        <v>35497</v>
      </c>
      <c r="I823" s="5">
        <v>3720</v>
      </c>
      <c r="J823" s="6">
        <f t="shared" si="12"/>
        <v>31777</v>
      </c>
      <c r="L823" s="31">
        <v>69938</v>
      </c>
      <c r="M823" s="32" t="s">
        <v>16</v>
      </c>
      <c r="N823" s="32" t="s">
        <v>22</v>
      </c>
      <c r="O823" s="32" t="s">
        <v>30</v>
      </c>
      <c r="P823" s="32" t="s">
        <v>13</v>
      </c>
      <c r="Q823" s="32" t="s">
        <v>28</v>
      </c>
      <c r="R823" s="32" t="s">
        <v>15</v>
      </c>
      <c r="S823" s="32">
        <v>121177</v>
      </c>
      <c r="T823" s="80">
        <v>2529</v>
      </c>
      <c r="U823" s="33">
        <v>118648</v>
      </c>
    </row>
    <row r="824" spans="1:21">
      <c r="A824" s="5">
        <v>79817</v>
      </c>
      <c r="B824" s="5" t="s">
        <v>10</v>
      </c>
      <c r="C824" s="5" t="s">
        <v>38</v>
      </c>
      <c r="D824" s="5" t="s">
        <v>30</v>
      </c>
      <c r="E824" s="5" t="s">
        <v>13</v>
      </c>
      <c r="F824" s="5" t="s">
        <v>14</v>
      </c>
      <c r="G824" s="5" t="s">
        <v>24</v>
      </c>
      <c r="H824" s="5">
        <v>34728</v>
      </c>
      <c r="I824" s="5">
        <v>160</v>
      </c>
      <c r="J824" s="6">
        <f t="shared" si="12"/>
        <v>34568</v>
      </c>
      <c r="L824" s="34">
        <v>64352</v>
      </c>
      <c r="M824" s="35" t="s">
        <v>10</v>
      </c>
      <c r="N824" s="35" t="s">
        <v>27</v>
      </c>
      <c r="O824" s="35" t="s">
        <v>12</v>
      </c>
      <c r="P824" s="35" t="s">
        <v>13</v>
      </c>
      <c r="Q824" s="35" t="s">
        <v>28</v>
      </c>
      <c r="R824" s="35" t="s">
        <v>15</v>
      </c>
      <c r="S824" s="35">
        <v>67294</v>
      </c>
      <c r="T824" s="81">
        <v>2081</v>
      </c>
      <c r="U824" s="36">
        <v>65213</v>
      </c>
    </row>
    <row r="825" spans="1:21">
      <c r="A825" s="5">
        <v>54297</v>
      </c>
      <c r="B825" s="5" t="s">
        <v>10</v>
      </c>
      <c r="C825" s="5" t="s">
        <v>35</v>
      </c>
      <c r="D825" s="5" t="s">
        <v>36</v>
      </c>
      <c r="E825" s="5" t="s">
        <v>13</v>
      </c>
      <c r="F825" s="5" t="s">
        <v>28</v>
      </c>
      <c r="G825" s="5" t="s">
        <v>24</v>
      </c>
      <c r="H825" s="5">
        <v>58264</v>
      </c>
      <c r="I825" s="5">
        <v>2198</v>
      </c>
      <c r="J825" s="6">
        <f t="shared" si="12"/>
        <v>56066</v>
      </c>
      <c r="L825" s="31">
        <v>151788</v>
      </c>
      <c r="M825" s="32" t="s">
        <v>16</v>
      </c>
      <c r="N825" s="32" t="s">
        <v>22</v>
      </c>
      <c r="O825" s="32" t="s">
        <v>12</v>
      </c>
      <c r="P825" s="32" t="s">
        <v>19</v>
      </c>
      <c r="Q825" s="32" t="s">
        <v>28</v>
      </c>
      <c r="R825" s="32" t="s">
        <v>15</v>
      </c>
      <c r="S825" s="32">
        <v>57058</v>
      </c>
      <c r="T825" s="80">
        <v>377</v>
      </c>
      <c r="U825" s="33">
        <v>56681</v>
      </c>
    </row>
    <row r="826" spans="1:21">
      <c r="A826" s="5">
        <v>161943</v>
      </c>
      <c r="B826" s="5" t="s">
        <v>10</v>
      </c>
      <c r="C826" s="5" t="s">
        <v>25</v>
      </c>
      <c r="D826" s="5" t="s">
        <v>21</v>
      </c>
      <c r="E826" s="5" t="s">
        <v>19</v>
      </c>
      <c r="F826" s="5" t="s">
        <v>28</v>
      </c>
      <c r="G826" s="5" t="s">
        <v>24</v>
      </c>
      <c r="H826" s="5">
        <v>74208</v>
      </c>
      <c r="I826" s="5">
        <v>7317</v>
      </c>
      <c r="J826" s="6">
        <f t="shared" si="12"/>
        <v>66891</v>
      </c>
      <c r="L826" s="34">
        <v>59619</v>
      </c>
      <c r="M826" s="35" t="s">
        <v>10</v>
      </c>
      <c r="N826" s="35" t="s">
        <v>27</v>
      </c>
      <c r="O826" s="35" t="s">
        <v>23</v>
      </c>
      <c r="P826" s="35" t="s">
        <v>13</v>
      </c>
      <c r="Q826" s="35" t="s">
        <v>28</v>
      </c>
      <c r="R826" s="35" t="s">
        <v>15</v>
      </c>
      <c r="S826" s="35">
        <v>31422</v>
      </c>
      <c r="T826" s="81">
        <v>3236</v>
      </c>
      <c r="U826" s="36">
        <v>28186</v>
      </c>
    </row>
    <row r="827" spans="1:21">
      <c r="A827" s="5">
        <v>178022</v>
      </c>
      <c r="B827" s="5" t="s">
        <v>16</v>
      </c>
      <c r="C827" s="5" t="s">
        <v>25</v>
      </c>
      <c r="D827" s="5" t="s">
        <v>33</v>
      </c>
      <c r="E827" s="5" t="s">
        <v>19</v>
      </c>
      <c r="F827" s="5" t="s">
        <v>14</v>
      </c>
      <c r="G827" s="5" t="s">
        <v>15</v>
      </c>
      <c r="H827" s="5">
        <v>69939</v>
      </c>
      <c r="I827" s="5">
        <v>1470</v>
      </c>
      <c r="J827" s="6">
        <f t="shared" si="12"/>
        <v>68469</v>
      </c>
      <c r="L827" s="31">
        <v>100854</v>
      </c>
      <c r="M827" s="32" t="s">
        <v>10</v>
      </c>
      <c r="N827" s="32" t="s">
        <v>11</v>
      </c>
      <c r="O827" s="32" t="s">
        <v>26</v>
      </c>
      <c r="P827" s="32" t="s">
        <v>13</v>
      </c>
      <c r="Q827" s="32" t="s">
        <v>28</v>
      </c>
      <c r="R827" s="32" t="s">
        <v>24</v>
      </c>
      <c r="S827" s="32">
        <v>117377</v>
      </c>
      <c r="T827" s="80">
        <v>14157</v>
      </c>
      <c r="U827" s="33">
        <v>103220</v>
      </c>
    </row>
    <row r="828" spans="1:21">
      <c r="A828" s="5">
        <v>33275</v>
      </c>
      <c r="B828" s="5" t="s">
        <v>16</v>
      </c>
      <c r="C828" s="5" t="s">
        <v>27</v>
      </c>
      <c r="D828" s="5" t="s">
        <v>26</v>
      </c>
      <c r="E828" s="5" t="s">
        <v>13</v>
      </c>
      <c r="F828" s="5" t="s">
        <v>14</v>
      </c>
      <c r="G828" s="5" t="s">
        <v>15</v>
      </c>
      <c r="H828" s="5">
        <v>26041</v>
      </c>
      <c r="I828" s="5">
        <v>5824</v>
      </c>
      <c r="J828" s="6">
        <f t="shared" si="12"/>
        <v>20217</v>
      </c>
      <c r="L828" s="34">
        <v>84313</v>
      </c>
      <c r="M828" s="35" t="s">
        <v>10</v>
      </c>
      <c r="N828" s="35" t="s">
        <v>34</v>
      </c>
      <c r="O828" s="35" t="s">
        <v>30</v>
      </c>
      <c r="P828" s="35" t="s">
        <v>13</v>
      </c>
      <c r="Q828" s="35" t="s">
        <v>28</v>
      </c>
      <c r="R828" s="35" t="s">
        <v>24</v>
      </c>
      <c r="S828" s="35">
        <v>53672</v>
      </c>
      <c r="T828" s="81">
        <v>1883</v>
      </c>
      <c r="U828" s="36">
        <v>51789</v>
      </c>
    </row>
    <row r="829" spans="1:21">
      <c r="A829" s="5">
        <v>249669</v>
      </c>
      <c r="B829" s="5" t="s">
        <v>16</v>
      </c>
      <c r="C829" s="5" t="s">
        <v>34</v>
      </c>
      <c r="D829" s="5" t="s">
        <v>30</v>
      </c>
      <c r="E829" s="5" t="s">
        <v>19</v>
      </c>
      <c r="F829" s="5" t="s">
        <v>14</v>
      </c>
      <c r="G829" s="5" t="s">
        <v>24</v>
      </c>
      <c r="H829" s="5">
        <v>77359</v>
      </c>
      <c r="I829" s="5">
        <v>2313</v>
      </c>
      <c r="J829" s="6">
        <f t="shared" si="12"/>
        <v>75046</v>
      </c>
      <c r="L829" s="31">
        <v>231834</v>
      </c>
      <c r="M829" s="32" t="s">
        <v>16</v>
      </c>
      <c r="N829" s="32" t="s">
        <v>17</v>
      </c>
      <c r="O829" s="32" t="s">
        <v>18</v>
      </c>
      <c r="P829" s="32" t="s">
        <v>19</v>
      </c>
      <c r="Q829" s="32" t="s">
        <v>28</v>
      </c>
      <c r="R829" s="32" t="s">
        <v>24</v>
      </c>
      <c r="S829" s="32">
        <v>17201</v>
      </c>
      <c r="T829" s="80">
        <v>0</v>
      </c>
      <c r="U829" s="33">
        <v>17201</v>
      </c>
    </row>
    <row r="830" spans="1:21">
      <c r="A830" s="5">
        <v>168241</v>
      </c>
      <c r="B830" s="5" t="s">
        <v>10</v>
      </c>
      <c r="C830" s="5" t="s">
        <v>22</v>
      </c>
      <c r="D830" s="5" t="s">
        <v>23</v>
      </c>
      <c r="E830" s="5" t="s">
        <v>19</v>
      </c>
      <c r="F830" s="5" t="s">
        <v>28</v>
      </c>
      <c r="G830" s="5" t="s">
        <v>15</v>
      </c>
      <c r="H830" s="5">
        <v>74546</v>
      </c>
      <c r="I830" s="5">
        <v>7875</v>
      </c>
      <c r="J830" s="6">
        <f t="shared" si="12"/>
        <v>66671</v>
      </c>
      <c r="L830" s="34">
        <v>242141</v>
      </c>
      <c r="M830" s="35" t="s">
        <v>16</v>
      </c>
      <c r="N830" s="35" t="s">
        <v>22</v>
      </c>
      <c r="O830" s="35" t="s">
        <v>30</v>
      </c>
      <c r="P830" s="35" t="s">
        <v>19</v>
      </c>
      <c r="Q830" s="35" t="s">
        <v>28</v>
      </c>
      <c r="R830" s="35" t="s">
        <v>24</v>
      </c>
      <c r="S830" s="35">
        <v>69216</v>
      </c>
      <c r="T830" s="81">
        <v>1182</v>
      </c>
      <c r="U830" s="36">
        <v>68034</v>
      </c>
    </row>
    <row r="831" spans="1:21">
      <c r="A831" s="5">
        <v>220425</v>
      </c>
      <c r="B831" s="5" t="s">
        <v>10</v>
      </c>
      <c r="C831" s="5" t="s">
        <v>25</v>
      </c>
      <c r="D831" s="5" t="s">
        <v>29</v>
      </c>
      <c r="E831" s="5" t="s">
        <v>19</v>
      </c>
      <c r="F831" s="5" t="s">
        <v>14</v>
      </c>
      <c r="G831" s="5" t="s">
        <v>15</v>
      </c>
      <c r="H831" s="5">
        <v>106253</v>
      </c>
      <c r="I831" s="5">
        <v>17088</v>
      </c>
      <c r="J831" s="6">
        <f t="shared" si="12"/>
        <v>89165</v>
      </c>
      <c r="L831" s="31">
        <v>85569</v>
      </c>
      <c r="M831" s="32" t="s">
        <v>16</v>
      </c>
      <c r="N831" s="32" t="s">
        <v>34</v>
      </c>
      <c r="O831" s="32" t="s">
        <v>30</v>
      </c>
      <c r="P831" s="32" t="s">
        <v>13</v>
      </c>
      <c r="Q831" s="32" t="s">
        <v>28</v>
      </c>
      <c r="R831" s="32" t="s">
        <v>15</v>
      </c>
      <c r="S831" s="32">
        <v>41702</v>
      </c>
      <c r="T831" s="80">
        <v>553</v>
      </c>
      <c r="U831" s="33">
        <v>41149</v>
      </c>
    </row>
    <row r="832" spans="1:21">
      <c r="A832" s="5">
        <v>96183</v>
      </c>
      <c r="B832" s="5" t="s">
        <v>10</v>
      </c>
      <c r="C832" s="5" t="s">
        <v>37</v>
      </c>
      <c r="D832" s="5" t="s">
        <v>32</v>
      </c>
      <c r="E832" s="5" t="s">
        <v>13</v>
      </c>
      <c r="F832" s="5" t="s">
        <v>14</v>
      </c>
      <c r="G832" s="5" t="s">
        <v>15</v>
      </c>
      <c r="H832" s="5">
        <v>9505</v>
      </c>
      <c r="I832" s="5">
        <v>0</v>
      </c>
      <c r="J832" s="6">
        <f t="shared" si="12"/>
        <v>9505</v>
      </c>
      <c r="L832" s="34">
        <v>155266</v>
      </c>
      <c r="M832" s="35" t="s">
        <v>16</v>
      </c>
      <c r="N832" s="35" t="s">
        <v>17</v>
      </c>
      <c r="O832" s="35" t="s">
        <v>26</v>
      </c>
      <c r="P832" s="35" t="s">
        <v>19</v>
      </c>
      <c r="Q832" s="35" t="s">
        <v>28</v>
      </c>
      <c r="R832" s="35" t="s">
        <v>24</v>
      </c>
      <c r="S832" s="35">
        <v>15157</v>
      </c>
      <c r="T832" s="81">
        <v>249</v>
      </c>
      <c r="U832" s="36">
        <v>14908</v>
      </c>
    </row>
    <row r="833" spans="1:21">
      <c r="A833" s="5">
        <v>142035</v>
      </c>
      <c r="B833" s="5" t="s">
        <v>16</v>
      </c>
      <c r="C833" s="5" t="s">
        <v>17</v>
      </c>
      <c r="D833" s="5" t="s">
        <v>26</v>
      </c>
      <c r="E833" s="5" t="s">
        <v>19</v>
      </c>
      <c r="F833" s="5" t="s">
        <v>14</v>
      </c>
      <c r="G833" s="5" t="s">
        <v>24</v>
      </c>
      <c r="H833" s="5">
        <v>36431</v>
      </c>
      <c r="I833" s="5">
        <v>324</v>
      </c>
      <c r="J833" s="6">
        <f t="shared" si="12"/>
        <v>36107</v>
      </c>
      <c r="L833" s="31">
        <v>124361</v>
      </c>
      <c r="M833" s="32" t="s">
        <v>10</v>
      </c>
      <c r="N833" s="32" t="s">
        <v>35</v>
      </c>
      <c r="O833" s="32" t="s">
        <v>30</v>
      </c>
      <c r="P833" s="32" t="s">
        <v>13</v>
      </c>
      <c r="Q833" s="32" t="s">
        <v>28</v>
      </c>
      <c r="R833" s="32" t="s">
        <v>24</v>
      </c>
      <c r="S833" s="32">
        <v>3053</v>
      </c>
      <c r="T833" s="80">
        <v>0</v>
      </c>
      <c r="U833" s="33">
        <v>3053</v>
      </c>
    </row>
    <row r="834" spans="1:21">
      <c r="A834" s="5">
        <v>80578</v>
      </c>
      <c r="B834" s="5" t="s">
        <v>10</v>
      </c>
      <c r="C834" s="5" t="s">
        <v>38</v>
      </c>
      <c r="D834" s="5" t="s">
        <v>30</v>
      </c>
      <c r="E834" s="5" t="s">
        <v>13</v>
      </c>
      <c r="F834" s="5" t="s">
        <v>28</v>
      </c>
      <c r="G834" s="5" t="s">
        <v>15</v>
      </c>
      <c r="H834" s="5">
        <v>22652</v>
      </c>
      <c r="I834" s="5">
        <v>0</v>
      </c>
      <c r="J834" s="6">
        <f t="shared" ref="J834:J897" si="13">H834-I834</f>
        <v>22652</v>
      </c>
      <c r="L834" s="34">
        <v>5768</v>
      </c>
      <c r="M834" s="35" t="s">
        <v>16</v>
      </c>
      <c r="N834" s="35" t="s">
        <v>20</v>
      </c>
      <c r="O834" s="35" t="s">
        <v>32</v>
      </c>
      <c r="P834" s="35" t="s">
        <v>19</v>
      </c>
      <c r="Q834" s="35" t="s">
        <v>28</v>
      </c>
      <c r="R834" s="35" t="s">
        <v>24</v>
      </c>
      <c r="S834" s="35">
        <v>586</v>
      </c>
      <c r="T834" s="81">
        <v>0</v>
      </c>
      <c r="U834" s="36">
        <v>586</v>
      </c>
    </row>
    <row r="835" spans="1:21">
      <c r="A835" s="5">
        <v>218513</v>
      </c>
      <c r="B835" s="5" t="s">
        <v>16</v>
      </c>
      <c r="C835" s="5" t="s">
        <v>37</v>
      </c>
      <c r="D835" s="5" t="s">
        <v>33</v>
      </c>
      <c r="E835" s="5" t="s">
        <v>13</v>
      </c>
      <c r="F835" s="5" t="s">
        <v>14</v>
      </c>
      <c r="G835" s="5" t="s">
        <v>15</v>
      </c>
      <c r="H835" s="5">
        <v>17364</v>
      </c>
      <c r="I835" s="5">
        <v>2112</v>
      </c>
      <c r="J835" s="6">
        <f t="shared" si="13"/>
        <v>15252</v>
      </c>
      <c r="L835" s="31">
        <v>89982</v>
      </c>
      <c r="M835" s="32" t="s">
        <v>10</v>
      </c>
      <c r="N835" s="32" t="s">
        <v>37</v>
      </c>
      <c r="O835" s="32" t="s">
        <v>29</v>
      </c>
      <c r="P835" s="32" t="s">
        <v>13</v>
      </c>
      <c r="Q835" s="32" t="s">
        <v>28</v>
      </c>
      <c r="R835" s="32" t="s">
        <v>15</v>
      </c>
      <c r="S835" s="32">
        <v>41147</v>
      </c>
      <c r="T835" s="80">
        <v>500</v>
      </c>
      <c r="U835" s="33">
        <v>40647</v>
      </c>
    </row>
    <row r="836" spans="1:21">
      <c r="A836" s="5">
        <v>105290</v>
      </c>
      <c r="B836" s="5" t="s">
        <v>16</v>
      </c>
      <c r="C836" s="5" t="s">
        <v>22</v>
      </c>
      <c r="D836" s="5" t="s">
        <v>36</v>
      </c>
      <c r="E836" s="5" t="s">
        <v>13</v>
      </c>
      <c r="F836" s="5" t="s">
        <v>14</v>
      </c>
      <c r="G836" s="5" t="s">
        <v>15</v>
      </c>
      <c r="H836" s="5">
        <v>34967</v>
      </c>
      <c r="I836" s="5">
        <v>495</v>
      </c>
      <c r="J836" s="6">
        <f t="shared" si="13"/>
        <v>34472</v>
      </c>
      <c r="L836" s="34">
        <v>1111</v>
      </c>
      <c r="M836" s="35" t="s">
        <v>16</v>
      </c>
      <c r="N836" s="35" t="s">
        <v>20</v>
      </c>
      <c r="O836" s="35" t="s">
        <v>32</v>
      </c>
      <c r="P836" s="35" t="s">
        <v>19</v>
      </c>
      <c r="Q836" s="35" t="s">
        <v>28</v>
      </c>
      <c r="R836" s="35" t="s">
        <v>24</v>
      </c>
      <c r="S836" s="35">
        <v>222</v>
      </c>
      <c r="T836" s="81">
        <v>0</v>
      </c>
      <c r="U836" s="36">
        <v>222</v>
      </c>
    </row>
    <row r="837" spans="1:21">
      <c r="A837" s="5">
        <v>127505</v>
      </c>
      <c r="B837" s="5" t="s">
        <v>16</v>
      </c>
      <c r="C837" s="5" t="s">
        <v>27</v>
      </c>
      <c r="D837" s="5" t="s">
        <v>30</v>
      </c>
      <c r="E837" s="5" t="s">
        <v>13</v>
      </c>
      <c r="F837" s="5" t="s">
        <v>28</v>
      </c>
      <c r="G837" s="5" t="s">
        <v>15</v>
      </c>
      <c r="H837" s="5">
        <v>78369</v>
      </c>
      <c r="I837" s="5">
        <v>1082</v>
      </c>
      <c r="J837" s="6">
        <f t="shared" si="13"/>
        <v>77287</v>
      </c>
      <c r="L837" s="31">
        <v>189908</v>
      </c>
      <c r="M837" s="32" t="s">
        <v>16</v>
      </c>
      <c r="N837" s="32" t="s">
        <v>37</v>
      </c>
      <c r="O837" s="32" t="s">
        <v>33</v>
      </c>
      <c r="P837" s="32" t="s">
        <v>13</v>
      </c>
      <c r="Q837" s="32" t="s">
        <v>28</v>
      </c>
      <c r="R837" s="32" t="s">
        <v>15</v>
      </c>
      <c r="S837" s="32">
        <v>49797</v>
      </c>
      <c r="T837" s="80">
        <v>1748</v>
      </c>
      <c r="U837" s="33">
        <v>48049</v>
      </c>
    </row>
    <row r="838" spans="1:21">
      <c r="A838" s="5">
        <v>217415</v>
      </c>
      <c r="B838" s="5" t="s">
        <v>10</v>
      </c>
      <c r="C838" s="5" t="s">
        <v>20</v>
      </c>
      <c r="D838" s="5" t="s">
        <v>21</v>
      </c>
      <c r="E838" s="5" t="s">
        <v>19</v>
      </c>
      <c r="F838" s="5" t="s">
        <v>28</v>
      </c>
      <c r="G838" s="5" t="s">
        <v>15</v>
      </c>
      <c r="H838" s="5">
        <v>34612</v>
      </c>
      <c r="I838" s="5">
        <v>0</v>
      </c>
      <c r="J838" s="6">
        <f t="shared" si="13"/>
        <v>34612</v>
      </c>
      <c r="L838" s="34">
        <v>199778</v>
      </c>
      <c r="M838" s="35" t="s">
        <v>16</v>
      </c>
      <c r="N838" s="35" t="s">
        <v>37</v>
      </c>
      <c r="O838" s="35" t="s">
        <v>12</v>
      </c>
      <c r="P838" s="35" t="s">
        <v>13</v>
      </c>
      <c r="Q838" s="35" t="s">
        <v>28</v>
      </c>
      <c r="R838" s="35" t="s">
        <v>15</v>
      </c>
      <c r="S838" s="35">
        <v>164860</v>
      </c>
      <c r="T838" s="81">
        <v>1078</v>
      </c>
      <c r="U838" s="36">
        <v>163782</v>
      </c>
    </row>
    <row r="839" spans="1:21">
      <c r="A839" s="5">
        <v>242852</v>
      </c>
      <c r="B839" s="5" t="s">
        <v>10</v>
      </c>
      <c r="C839" s="5" t="s">
        <v>17</v>
      </c>
      <c r="D839" s="5" t="s">
        <v>33</v>
      </c>
      <c r="E839" s="5" t="s">
        <v>19</v>
      </c>
      <c r="F839" s="5" t="s">
        <v>28</v>
      </c>
      <c r="G839" s="5" t="s">
        <v>15</v>
      </c>
      <c r="H839" s="5">
        <v>39485</v>
      </c>
      <c r="I839" s="5">
        <v>115</v>
      </c>
      <c r="J839" s="6">
        <f t="shared" si="13"/>
        <v>39370</v>
      </c>
      <c r="L839" s="31">
        <v>108475</v>
      </c>
      <c r="M839" s="32" t="s">
        <v>10</v>
      </c>
      <c r="N839" s="32" t="s">
        <v>25</v>
      </c>
      <c r="O839" s="32" t="s">
        <v>29</v>
      </c>
      <c r="P839" s="32" t="s">
        <v>19</v>
      </c>
      <c r="Q839" s="32" t="s">
        <v>28</v>
      </c>
      <c r="R839" s="32" t="s">
        <v>24</v>
      </c>
      <c r="S839" s="32">
        <v>20390</v>
      </c>
      <c r="T839" s="80">
        <v>3838</v>
      </c>
      <c r="U839" s="33">
        <v>16552</v>
      </c>
    </row>
    <row r="840" spans="1:21">
      <c r="A840" s="5">
        <v>87257</v>
      </c>
      <c r="B840" s="5" t="s">
        <v>10</v>
      </c>
      <c r="C840" s="5" t="s">
        <v>20</v>
      </c>
      <c r="D840" s="5" t="s">
        <v>32</v>
      </c>
      <c r="E840" s="5" t="s">
        <v>13</v>
      </c>
      <c r="F840" s="5" t="s">
        <v>14</v>
      </c>
      <c r="G840" s="5" t="s">
        <v>15</v>
      </c>
      <c r="H840" s="5">
        <v>11072</v>
      </c>
      <c r="I840" s="5">
        <v>2392</v>
      </c>
      <c r="J840" s="6">
        <f t="shared" si="13"/>
        <v>8680</v>
      </c>
      <c r="L840" s="34">
        <v>190176</v>
      </c>
      <c r="M840" s="35" t="s">
        <v>10</v>
      </c>
      <c r="N840" s="35" t="s">
        <v>20</v>
      </c>
      <c r="O840" s="35" t="s">
        <v>32</v>
      </c>
      <c r="P840" s="35" t="s">
        <v>19</v>
      </c>
      <c r="Q840" s="35" t="s">
        <v>28</v>
      </c>
      <c r="R840" s="35" t="s">
        <v>24</v>
      </c>
      <c r="S840" s="35">
        <v>411</v>
      </c>
      <c r="T840" s="81">
        <v>0</v>
      </c>
      <c r="U840" s="36">
        <v>411</v>
      </c>
    </row>
    <row r="841" spans="1:21">
      <c r="A841" s="5">
        <v>17403</v>
      </c>
      <c r="B841" s="5" t="s">
        <v>10</v>
      </c>
      <c r="C841" s="5" t="s">
        <v>34</v>
      </c>
      <c r="D841" s="5" t="s">
        <v>23</v>
      </c>
      <c r="E841" s="5" t="s">
        <v>13</v>
      </c>
      <c r="F841" s="5" t="s">
        <v>14</v>
      </c>
      <c r="G841" s="5" t="s">
        <v>15</v>
      </c>
      <c r="H841" s="5">
        <v>75600</v>
      </c>
      <c r="I841" s="5">
        <v>4665</v>
      </c>
      <c r="J841" s="6">
        <f t="shared" si="13"/>
        <v>70935</v>
      </c>
      <c r="L841" s="31">
        <v>178274</v>
      </c>
      <c r="M841" s="32" t="s">
        <v>16</v>
      </c>
      <c r="N841" s="32" t="s">
        <v>27</v>
      </c>
      <c r="O841" s="32" t="s">
        <v>12</v>
      </c>
      <c r="P841" s="32" t="s">
        <v>13</v>
      </c>
      <c r="Q841" s="32" t="s">
        <v>28</v>
      </c>
      <c r="R841" s="32" t="s">
        <v>15</v>
      </c>
      <c r="S841" s="32">
        <v>84012</v>
      </c>
      <c r="T841" s="80">
        <v>414</v>
      </c>
      <c r="U841" s="33">
        <v>83598</v>
      </c>
    </row>
    <row r="842" spans="1:21">
      <c r="A842" s="5">
        <v>69177</v>
      </c>
      <c r="B842" s="5" t="s">
        <v>16</v>
      </c>
      <c r="C842" s="5" t="s">
        <v>27</v>
      </c>
      <c r="D842" s="5" t="s">
        <v>30</v>
      </c>
      <c r="E842" s="5" t="s">
        <v>13</v>
      </c>
      <c r="F842" s="5" t="s">
        <v>14</v>
      </c>
      <c r="G842" s="5" t="s">
        <v>15</v>
      </c>
      <c r="H842" s="5">
        <v>36178</v>
      </c>
      <c r="I842" s="5">
        <v>484</v>
      </c>
      <c r="J842" s="6">
        <f t="shared" si="13"/>
        <v>35694</v>
      </c>
      <c r="L842" s="34">
        <v>180373</v>
      </c>
      <c r="M842" s="35" t="s">
        <v>16</v>
      </c>
      <c r="N842" s="35" t="s">
        <v>31</v>
      </c>
      <c r="O842" s="35" t="s">
        <v>18</v>
      </c>
      <c r="P842" s="35" t="s">
        <v>19</v>
      </c>
      <c r="Q842" s="35" t="s">
        <v>28</v>
      </c>
      <c r="R842" s="35" t="s">
        <v>24</v>
      </c>
      <c r="S842" s="35">
        <v>11932</v>
      </c>
      <c r="T842" s="81">
        <v>47</v>
      </c>
      <c r="U842" s="36">
        <v>11885</v>
      </c>
    </row>
    <row r="843" spans="1:21">
      <c r="A843" s="5">
        <v>29307</v>
      </c>
      <c r="B843" s="5" t="s">
        <v>10</v>
      </c>
      <c r="C843" s="5" t="s">
        <v>34</v>
      </c>
      <c r="D843" s="5" t="s">
        <v>23</v>
      </c>
      <c r="E843" s="5" t="s">
        <v>13</v>
      </c>
      <c r="F843" s="5" t="s">
        <v>28</v>
      </c>
      <c r="G843" s="5" t="s">
        <v>24</v>
      </c>
      <c r="H843" s="5">
        <v>127940</v>
      </c>
      <c r="I843" s="5">
        <v>1077</v>
      </c>
      <c r="J843" s="6">
        <f t="shared" si="13"/>
        <v>126863</v>
      </c>
      <c r="L843" s="31">
        <v>119636</v>
      </c>
      <c r="M843" s="32" t="s">
        <v>10</v>
      </c>
      <c r="N843" s="32" t="s">
        <v>27</v>
      </c>
      <c r="O843" s="32" t="s">
        <v>23</v>
      </c>
      <c r="P843" s="32" t="s">
        <v>19</v>
      </c>
      <c r="Q843" s="32" t="s">
        <v>28</v>
      </c>
      <c r="R843" s="32" t="s">
        <v>15</v>
      </c>
      <c r="S843" s="32">
        <v>87820</v>
      </c>
      <c r="T843" s="80">
        <v>0</v>
      </c>
      <c r="U843" s="33">
        <v>87820</v>
      </c>
    </row>
    <row r="844" spans="1:21">
      <c r="A844" s="5">
        <v>7174</v>
      </c>
      <c r="B844" s="5" t="s">
        <v>10</v>
      </c>
      <c r="C844" s="5" t="s">
        <v>39</v>
      </c>
      <c r="D844" s="5" t="s">
        <v>32</v>
      </c>
      <c r="E844" s="5" t="s">
        <v>13</v>
      </c>
      <c r="F844" s="5" t="s">
        <v>14</v>
      </c>
      <c r="G844" s="5" t="s">
        <v>15</v>
      </c>
      <c r="H844" s="5">
        <v>377234</v>
      </c>
      <c r="I844" s="5">
        <v>28082</v>
      </c>
      <c r="J844" s="6">
        <f t="shared" si="13"/>
        <v>349152</v>
      </c>
      <c r="L844" s="34">
        <v>197204</v>
      </c>
      <c r="M844" s="35" t="s">
        <v>10</v>
      </c>
      <c r="N844" s="35" t="s">
        <v>34</v>
      </c>
      <c r="O844" s="35" t="s">
        <v>29</v>
      </c>
      <c r="P844" s="35" t="s">
        <v>13</v>
      </c>
      <c r="Q844" s="35" t="s">
        <v>28</v>
      </c>
      <c r="R844" s="35" t="s">
        <v>24</v>
      </c>
      <c r="S844" s="35">
        <v>41408</v>
      </c>
      <c r="T844" s="81">
        <v>403</v>
      </c>
      <c r="U844" s="36">
        <v>41005</v>
      </c>
    </row>
    <row r="845" spans="1:21">
      <c r="A845" s="5">
        <v>247546</v>
      </c>
      <c r="B845" s="5" t="s">
        <v>10</v>
      </c>
      <c r="C845" s="5" t="s">
        <v>25</v>
      </c>
      <c r="D845" s="5" t="s">
        <v>33</v>
      </c>
      <c r="E845" s="5" t="s">
        <v>19</v>
      </c>
      <c r="F845" s="5" t="s">
        <v>14</v>
      </c>
      <c r="G845" s="5" t="s">
        <v>24</v>
      </c>
      <c r="H845" s="5">
        <v>54022</v>
      </c>
      <c r="I845" s="5">
        <v>759</v>
      </c>
      <c r="J845" s="6">
        <f t="shared" si="13"/>
        <v>53263</v>
      </c>
      <c r="L845" s="31">
        <v>109440</v>
      </c>
      <c r="M845" s="32" t="s">
        <v>10</v>
      </c>
      <c r="N845" s="32" t="s">
        <v>22</v>
      </c>
      <c r="O845" s="32" t="s">
        <v>36</v>
      </c>
      <c r="P845" s="32" t="s">
        <v>19</v>
      </c>
      <c r="Q845" s="32" t="s">
        <v>28</v>
      </c>
      <c r="R845" s="32" t="s">
        <v>24</v>
      </c>
      <c r="S845" s="32">
        <v>687</v>
      </c>
      <c r="T845" s="80">
        <v>0</v>
      </c>
      <c r="U845" s="33">
        <v>687</v>
      </c>
    </row>
    <row r="846" spans="1:21">
      <c r="A846" s="5">
        <v>147916</v>
      </c>
      <c r="B846" s="5" t="s">
        <v>16</v>
      </c>
      <c r="C846" s="5" t="s">
        <v>17</v>
      </c>
      <c r="D846" s="5" t="s">
        <v>18</v>
      </c>
      <c r="E846" s="5" t="s">
        <v>13</v>
      </c>
      <c r="F846" s="5" t="s">
        <v>14</v>
      </c>
      <c r="G846" s="5" t="s">
        <v>24</v>
      </c>
      <c r="H846" s="5">
        <v>11801</v>
      </c>
      <c r="I846" s="5">
        <v>189</v>
      </c>
      <c r="J846" s="6">
        <f t="shared" si="13"/>
        <v>11612</v>
      </c>
      <c r="L846" s="34">
        <v>57607</v>
      </c>
      <c r="M846" s="35" t="s">
        <v>10</v>
      </c>
      <c r="N846" s="35" t="s">
        <v>34</v>
      </c>
      <c r="O846" s="35" t="s">
        <v>32</v>
      </c>
      <c r="P846" s="35" t="s">
        <v>13</v>
      </c>
      <c r="Q846" s="35" t="s">
        <v>28</v>
      </c>
      <c r="R846" s="35" t="s">
        <v>15</v>
      </c>
      <c r="S846" s="35">
        <v>115874</v>
      </c>
      <c r="T846" s="81">
        <v>1715</v>
      </c>
      <c r="U846" s="36">
        <v>114159</v>
      </c>
    </row>
    <row r="847" spans="1:21">
      <c r="A847" s="5">
        <v>220521</v>
      </c>
      <c r="B847" s="5" t="s">
        <v>10</v>
      </c>
      <c r="C847" s="5" t="s">
        <v>25</v>
      </c>
      <c r="D847" s="5" t="s">
        <v>23</v>
      </c>
      <c r="E847" s="5" t="s">
        <v>19</v>
      </c>
      <c r="F847" s="5" t="s">
        <v>14</v>
      </c>
      <c r="G847" s="5" t="s">
        <v>24</v>
      </c>
      <c r="H847" s="5">
        <v>50305</v>
      </c>
      <c r="I847" s="5">
        <v>324</v>
      </c>
      <c r="J847" s="6">
        <f t="shared" si="13"/>
        <v>49981</v>
      </c>
      <c r="L847" s="31">
        <v>78939</v>
      </c>
      <c r="M847" s="32" t="s">
        <v>16</v>
      </c>
      <c r="N847" s="32" t="s">
        <v>20</v>
      </c>
      <c r="O847" s="32" t="s">
        <v>32</v>
      </c>
      <c r="P847" s="32" t="s">
        <v>13</v>
      </c>
      <c r="Q847" s="32" t="s">
        <v>28</v>
      </c>
      <c r="R847" s="32" t="s">
        <v>15</v>
      </c>
      <c r="S847" s="32">
        <v>10966</v>
      </c>
      <c r="T847" s="80">
        <v>0</v>
      </c>
      <c r="U847" s="33">
        <v>10966</v>
      </c>
    </row>
    <row r="848" spans="1:21">
      <c r="A848" s="5">
        <v>253861</v>
      </c>
      <c r="B848" s="5" t="s">
        <v>10</v>
      </c>
      <c r="C848" s="5" t="s">
        <v>17</v>
      </c>
      <c r="D848" s="5" t="s">
        <v>32</v>
      </c>
      <c r="E848" s="5" t="s">
        <v>19</v>
      </c>
      <c r="F848" s="5" t="s">
        <v>14</v>
      </c>
      <c r="G848" s="5" t="s">
        <v>24</v>
      </c>
      <c r="H848" s="5">
        <v>88866</v>
      </c>
      <c r="I848" s="5">
        <v>0</v>
      </c>
      <c r="J848" s="6">
        <f t="shared" si="13"/>
        <v>88866</v>
      </c>
      <c r="L848" s="34">
        <v>128173</v>
      </c>
      <c r="M848" s="35" t="s">
        <v>16</v>
      </c>
      <c r="N848" s="35" t="s">
        <v>22</v>
      </c>
      <c r="O848" s="35" t="s">
        <v>30</v>
      </c>
      <c r="P848" s="35" t="s">
        <v>13</v>
      </c>
      <c r="Q848" s="35" t="s">
        <v>28</v>
      </c>
      <c r="R848" s="35" t="s">
        <v>15</v>
      </c>
      <c r="S848" s="35">
        <v>75468</v>
      </c>
      <c r="T848" s="81">
        <v>12</v>
      </c>
      <c r="U848" s="36">
        <v>75456</v>
      </c>
    </row>
    <row r="849" spans="1:21">
      <c r="A849" s="5">
        <v>48508</v>
      </c>
      <c r="B849" s="5" t="s">
        <v>10</v>
      </c>
      <c r="C849" s="5" t="s">
        <v>34</v>
      </c>
      <c r="D849" s="5" t="s">
        <v>32</v>
      </c>
      <c r="E849" s="5" t="s">
        <v>19</v>
      </c>
      <c r="F849" s="5" t="s">
        <v>14</v>
      </c>
      <c r="G849" s="5" t="s">
        <v>15</v>
      </c>
      <c r="H849" s="5">
        <v>11944</v>
      </c>
      <c r="I849" s="5">
        <v>0</v>
      </c>
      <c r="J849" s="6">
        <f t="shared" si="13"/>
        <v>11944</v>
      </c>
      <c r="L849" s="31">
        <v>176095</v>
      </c>
      <c r="M849" s="32" t="s">
        <v>16</v>
      </c>
      <c r="N849" s="32" t="s">
        <v>22</v>
      </c>
      <c r="O849" s="32" t="s">
        <v>30</v>
      </c>
      <c r="P849" s="32" t="s">
        <v>13</v>
      </c>
      <c r="Q849" s="32" t="s">
        <v>28</v>
      </c>
      <c r="R849" s="32" t="s">
        <v>15</v>
      </c>
      <c r="S849" s="32">
        <v>204515</v>
      </c>
      <c r="T849" s="80">
        <v>3131</v>
      </c>
      <c r="U849" s="33">
        <v>201384</v>
      </c>
    </row>
    <row r="850" spans="1:21">
      <c r="A850" s="5">
        <v>135993</v>
      </c>
      <c r="B850" s="5" t="s">
        <v>10</v>
      </c>
      <c r="C850" s="5" t="s">
        <v>22</v>
      </c>
      <c r="D850" s="5" t="s">
        <v>26</v>
      </c>
      <c r="E850" s="5" t="s">
        <v>13</v>
      </c>
      <c r="F850" s="5" t="s">
        <v>28</v>
      </c>
      <c r="G850" s="5" t="s">
        <v>24</v>
      </c>
      <c r="H850" s="5">
        <v>39774</v>
      </c>
      <c r="I850" s="5">
        <v>319</v>
      </c>
      <c r="J850" s="6">
        <f t="shared" si="13"/>
        <v>39455</v>
      </c>
      <c r="L850" s="34">
        <v>226207</v>
      </c>
      <c r="M850" s="35" t="s">
        <v>16</v>
      </c>
      <c r="N850" s="35" t="s">
        <v>25</v>
      </c>
      <c r="O850" s="35" t="s">
        <v>18</v>
      </c>
      <c r="P850" s="35" t="s">
        <v>19</v>
      </c>
      <c r="Q850" s="35" t="s">
        <v>28</v>
      </c>
      <c r="R850" s="35" t="s">
        <v>24</v>
      </c>
      <c r="S850" s="35">
        <v>22865</v>
      </c>
      <c r="T850" s="81">
        <v>1045</v>
      </c>
      <c r="U850" s="36">
        <v>21820</v>
      </c>
    </row>
    <row r="851" spans="1:21">
      <c r="A851" s="5">
        <v>111316</v>
      </c>
      <c r="B851" s="5" t="s">
        <v>16</v>
      </c>
      <c r="C851" s="5" t="s">
        <v>17</v>
      </c>
      <c r="D851" s="5" t="s">
        <v>18</v>
      </c>
      <c r="E851" s="5" t="s">
        <v>19</v>
      </c>
      <c r="F851" s="5" t="s">
        <v>14</v>
      </c>
      <c r="G851" s="5" t="s">
        <v>24</v>
      </c>
      <c r="H851" s="5">
        <v>2132</v>
      </c>
      <c r="I851" s="5">
        <v>0</v>
      </c>
      <c r="J851" s="6">
        <f t="shared" si="13"/>
        <v>2132</v>
      </c>
      <c r="L851" s="31">
        <v>30618</v>
      </c>
      <c r="M851" s="32" t="s">
        <v>10</v>
      </c>
      <c r="N851" s="32" t="s">
        <v>11</v>
      </c>
      <c r="O851" s="32" t="s">
        <v>29</v>
      </c>
      <c r="P851" s="32" t="s">
        <v>19</v>
      </c>
      <c r="Q851" s="32" t="s">
        <v>28</v>
      </c>
      <c r="R851" s="32" t="s">
        <v>24</v>
      </c>
      <c r="S851" s="32">
        <v>14902</v>
      </c>
      <c r="T851" s="80">
        <v>71</v>
      </c>
      <c r="U851" s="33">
        <v>14831</v>
      </c>
    </row>
    <row r="852" spans="1:21">
      <c r="A852" s="5">
        <v>78098</v>
      </c>
      <c r="B852" s="5" t="s">
        <v>16</v>
      </c>
      <c r="C852" s="5" t="s">
        <v>27</v>
      </c>
      <c r="D852" s="5" t="s">
        <v>33</v>
      </c>
      <c r="E852" s="5" t="s">
        <v>19</v>
      </c>
      <c r="F852" s="5" t="s">
        <v>28</v>
      </c>
      <c r="G852" s="5" t="s">
        <v>24</v>
      </c>
      <c r="H852" s="5">
        <v>29960</v>
      </c>
      <c r="I852" s="5">
        <v>0</v>
      </c>
      <c r="J852" s="6">
        <f t="shared" si="13"/>
        <v>29960</v>
      </c>
      <c r="L852" s="34">
        <v>225363</v>
      </c>
      <c r="M852" s="35" t="s">
        <v>10</v>
      </c>
      <c r="N852" s="35" t="s">
        <v>25</v>
      </c>
      <c r="O852" s="35" t="s">
        <v>23</v>
      </c>
      <c r="P852" s="35" t="s">
        <v>13</v>
      </c>
      <c r="Q852" s="35" t="s">
        <v>28</v>
      </c>
      <c r="R852" s="35" t="s">
        <v>24</v>
      </c>
      <c r="S852" s="35">
        <v>52404</v>
      </c>
      <c r="T852" s="81">
        <v>2907</v>
      </c>
      <c r="U852" s="36">
        <v>49497</v>
      </c>
    </row>
    <row r="853" spans="1:21">
      <c r="A853" s="5">
        <v>208478</v>
      </c>
      <c r="B853" s="5" t="s">
        <v>10</v>
      </c>
      <c r="C853" s="5" t="s">
        <v>39</v>
      </c>
      <c r="D853" s="5" t="s">
        <v>32</v>
      </c>
      <c r="E853" s="5" t="s">
        <v>19</v>
      </c>
      <c r="F853" s="5" t="s">
        <v>14</v>
      </c>
      <c r="G853" s="5" t="s">
        <v>24</v>
      </c>
      <c r="H853" s="5">
        <v>5395</v>
      </c>
      <c r="I853" s="5">
        <v>0</v>
      </c>
      <c r="J853" s="6">
        <f t="shared" si="13"/>
        <v>5395</v>
      </c>
      <c r="L853" s="31">
        <v>16539</v>
      </c>
      <c r="M853" s="32" t="s">
        <v>16</v>
      </c>
      <c r="N853" s="32" t="s">
        <v>11</v>
      </c>
      <c r="O853" s="32" t="s">
        <v>32</v>
      </c>
      <c r="P853" s="32" t="s">
        <v>13</v>
      </c>
      <c r="Q853" s="32" t="s">
        <v>28</v>
      </c>
      <c r="R853" s="32" t="s">
        <v>24</v>
      </c>
      <c r="S853" s="32">
        <v>19648</v>
      </c>
      <c r="T853" s="80">
        <v>675</v>
      </c>
      <c r="U853" s="33">
        <v>18973</v>
      </c>
    </row>
    <row r="854" spans="1:21">
      <c r="A854" s="5">
        <v>105776</v>
      </c>
      <c r="B854" s="5" t="s">
        <v>10</v>
      </c>
      <c r="C854" s="5" t="s">
        <v>22</v>
      </c>
      <c r="D854" s="5" t="s">
        <v>30</v>
      </c>
      <c r="E854" s="5" t="s">
        <v>13</v>
      </c>
      <c r="F854" s="5" t="s">
        <v>28</v>
      </c>
      <c r="G854" s="5" t="s">
        <v>15</v>
      </c>
      <c r="H854" s="5">
        <v>113383</v>
      </c>
      <c r="I854" s="5">
        <v>1040</v>
      </c>
      <c r="J854" s="6">
        <f t="shared" si="13"/>
        <v>112343</v>
      </c>
      <c r="L854" s="34">
        <v>213966</v>
      </c>
      <c r="M854" s="35" t="s">
        <v>16</v>
      </c>
      <c r="N854" s="35" t="s">
        <v>11</v>
      </c>
      <c r="O854" s="35" t="s">
        <v>12</v>
      </c>
      <c r="P854" s="35" t="s">
        <v>13</v>
      </c>
      <c r="Q854" s="35" t="s">
        <v>28</v>
      </c>
      <c r="R854" s="35" t="s">
        <v>15</v>
      </c>
      <c r="S854" s="35">
        <v>119681</v>
      </c>
      <c r="T854" s="81">
        <v>9</v>
      </c>
      <c r="U854" s="36">
        <v>119672</v>
      </c>
    </row>
    <row r="855" spans="1:21">
      <c r="A855" s="5">
        <v>168970</v>
      </c>
      <c r="B855" s="5" t="s">
        <v>16</v>
      </c>
      <c r="C855" s="5" t="s">
        <v>22</v>
      </c>
      <c r="D855" s="5" t="s">
        <v>30</v>
      </c>
      <c r="E855" s="5" t="s">
        <v>19</v>
      </c>
      <c r="F855" s="5" t="s">
        <v>14</v>
      </c>
      <c r="G855" s="5" t="s">
        <v>15</v>
      </c>
      <c r="H855" s="5">
        <v>59246</v>
      </c>
      <c r="I855" s="5">
        <v>3589</v>
      </c>
      <c r="J855" s="6">
        <f t="shared" si="13"/>
        <v>55657</v>
      </c>
      <c r="L855" s="31">
        <v>191306</v>
      </c>
      <c r="M855" s="32" t="s">
        <v>10</v>
      </c>
      <c r="N855" s="32" t="s">
        <v>34</v>
      </c>
      <c r="O855" s="32" t="s">
        <v>29</v>
      </c>
      <c r="P855" s="32" t="s">
        <v>13</v>
      </c>
      <c r="Q855" s="32" t="s">
        <v>28</v>
      </c>
      <c r="R855" s="32" t="s">
        <v>24</v>
      </c>
      <c r="S855" s="32">
        <v>116709</v>
      </c>
      <c r="T855" s="80">
        <v>25855</v>
      </c>
      <c r="U855" s="33">
        <v>90854</v>
      </c>
    </row>
    <row r="856" spans="1:21">
      <c r="A856" s="5">
        <v>46000</v>
      </c>
      <c r="B856" s="5" t="s">
        <v>10</v>
      </c>
      <c r="C856" s="5" t="s">
        <v>35</v>
      </c>
      <c r="D856" s="5" t="s">
        <v>30</v>
      </c>
      <c r="E856" s="5" t="s">
        <v>19</v>
      </c>
      <c r="F856" s="5" t="s">
        <v>14</v>
      </c>
      <c r="G856" s="5" t="s">
        <v>24</v>
      </c>
      <c r="H856" s="5">
        <v>41182</v>
      </c>
      <c r="I856" s="5">
        <v>759</v>
      </c>
      <c r="J856" s="6">
        <f t="shared" si="13"/>
        <v>40423</v>
      </c>
      <c r="L856" s="34">
        <v>85804</v>
      </c>
      <c r="M856" s="35" t="s">
        <v>16</v>
      </c>
      <c r="N856" s="35" t="s">
        <v>34</v>
      </c>
      <c r="O856" s="35" t="s">
        <v>18</v>
      </c>
      <c r="P856" s="35" t="s">
        <v>19</v>
      </c>
      <c r="Q856" s="35" t="s">
        <v>28</v>
      </c>
      <c r="R856" s="35" t="s">
        <v>15</v>
      </c>
      <c r="S856" s="35">
        <v>28863</v>
      </c>
      <c r="T856" s="81">
        <v>643</v>
      </c>
      <c r="U856" s="36">
        <v>28220</v>
      </c>
    </row>
    <row r="857" spans="1:21">
      <c r="A857" s="5">
        <v>28428</v>
      </c>
      <c r="B857" s="5" t="s">
        <v>16</v>
      </c>
      <c r="C857" s="5" t="s">
        <v>11</v>
      </c>
      <c r="D857" s="5" t="s">
        <v>32</v>
      </c>
      <c r="E857" s="5" t="s">
        <v>13</v>
      </c>
      <c r="F857" s="5" t="s">
        <v>14</v>
      </c>
      <c r="G857" s="5" t="s">
        <v>15</v>
      </c>
      <c r="H857" s="5">
        <v>3447</v>
      </c>
      <c r="I857" s="5">
        <v>121</v>
      </c>
      <c r="J857" s="6">
        <f t="shared" si="13"/>
        <v>3326</v>
      </c>
      <c r="L857" s="31">
        <v>236644</v>
      </c>
      <c r="M857" s="32" t="s">
        <v>10</v>
      </c>
      <c r="N857" s="32" t="s">
        <v>17</v>
      </c>
      <c r="O857" s="32" t="s">
        <v>33</v>
      </c>
      <c r="P857" s="32" t="s">
        <v>19</v>
      </c>
      <c r="Q857" s="32" t="s">
        <v>28</v>
      </c>
      <c r="R857" s="32" t="s">
        <v>15</v>
      </c>
      <c r="S857" s="32">
        <v>45633</v>
      </c>
      <c r="T857" s="80">
        <v>378</v>
      </c>
      <c r="U857" s="33">
        <v>45255</v>
      </c>
    </row>
    <row r="858" spans="1:21">
      <c r="A858" s="5">
        <v>97435</v>
      </c>
      <c r="B858" s="5" t="s">
        <v>10</v>
      </c>
      <c r="C858" s="5" t="s">
        <v>37</v>
      </c>
      <c r="D858" s="5" t="s">
        <v>33</v>
      </c>
      <c r="E858" s="5" t="s">
        <v>13</v>
      </c>
      <c r="F858" s="5" t="s">
        <v>14</v>
      </c>
      <c r="G858" s="5" t="s">
        <v>15</v>
      </c>
      <c r="H858" s="5">
        <v>91030</v>
      </c>
      <c r="I858" s="5">
        <v>1700</v>
      </c>
      <c r="J858" s="6">
        <f t="shared" si="13"/>
        <v>89330</v>
      </c>
      <c r="L858" s="34">
        <v>160367</v>
      </c>
      <c r="M858" s="35" t="s">
        <v>16</v>
      </c>
      <c r="N858" s="35" t="s">
        <v>25</v>
      </c>
      <c r="O858" s="35" t="s">
        <v>30</v>
      </c>
      <c r="P858" s="35" t="s">
        <v>19</v>
      </c>
      <c r="Q858" s="35" t="s">
        <v>28</v>
      </c>
      <c r="R858" s="35" t="s">
        <v>24</v>
      </c>
      <c r="S858" s="35">
        <v>59184</v>
      </c>
      <c r="T858" s="81">
        <v>3283</v>
      </c>
      <c r="U858" s="36">
        <v>55901</v>
      </c>
    </row>
    <row r="859" spans="1:21">
      <c r="A859" s="5">
        <v>217957</v>
      </c>
      <c r="B859" s="5" t="s">
        <v>16</v>
      </c>
      <c r="C859" s="5" t="s">
        <v>39</v>
      </c>
      <c r="D859" s="5" t="s">
        <v>32</v>
      </c>
      <c r="E859" s="5" t="s">
        <v>19</v>
      </c>
      <c r="F859" s="5" t="s">
        <v>14</v>
      </c>
      <c r="G859" s="5" t="s">
        <v>15</v>
      </c>
      <c r="H859" s="5">
        <v>41775</v>
      </c>
      <c r="I859" s="5">
        <v>131</v>
      </c>
      <c r="J859" s="6">
        <f t="shared" si="13"/>
        <v>41644</v>
      </c>
      <c r="L859" s="31">
        <v>204160</v>
      </c>
      <c r="M859" s="32" t="s">
        <v>16</v>
      </c>
      <c r="N859" s="32" t="s">
        <v>37</v>
      </c>
      <c r="O859" s="32" t="s">
        <v>33</v>
      </c>
      <c r="P859" s="32" t="s">
        <v>19</v>
      </c>
      <c r="Q859" s="32" t="s">
        <v>28</v>
      </c>
      <c r="R859" s="32" t="s">
        <v>15</v>
      </c>
      <c r="S859" s="32">
        <v>48662</v>
      </c>
      <c r="T859" s="80">
        <v>5455</v>
      </c>
      <c r="U859" s="33">
        <v>43207</v>
      </c>
    </row>
    <row r="860" spans="1:21">
      <c r="A860" s="5">
        <v>69075</v>
      </c>
      <c r="B860" s="5" t="s">
        <v>10</v>
      </c>
      <c r="C860" s="5" t="s">
        <v>35</v>
      </c>
      <c r="D860" s="5" t="s">
        <v>23</v>
      </c>
      <c r="E860" s="5" t="s">
        <v>19</v>
      </c>
      <c r="F860" s="5" t="s">
        <v>14</v>
      </c>
      <c r="G860" s="5" t="s">
        <v>24</v>
      </c>
      <c r="H860" s="5">
        <v>68974</v>
      </c>
      <c r="I860" s="5">
        <v>4178</v>
      </c>
      <c r="J860" s="6">
        <f t="shared" si="13"/>
        <v>64796</v>
      </c>
      <c r="L860" s="34">
        <v>55923</v>
      </c>
      <c r="M860" s="35" t="s">
        <v>10</v>
      </c>
      <c r="N860" s="35" t="s">
        <v>11</v>
      </c>
      <c r="O860" s="35" t="s">
        <v>30</v>
      </c>
      <c r="P860" s="35" t="s">
        <v>13</v>
      </c>
      <c r="Q860" s="35" t="s">
        <v>28</v>
      </c>
      <c r="R860" s="35" t="s">
        <v>24</v>
      </c>
      <c r="S860" s="35">
        <v>37481</v>
      </c>
      <c r="T860" s="81">
        <v>6022</v>
      </c>
      <c r="U860" s="36">
        <v>31459</v>
      </c>
    </row>
    <row r="861" spans="1:21">
      <c r="A861" s="5">
        <v>123717</v>
      </c>
      <c r="B861" s="5" t="s">
        <v>10</v>
      </c>
      <c r="C861" s="5" t="s">
        <v>27</v>
      </c>
      <c r="D861" s="5" t="s">
        <v>33</v>
      </c>
      <c r="E861" s="5" t="s">
        <v>13</v>
      </c>
      <c r="F861" s="5" t="s">
        <v>14</v>
      </c>
      <c r="G861" s="5" t="s">
        <v>15</v>
      </c>
      <c r="H861" s="5">
        <v>121815</v>
      </c>
      <c r="I861" s="5">
        <v>5601</v>
      </c>
      <c r="J861" s="6">
        <f t="shared" si="13"/>
        <v>116214</v>
      </c>
      <c r="L861" s="31">
        <v>5092</v>
      </c>
      <c r="M861" s="32" t="s">
        <v>10</v>
      </c>
      <c r="N861" s="32" t="s">
        <v>37</v>
      </c>
      <c r="O861" s="32" t="s">
        <v>33</v>
      </c>
      <c r="P861" s="32" t="s">
        <v>13</v>
      </c>
      <c r="Q861" s="32" t="s">
        <v>28</v>
      </c>
      <c r="R861" s="32" t="s">
        <v>15</v>
      </c>
      <c r="S861" s="32">
        <v>65253</v>
      </c>
      <c r="T861" s="80">
        <v>756</v>
      </c>
      <c r="U861" s="33">
        <v>64497</v>
      </c>
    </row>
    <row r="862" spans="1:21">
      <c r="A862" s="5">
        <v>176297</v>
      </c>
      <c r="B862" s="5" t="s">
        <v>16</v>
      </c>
      <c r="C862" s="5" t="s">
        <v>27</v>
      </c>
      <c r="D862" s="5" t="s">
        <v>30</v>
      </c>
      <c r="E862" s="5" t="s">
        <v>13</v>
      </c>
      <c r="F862" s="5" t="s">
        <v>14</v>
      </c>
      <c r="G862" s="5" t="s">
        <v>15</v>
      </c>
      <c r="H862" s="5">
        <v>73515</v>
      </c>
      <c r="I862" s="5">
        <v>1909</v>
      </c>
      <c r="J862" s="6">
        <f t="shared" si="13"/>
        <v>71606</v>
      </c>
      <c r="L862" s="34">
        <v>197088</v>
      </c>
      <c r="M862" s="35" t="s">
        <v>16</v>
      </c>
      <c r="N862" s="35" t="s">
        <v>11</v>
      </c>
      <c r="O862" s="35" t="s">
        <v>32</v>
      </c>
      <c r="P862" s="35" t="s">
        <v>13</v>
      </c>
      <c r="Q862" s="35" t="s">
        <v>28</v>
      </c>
      <c r="R862" s="35" t="s">
        <v>15</v>
      </c>
      <c r="S862" s="35">
        <v>36653</v>
      </c>
      <c r="T862" s="81">
        <v>164</v>
      </c>
      <c r="U862" s="36">
        <v>36489</v>
      </c>
    </row>
    <row r="863" spans="1:21">
      <c r="A863" s="5">
        <v>49233</v>
      </c>
      <c r="B863" s="5" t="s">
        <v>10</v>
      </c>
      <c r="C863" s="5" t="s">
        <v>35</v>
      </c>
      <c r="D863" s="5" t="s">
        <v>32</v>
      </c>
      <c r="E863" s="5" t="s">
        <v>13</v>
      </c>
      <c r="F863" s="5" t="s">
        <v>14</v>
      </c>
      <c r="G863" s="5" t="s">
        <v>15</v>
      </c>
      <c r="H863" s="5">
        <v>0</v>
      </c>
      <c r="I863" s="5">
        <v>0</v>
      </c>
      <c r="J863" s="6">
        <f t="shared" si="13"/>
        <v>0</v>
      </c>
      <c r="L863" s="31">
        <v>101764</v>
      </c>
      <c r="M863" s="32" t="s">
        <v>16</v>
      </c>
      <c r="N863" s="32" t="s">
        <v>37</v>
      </c>
      <c r="O863" s="32" t="s">
        <v>26</v>
      </c>
      <c r="P863" s="32" t="s">
        <v>13</v>
      </c>
      <c r="Q863" s="32" t="s">
        <v>28</v>
      </c>
      <c r="R863" s="32" t="s">
        <v>24</v>
      </c>
      <c r="S863" s="32">
        <v>27258</v>
      </c>
      <c r="T863" s="80">
        <v>718</v>
      </c>
      <c r="U863" s="33">
        <v>26540</v>
      </c>
    </row>
    <row r="864" spans="1:21">
      <c r="A864" s="5">
        <v>49742</v>
      </c>
      <c r="B864" s="5" t="s">
        <v>10</v>
      </c>
      <c r="C864" s="5" t="s">
        <v>35</v>
      </c>
      <c r="D864" s="5" t="s">
        <v>12</v>
      </c>
      <c r="E864" s="5" t="s">
        <v>13</v>
      </c>
      <c r="F864" s="5" t="s">
        <v>14</v>
      </c>
      <c r="G864" s="5" t="s">
        <v>15</v>
      </c>
      <c r="H864" s="5">
        <v>122376</v>
      </c>
      <c r="I864" s="5">
        <v>41914</v>
      </c>
      <c r="J864" s="6">
        <f t="shared" si="13"/>
        <v>80462</v>
      </c>
      <c r="L864" s="34">
        <v>48965</v>
      </c>
      <c r="M864" s="35" t="s">
        <v>16</v>
      </c>
      <c r="N864" s="35" t="s">
        <v>34</v>
      </c>
      <c r="O864" s="35" t="s">
        <v>33</v>
      </c>
      <c r="P864" s="35" t="s">
        <v>13</v>
      </c>
      <c r="Q864" s="35" t="s">
        <v>28</v>
      </c>
      <c r="R864" s="35" t="s">
        <v>24</v>
      </c>
      <c r="S864" s="35">
        <v>24223</v>
      </c>
      <c r="T864" s="81">
        <v>249</v>
      </c>
      <c r="U864" s="36">
        <v>23974</v>
      </c>
    </row>
    <row r="865" spans="1:21">
      <c r="A865" s="5">
        <v>121786</v>
      </c>
      <c r="B865" s="5" t="s">
        <v>16</v>
      </c>
      <c r="C865" s="5" t="s">
        <v>22</v>
      </c>
      <c r="D865" s="5" t="s">
        <v>30</v>
      </c>
      <c r="E865" s="5" t="s">
        <v>13</v>
      </c>
      <c r="F865" s="5" t="s">
        <v>28</v>
      </c>
      <c r="G865" s="5" t="s">
        <v>15</v>
      </c>
      <c r="H865" s="5">
        <v>75117</v>
      </c>
      <c r="I865" s="5">
        <v>184</v>
      </c>
      <c r="J865" s="6">
        <f t="shared" si="13"/>
        <v>74933</v>
      </c>
      <c r="L865" s="31">
        <v>207543</v>
      </c>
      <c r="M865" s="32" t="s">
        <v>16</v>
      </c>
      <c r="N865" s="32" t="s">
        <v>20</v>
      </c>
      <c r="O865" s="32" t="s">
        <v>32</v>
      </c>
      <c r="P865" s="32" t="s">
        <v>19</v>
      </c>
      <c r="Q865" s="32" t="s">
        <v>28</v>
      </c>
      <c r="R865" s="32" t="s">
        <v>15</v>
      </c>
      <c r="S865" s="32">
        <v>205028</v>
      </c>
      <c r="T865" s="80">
        <v>2841</v>
      </c>
      <c r="U865" s="33">
        <v>202187</v>
      </c>
    </row>
    <row r="866" spans="1:21">
      <c r="A866" s="5">
        <v>38895</v>
      </c>
      <c r="B866" s="5" t="s">
        <v>10</v>
      </c>
      <c r="C866" s="5" t="s">
        <v>11</v>
      </c>
      <c r="D866" s="5" t="s">
        <v>23</v>
      </c>
      <c r="E866" s="5" t="s">
        <v>13</v>
      </c>
      <c r="F866" s="5" t="s">
        <v>14</v>
      </c>
      <c r="G866" s="5" t="s">
        <v>24</v>
      </c>
      <c r="H866" s="5">
        <v>149842</v>
      </c>
      <c r="I866" s="5">
        <v>3335</v>
      </c>
      <c r="J866" s="6">
        <f t="shared" si="13"/>
        <v>146507</v>
      </c>
      <c r="L866" s="34">
        <v>130394</v>
      </c>
      <c r="M866" s="35" t="s">
        <v>16</v>
      </c>
      <c r="N866" s="35" t="s">
        <v>25</v>
      </c>
      <c r="O866" s="35" t="s">
        <v>33</v>
      </c>
      <c r="P866" s="35" t="s">
        <v>13</v>
      </c>
      <c r="Q866" s="35" t="s">
        <v>28</v>
      </c>
      <c r="R866" s="35" t="s">
        <v>15</v>
      </c>
      <c r="S866" s="35">
        <v>26314</v>
      </c>
      <c r="T866" s="81">
        <v>965</v>
      </c>
      <c r="U866" s="36">
        <v>25349</v>
      </c>
    </row>
    <row r="867" spans="1:21">
      <c r="A867" s="5">
        <v>8660</v>
      </c>
      <c r="B867" s="5" t="s">
        <v>16</v>
      </c>
      <c r="C867" s="5" t="s">
        <v>37</v>
      </c>
      <c r="D867" s="5" t="s">
        <v>21</v>
      </c>
      <c r="E867" s="5" t="s">
        <v>19</v>
      </c>
      <c r="F867" s="5" t="s">
        <v>28</v>
      </c>
      <c r="G867" s="5" t="s">
        <v>15</v>
      </c>
      <c r="H867" s="5">
        <v>49250</v>
      </c>
      <c r="I867" s="5">
        <v>83</v>
      </c>
      <c r="J867" s="6">
        <f t="shared" si="13"/>
        <v>49167</v>
      </c>
      <c r="L867" s="31">
        <v>47904</v>
      </c>
      <c r="M867" s="32" t="s">
        <v>10</v>
      </c>
      <c r="N867" s="32" t="s">
        <v>35</v>
      </c>
      <c r="O867" s="32" t="s">
        <v>21</v>
      </c>
      <c r="P867" s="32" t="s">
        <v>13</v>
      </c>
      <c r="Q867" s="32" t="s">
        <v>28</v>
      </c>
      <c r="R867" s="32" t="s">
        <v>24</v>
      </c>
      <c r="S867" s="32">
        <v>14003</v>
      </c>
      <c r="T867" s="80">
        <v>0</v>
      </c>
      <c r="U867" s="33">
        <v>14003</v>
      </c>
    </row>
    <row r="868" spans="1:21">
      <c r="A868" s="5">
        <v>39980</v>
      </c>
      <c r="B868" s="5" t="s">
        <v>10</v>
      </c>
      <c r="C868" s="5" t="s">
        <v>35</v>
      </c>
      <c r="D868" s="5" t="s">
        <v>32</v>
      </c>
      <c r="E868" s="5" t="s">
        <v>13</v>
      </c>
      <c r="F868" s="5" t="s">
        <v>14</v>
      </c>
      <c r="G868" s="5" t="s">
        <v>24</v>
      </c>
      <c r="H868" s="5">
        <v>93439</v>
      </c>
      <c r="I868" s="5">
        <v>0</v>
      </c>
      <c r="J868" s="6">
        <f t="shared" si="13"/>
        <v>93439</v>
      </c>
      <c r="L868" s="34">
        <v>140296</v>
      </c>
      <c r="M868" s="35" t="s">
        <v>16</v>
      </c>
      <c r="N868" s="35" t="s">
        <v>25</v>
      </c>
      <c r="O868" s="35" t="s">
        <v>36</v>
      </c>
      <c r="P868" s="35" t="s">
        <v>19</v>
      </c>
      <c r="Q868" s="35" t="s">
        <v>28</v>
      </c>
      <c r="R868" s="35" t="s">
        <v>24</v>
      </c>
      <c r="S868" s="35">
        <v>35008</v>
      </c>
      <c r="T868" s="81">
        <v>0</v>
      </c>
      <c r="U868" s="36">
        <v>35008</v>
      </c>
    </row>
    <row r="869" spans="1:21">
      <c r="A869" s="5">
        <v>16978</v>
      </c>
      <c r="B869" s="5" t="s">
        <v>16</v>
      </c>
      <c r="C869" s="5" t="s">
        <v>11</v>
      </c>
      <c r="D869" s="5" t="s">
        <v>12</v>
      </c>
      <c r="E869" s="5" t="s">
        <v>13</v>
      </c>
      <c r="F869" s="5" t="s">
        <v>14</v>
      </c>
      <c r="G869" s="5" t="s">
        <v>15</v>
      </c>
      <c r="H869" s="5">
        <v>39499</v>
      </c>
      <c r="I869" s="5">
        <v>532</v>
      </c>
      <c r="J869" s="6">
        <f t="shared" si="13"/>
        <v>38967</v>
      </c>
      <c r="L869" s="31">
        <v>225887</v>
      </c>
      <c r="M869" s="32" t="s">
        <v>16</v>
      </c>
      <c r="N869" s="32" t="s">
        <v>27</v>
      </c>
      <c r="O869" s="32" t="s">
        <v>23</v>
      </c>
      <c r="P869" s="32" t="s">
        <v>13</v>
      </c>
      <c r="Q869" s="32" t="s">
        <v>28</v>
      </c>
      <c r="R869" s="32" t="s">
        <v>24</v>
      </c>
      <c r="S869" s="32">
        <v>18363</v>
      </c>
      <c r="T869" s="80">
        <v>0</v>
      </c>
      <c r="U869" s="33">
        <v>18363</v>
      </c>
    </row>
    <row r="870" spans="1:21">
      <c r="A870" s="5">
        <v>180577</v>
      </c>
      <c r="B870" s="5" t="s">
        <v>16</v>
      </c>
      <c r="C870" s="5" t="s">
        <v>17</v>
      </c>
      <c r="D870" s="5" t="s">
        <v>36</v>
      </c>
      <c r="E870" s="5" t="s">
        <v>19</v>
      </c>
      <c r="F870" s="5" t="s">
        <v>14</v>
      </c>
      <c r="G870" s="5" t="s">
        <v>24</v>
      </c>
      <c r="H870" s="5">
        <v>4148</v>
      </c>
      <c r="I870" s="5">
        <v>18</v>
      </c>
      <c r="J870" s="6">
        <f t="shared" si="13"/>
        <v>4130</v>
      </c>
      <c r="L870" s="34">
        <v>128724</v>
      </c>
      <c r="M870" s="35" t="s">
        <v>16</v>
      </c>
      <c r="N870" s="35" t="s">
        <v>22</v>
      </c>
      <c r="O870" s="35" t="s">
        <v>12</v>
      </c>
      <c r="P870" s="35" t="s">
        <v>19</v>
      </c>
      <c r="Q870" s="35" t="s">
        <v>28</v>
      </c>
      <c r="R870" s="35" t="s">
        <v>15</v>
      </c>
      <c r="S870" s="35">
        <v>78850</v>
      </c>
      <c r="T870" s="81">
        <v>63</v>
      </c>
      <c r="U870" s="36">
        <v>78787</v>
      </c>
    </row>
    <row r="871" spans="1:21">
      <c r="A871" s="5">
        <v>154567</v>
      </c>
      <c r="B871" s="5" t="s">
        <v>16</v>
      </c>
      <c r="C871" s="5" t="s">
        <v>25</v>
      </c>
      <c r="D871" s="5" t="s">
        <v>21</v>
      </c>
      <c r="E871" s="5" t="s">
        <v>13</v>
      </c>
      <c r="F871" s="5" t="s">
        <v>14</v>
      </c>
      <c r="G871" s="5" t="s">
        <v>15</v>
      </c>
      <c r="H871" s="5">
        <v>52490</v>
      </c>
      <c r="I871" s="5">
        <v>294</v>
      </c>
      <c r="J871" s="6">
        <f t="shared" si="13"/>
        <v>52196</v>
      </c>
      <c r="L871" s="31">
        <v>194486</v>
      </c>
      <c r="M871" s="32" t="s">
        <v>10</v>
      </c>
      <c r="N871" s="32" t="s">
        <v>34</v>
      </c>
      <c r="O871" s="32" t="s">
        <v>29</v>
      </c>
      <c r="P871" s="32" t="s">
        <v>13</v>
      </c>
      <c r="Q871" s="32" t="s">
        <v>28</v>
      </c>
      <c r="R871" s="32" t="s">
        <v>15</v>
      </c>
      <c r="S871" s="32">
        <v>164958</v>
      </c>
      <c r="T871" s="80">
        <v>1024</v>
      </c>
      <c r="U871" s="33">
        <v>163934</v>
      </c>
    </row>
    <row r="872" spans="1:21">
      <c r="A872" s="5">
        <v>226474</v>
      </c>
      <c r="B872" s="5" t="s">
        <v>10</v>
      </c>
      <c r="C872" s="5" t="s">
        <v>25</v>
      </c>
      <c r="D872" s="5" t="s">
        <v>23</v>
      </c>
      <c r="E872" s="5" t="s">
        <v>19</v>
      </c>
      <c r="F872" s="5" t="s">
        <v>14</v>
      </c>
      <c r="G872" s="5" t="s">
        <v>15</v>
      </c>
      <c r="H872" s="5">
        <v>138377</v>
      </c>
      <c r="I872" s="5">
        <v>6605</v>
      </c>
      <c r="J872" s="6">
        <f t="shared" si="13"/>
        <v>131772</v>
      </c>
      <c r="L872" s="34">
        <v>211554</v>
      </c>
      <c r="M872" s="35" t="s">
        <v>16</v>
      </c>
      <c r="N872" s="35" t="s">
        <v>38</v>
      </c>
      <c r="O872" s="35" t="s">
        <v>12</v>
      </c>
      <c r="P872" s="35" t="s">
        <v>13</v>
      </c>
      <c r="Q872" s="35" t="s">
        <v>28</v>
      </c>
      <c r="R872" s="35" t="s">
        <v>24</v>
      </c>
      <c r="S872" s="35">
        <v>33655</v>
      </c>
      <c r="T872" s="81">
        <v>157</v>
      </c>
      <c r="U872" s="36">
        <v>33498</v>
      </c>
    </row>
    <row r="873" spans="1:21">
      <c r="A873" s="5">
        <v>154411</v>
      </c>
      <c r="B873" s="5" t="s">
        <v>16</v>
      </c>
      <c r="C873" s="5" t="s">
        <v>35</v>
      </c>
      <c r="D873" s="5" t="s">
        <v>30</v>
      </c>
      <c r="E873" s="5" t="s">
        <v>13</v>
      </c>
      <c r="F873" s="5" t="s">
        <v>28</v>
      </c>
      <c r="G873" s="5" t="s">
        <v>15</v>
      </c>
      <c r="H873" s="5">
        <v>11874</v>
      </c>
      <c r="I873" s="5">
        <v>0</v>
      </c>
      <c r="J873" s="6">
        <f t="shared" si="13"/>
        <v>11874</v>
      </c>
      <c r="L873" s="31">
        <v>117040</v>
      </c>
      <c r="M873" s="32" t="s">
        <v>10</v>
      </c>
      <c r="N873" s="32" t="s">
        <v>31</v>
      </c>
      <c r="O873" s="32" t="s">
        <v>21</v>
      </c>
      <c r="P873" s="32" t="s">
        <v>19</v>
      </c>
      <c r="Q873" s="32" t="s">
        <v>28</v>
      </c>
      <c r="R873" s="32" t="s">
        <v>24</v>
      </c>
      <c r="S873" s="32">
        <v>30087</v>
      </c>
      <c r="T873" s="80">
        <v>783</v>
      </c>
      <c r="U873" s="33">
        <v>29304</v>
      </c>
    </row>
    <row r="874" spans="1:21">
      <c r="A874" s="5">
        <v>7270</v>
      </c>
      <c r="B874" s="5" t="s">
        <v>16</v>
      </c>
      <c r="C874" s="5" t="s">
        <v>20</v>
      </c>
      <c r="D874" s="5" t="s">
        <v>32</v>
      </c>
      <c r="E874" s="5" t="s">
        <v>13</v>
      </c>
      <c r="F874" s="5" t="s">
        <v>14</v>
      </c>
      <c r="G874" s="5" t="s">
        <v>15</v>
      </c>
      <c r="H874" s="5">
        <v>20920</v>
      </c>
      <c r="I874" s="5">
        <v>0</v>
      </c>
      <c r="J874" s="6">
        <f t="shared" si="13"/>
        <v>20920</v>
      </c>
      <c r="L874" s="34">
        <v>129259</v>
      </c>
      <c r="M874" s="35" t="s">
        <v>16</v>
      </c>
      <c r="N874" s="35" t="s">
        <v>22</v>
      </c>
      <c r="O874" s="35" t="s">
        <v>36</v>
      </c>
      <c r="P874" s="35" t="s">
        <v>19</v>
      </c>
      <c r="Q874" s="35" t="s">
        <v>28</v>
      </c>
      <c r="R874" s="35" t="s">
        <v>24</v>
      </c>
      <c r="S874" s="35">
        <v>35360</v>
      </c>
      <c r="T874" s="81">
        <v>9295</v>
      </c>
      <c r="U874" s="36">
        <v>26065</v>
      </c>
    </row>
    <row r="875" spans="1:21">
      <c r="A875" s="5">
        <v>241235</v>
      </c>
      <c r="B875" s="5" t="s">
        <v>10</v>
      </c>
      <c r="C875" s="5" t="s">
        <v>35</v>
      </c>
      <c r="D875" s="5" t="s">
        <v>18</v>
      </c>
      <c r="E875" s="5" t="s">
        <v>13</v>
      </c>
      <c r="F875" s="5" t="s">
        <v>28</v>
      </c>
      <c r="G875" s="5" t="s">
        <v>15</v>
      </c>
      <c r="H875" s="5">
        <v>81692</v>
      </c>
      <c r="I875" s="5">
        <v>1495</v>
      </c>
      <c r="J875" s="6">
        <f t="shared" si="13"/>
        <v>80197</v>
      </c>
      <c r="L875" s="31">
        <v>67588</v>
      </c>
      <c r="M875" s="32" t="s">
        <v>10</v>
      </c>
      <c r="N875" s="32" t="s">
        <v>27</v>
      </c>
      <c r="O875" s="32" t="s">
        <v>29</v>
      </c>
      <c r="P875" s="32" t="s">
        <v>13</v>
      </c>
      <c r="Q875" s="32" t="s">
        <v>28</v>
      </c>
      <c r="R875" s="32" t="s">
        <v>24</v>
      </c>
      <c r="S875" s="32">
        <v>79835</v>
      </c>
      <c r="T875" s="80">
        <v>1357</v>
      </c>
      <c r="U875" s="33">
        <v>78478</v>
      </c>
    </row>
    <row r="876" spans="1:21">
      <c r="A876" s="5">
        <v>173120</v>
      </c>
      <c r="B876" s="5" t="s">
        <v>10</v>
      </c>
      <c r="C876" s="5" t="s">
        <v>20</v>
      </c>
      <c r="D876" s="5" t="s">
        <v>32</v>
      </c>
      <c r="E876" s="5" t="s">
        <v>13</v>
      </c>
      <c r="F876" s="5" t="s">
        <v>14</v>
      </c>
      <c r="G876" s="5" t="s">
        <v>15</v>
      </c>
      <c r="H876" s="5">
        <v>48939</v>
      </c>
      <c r="I876" s="5">
        <v>597</v>
      </c>
      <c r="J876" s="6">
        <f t="shared" si="13"/>
        <v>48342</v>
      </c>
      <c r="L876" s="34">
        <v>190050</v>
      </c>
      <c r="M876" s="35" t="s">
        <v>16</v>
      </c>
      <c r="N876" s="35" t="s">
        <v>37</v>
      </c>
      <c r="O876" s="35" t="s">
        <v>32</v>
      </c>
      <c r="P876" s="35" t="s">
        <v>19</v>
      </c>
      <c r="Q876" s="35" t="s">
        <v>28</v>
      </c>
      <c r="R876" s="35" t="s">
        <v>24</v>
      </c>
      <c r="S876" s="35">
        <v>1144</v>
      </c>
      <c r="T876" s="81">
        <v>0</v>
      </c>
      <c r="U876" s="36">
        <v>1144</v>
      </c>
    </row>
    <row r="877" spans="1:21">
      <c r="A877" s="5">
        <v>64798</v>
      </c>
      <c r="B877" s="5" t="s">
        <v>16</v>
      </c>
      <c r="C877" s="5" t="s">
        <v>27</v>
      </c>
      <c r="D877" s="5" t="s">
        <v>32</v>
      </c>
      <c r="E877" s="5" t="s">
        <v>13</v>
      </c>
      <c r="F877" s="5" t="s">
        <v>14</v>
      </c>
      <c r="G877" s="5" t="s">
        <v>24</v>
      </c>
      <c r="H877" s="5">
        <v>12989</v>
      </c>
      <c r="I877" s="5">
        <v>0</v>
      </c>
      <c r="J877" s="6">
        <f t="shared" si="13"/>
        <v>12989</v>
      </c>
      <c r="L877" s="31">
        <v>251900</v>
      </c>
      <c r="M877" s="32" t="s">
        <v>10</v>
      </c>
      <c r="N877" s="32" t="s">
        <v>25</v>
      </c>
      <c r="O877" s="32" t="s">
        <v>26</v>
      </c>
      <c r="P877" s="32" t="s">
        <v>19</v>
      </c>
      <c r="Q877" s="32" t="s">
        <v>28</v>
      </c>
      <c r="R877" s="32" t="s">
        <v>24</v>
      </c>
      <c r="S877" s="32">
        <v>34940</v>
      </c>
      <c r="T877" s="80">
        <v>225</v>
      </c>
      <c r="U877" s="33">
        <v>34715</v>
      </c>
    </row>
    <row r="878" spans="1:21">
      <c r="A878" s="5">
        <v>137329</v>
      </c>
      <c r="B878" s="5" t="s">
        <v>10</v>
      </c>
      <c r="C878" s="5" t="s">
        <v>22</v>
      </c>
      <c r="D878" s="5" t="s">
        <v>30</v>
      </c>
      <c r="E878" s="5" t="s">
        <v>19</v>
      </c>
      <c r="F878" s="5" t="s">
        <v>14</v>
      </c>
      <c r="G878" s="5" t="s">
        <v>15</v>
      </c>
      <c r="H878" s="5">
        <v>227664</v>
      </c>
      <c r="I878" s="5">
        <v>10694</v>
      </c>
      <c r="J878" s="6">
        <f t="shared" si="13"/>
        <v>216970</v>
      </c>
      <c r="L878" s="34">
        <v>143187</v>
      </c>
      <c r="M878" s="35" t="s">
        <v>10</v>
      </c>
      <c r="N878" s="35" t="s">
        <v>38</v>
      </c>
      <c r="O878" s="35" t="s">
        <v>21</v>
      </c>
      <c r="P878" s="35" t="s">
        <v>13</v>
      </c>
      <c r="Q878" s="35" t="s">
        <v>28</v>
      </c>
      <c r="R878" s="35" t="s">
        <v>15</v>
      </c>
      <c r="S878" s="35">
        <v>14743</v>
      </c>
      <c r="T878" s="81">
        <v>0</v>
      </c>
      <c r="U878" s="36">
        <v>14743</v>
      </c>
    </row>
    <row r="879" spans="1:21">
      <c r="A879" s="5">
        <v>31546</v>
      </c>
      <c r="B879" s="5" t="s">
        <v>10</v>
      </c>
      <c r="C879" s="5" t="s">
        <v>38</v>
      </c>
      <c r="D879" s="5" t="s">
        <v>33</v>
      </c>
      <c r="E879" s="5" t="s">
        <v>13</v>
      </c>
      <c r="F879" s="5" t="s">
        <v>14</v>
      </c>
      <c r="G879" s="5" t="s">
        <v>15</v>
      </c>
      <c r="H879" s="5">
        <v>71476</v>
      </c>
      <c r="I879" s="5">
        <v>654</v>
      </c>
      <c r="J879" s="6">
        <f t="shared" si="13"/>
        <v>70822</v>
      </c>
      <c r="L879" s="31">
        <v>236789</v>
      </c>
      <c r="M879" s="32" t="s">
        <v>16</v>
      </c>
      <c r="N879" s="32" t="s">
        <v>17</v>
      </c>
      <c r="O879" s="32" t="s">
        <v>21</v>
      </c>
      <c r="P879" s="32" t="s">
        <v>19</v>
      </c>
      <c r="Q879" s="32" t="s">
        <v>28</v>
      </c>
      <c r="R879" s="32" t="s">
        <v>24</v>
      </c>
      <c r="S879" s="32">
        <v>9150</v>
      </c>
      <c r="T879" s="80">
        <v>135</v>
      </c>
      <c r="U879" s="33">
        <v>9015</v>
      </c>
    </row>
    <row r="880" spans="1:21">
      <c r="A880" s="5">
        <v>142407</v>
      </c>
      <c r="B880" s="5" t="s">
        <v>10</v>
      </c>
      <c r="C880" s="5" t="s">
        <v>17</v>
      </c>
      <c r="D880" s="5" t="s">
        <v>18</v>
      </c>
      <c r="E880" s="5" t="s">
        <v>19</v>
      </c>
      <c r="F880" s="5" t="s">
        <v>14</v>
      </c>
      <c r="G880" s="5" t="s">
        <v>24</v>
      </c>
      <c r="H880" s="5">
        <v>20569</v>
      </c>
      <c r="I880" s="5">
        <v>68</v>
      </c>
      <c r="J880" s="6">
        <f t="shared" si="13"/>
        <v>20501</v>
      </c>
      <c r="L880" s="34">
        <v>178503</v>
      </c>
      <c r="M880" s="35" t="s">
        <v>16</v>
      </c>
      <c r="N880" s="35" t="s">
        <v>22</v>
      </c>
      <c r="O880" s="35" t="s">
        <v>30</v>
      </c>
      <c r="P880" s="35" t="s">
        <v>19</v>
      </c>
      <c r="Q880" s="35" t="s">
        <v>28</v>
      </c>
      <c r="R880" s="35" t="s">
        <v>24</v>
      </c>
      <c r="S880" s="35">
        <v>56215</v>
      </c>
      <c r="T880" s="81">
        <v>1479</v>
      </c>
      <c r="U880" s="36">
        <v>54736</v>
      </c>
    </row>
    <row r="881" spans="1:21">
      <c r="A881" s="5">
        <v>90731</v>
      </c>
      <c r="B881" s="5" t="s">
        <v>10</v>
      </c>
      <c r="C881" s="5" t="s">
        <v>38</v>
      </c>
      <c r="D881" s="5" t="s">
        <v>33</v>
      </c>
      <c r="E881" s="5" t="s">
        <v>13</v>
      </c>
      <c r="F881" s="5" t="s">
        <v>14</v>
      </c>
      <c r="G881" s="5" t="s">
        <v>15</v>
      </c>
      <c r="H881" s="5">
        <v>20272</v>
      </c>
      <c r="I881" s="5">
        <v>6150</v>
      </c>
      <c r="J881" s="6">
        <f t="shared" si="13"/>
        <v>14122</v>
      </c>
      <c r="L881" s="31">
        <v>130432</v>
      </c>
      <c r="M881" s="32" t="s">
        <v>10</v>
      </c>
      <c r="N881" s="32" t="s">
        <v>25</v>
      </c>
      <c r="O881" s="32" t="s">
        <v>23</v>
      </c>
      <c r="P881" s="32" t="s">
        <v>19</v>
      </c>
      <c r="Q881" s="32" t="s">
        <v>28</v>
      </c>
      <c r="R881" s="32" t="s">
        <v>15</v>
      </c>
      <c r="S881" s="32">
        <v>57408</v>
      </c>
      <c r="T881" s="80">
        <v>2133</v>
      </c>
      <c r="U881" s="33">
        <v>55275</v>
      </c>
    </row>
    <row r="882" spans="1:21">
      <c r="A882" s="5">
        <v>248493</v>
      </c>
      <c r="B882" s="5" t="s">
        <v>16</v>
      </c>
      <c r="C882" s="5" t="s">
        <v>22</v>
      </c>
      <c r="D882" s="5" t="s">
        <v>33</v>
      </c>
      <c r="E882" s="5" t="s">
        <v>13</v>
      </c>
      <c r="F882" s="5" t="s">
        <v>14</v>
      </c>
      <c r="G882" s="5" t="s">
        <v>24</v>
      </c>
      <c r="H882" s="5">
        <v>59941</v>
      </c>
      <c r="I882" s="5">
        <v>1677</v>
      </c>
      <c r="J882" s="6">
        <f t="shared" si="13"/>
        <v>58264</v>
      </c>
      <c r="L882" s="34">
        <v>152511</v>
      </c>
      <c r="M882" s="35" t="s">
        <v>16</v>
      </c>
      <c r="N882" s="35" t="s">
        <v>22</v>
      </c>
      <c r="O882" s="35" t="s">
        <v>21</v>
      </c>
      <c r="P882" s="35" t="s">
        <v>13</v>
      </c>
      <c r="Q882" s="35" t="s">
        <v>28</v>
      </c>
      <c r="R882" s="35" t="s">
        <v>15</v>
      </c>
      <c r="S882" s="35">
        <v>55</v>
      </c>
      <c r="T882" s="81">
        <v>0</v>
      </c>
      <c r="U882" s="36">
        <v>55</v>
      </c>
    </row>
    <row r="883" spans="1:21">
      <c r="A883" s="5">
        <v>36906</v>
      </c>
      <c r="B883" s="5" t="s">
        <v>16</v>
      </c>
      <c r="C883" s="5" t="s">
        <v>35</v>
      </c>
      <c r="D883" s="5" t="s">
        <v>33</v>
      </c>
      <c r="E883" s="5" t="s">
        <v>13</v>
      </c>
      <c r="F883" s="5" t="s">
        <v>28</v>
      </c>
      <c r="G883" s="5" t="s">
        <v>15</v>
      </c>
      <c r="H883" s="5">
        <v>38</v>
      </c>
      <c r="I883" s="5">
        <v>0</v>
      </c>
      <c r="J883" s="6">
        <f t="shared" si="13"/>
        <v>38</v>
      </c>
      <c r="L883" s="31">
        <v>185176</v>
      </c>
      <c r="M883" s="32" t="s">
        <v>16</v>
      </c>
      <c r="N883" s="32" t="s">
        <v>11</v>
      </c>
      <c r="O883" s="32" t="s">
        <v>21</v>
      </c>
      <c r="P883" s="32" t="s">
        <v>13</v>
      </c>
      <c r="Q883" s="32" t="s">
        <v>28</v>
      </c>
      <c r="R883" s="32" t="s">
        <v>15</v>
      </c>
      <c r="S883" s="32">
        <v>34027</v>
      </c>
      <c r="T883" s="80">
        <v>1431</v>
      </c>
      <c r="U883" s="33">
        <v>32596</v>
      </c>
    </row>
    <row r="884" spans="1:21">
      <c r="A884" s="5">
        <v>25268</v>
      </c>
      <c r="B884" s="5" t="s">
        <v>16</v>
      </c>
      <c r="C884" s="5" t="s">
        <v>11</v>
      </c>
      <c r="D884" s="5" t="s">
        <v>32</v>
      </c>
      <c r="E884" s="5" t="s">
        <v>13</v>
      </c>
      <c r="F884" s="5" t="s">
        <v>14</v>
      </c>
      <c r="G884" s="5" t="s">
        <v>15</v>
      </c>
      <c r="H884" s="5">
        <v>6093</v>
      </c>
      <c r="I884" s="5">
        <v>0</v>
      </c>
      <c r="J884" s="6">
        <f t="shared" si="13"/>
        <v>6093</v>
      </c>
      <c r="L884" s="34">
        <v>141860</v>
      </c>
      <c r="M884" s="35" t="s">
        <v>16</v>
      </c>
      <c r="N884" s="35" t="s">
        <v>22</v>
      </c>
      <c r="O884" s="35" t="s">
        <v>26</v>
      </c>
      <c r="P884" s="35" t="s">
        <v>19</v>
      </c>
      <c r="Q884" s="35" t="s">
        <v>28</v>
      </c>
      <c r="R884" s="35" t="s">
        <v>24</v>
      </c>
      <c r="S884" s="35">
        <v>11742</v>
      </c>
      <c r="T884" s="81">
        <v>0</v>
      </c>
      <c r="U884" s="36">
        <v>11742</v>
      </c>
    </row>
    <row r="885" spans="1:21">
      <c r="A885" s="5">
        <v>206128</v>
      </c>
      <c r="B885" s="5" t="s">
        <v>16</v>
      </c>
      <c r="C885" s="5" t="s">
        <v>11</v>
      </c>
      <c r="D885" s="5" t="s">
        <v>32</v>
      </c>
      <c r="E885" s="5" t="s">
        <v>13</v>
      </c>
      <c r="F885" s="5" t="s">
        <v>14</v>
      </c>
      <c r="G885" s="5" t="s">
        <v>24</v>
      </c>
      <c r="H885" s="5">
        <v>-32058</v>
      </c>
      <c r="I885" s="5">
        <v>487</v>
      </c>
      <c r="J885" s="6">
        <f t="shared" si="13"/>
        <v>-32545</v>
      </c>
      <c r="L885" s="31">
        <v>183499</v>
      </c>
      <c r="M885" s="32" t="s">
        <v>16</v>
      </c>
      <c r="N885" s="32" t="s">
        <v>37</v>
      </c>
      <c r="O885" s="32" t="s">
        <v>33</v>
      </c>
      <c r="P885" s="32" t="s">
        <v>19</v>
      </c>
      <c r="Q885" s="32" t="s">
        <v>28</v>
      </c>
      <c r="R885" s="32" t="s">
        <v>24</v>
      </c>
      <c r="S885" s="32">
        <v>38585</v>
      </c>
      <c r="T885" s="80">
        <v>737</v>
      </c>
      <c r="U885" s="33">
        <v>37848</v>
      </c>
    </row>
    <row r="886" spans="1:21">
      <c r="A886" s="5">
        <v>9748</v>
      </c>
      <c r="B886" s="5" t="s">
        <v>16</v>
      </c>
      <c r="C886" s="5" t="s">
        <v>20</v>
      </c>
      <c r="D886" s="5" t="s">
        <v>32</v>
      </c>
      <c r="E886" s="5" t="s">
        <v>19</v>
      </c>
      <c r="F886" s="5" t="s">
        <v>14</v>
      </c>
      <c r="G886" s="5" t="s">
        <v>24</v>
      </c>
      <c r="H886" s="5">
        <v>4081</v>
      </c>
      <c r="I886" s="5">
        <v>0</v>
      </c>
      <c r="J886" s="6">
        <f t="shared" si="13"/>
        <v>4081</v>
      </c>
      <c r="L886" s="34">
        <v>26341</v>
      </c>
      <c r="M886" s="35" t="s">
        <v>16</v>
      </c>
      <c r="N886" s="35" t="s">
        <v>20</v>
      </c>
      <c r="O886" s="35" t="s">
        <v>32</v>
      </c>
      <c r="P886" s="35" t="s">
        <v>13</v>
      </c>
      <c r="Q886" s="35" t="s">
        <v>28</v>
      </c>
      <c r="R886" s="35" t="s">
        <v>24</v>
      </c>
      <c r="S886" s="35">
        <v>23041</v>
      </c>
      <c r="T886" s="81">
        <v>0</v>
      </c>
      <c r="U886" s="36">
        <v>23041</v>
      </c>
    </row>
    <row r="887" spans="1:21">
      <c r="A887" s="5">
        <v>235673</v>
      </c>
      <c r="B887" s="5" t="s">
        <v>10</v>
      </c>
      <c r="C887" s="5" t="s">
        <v>17</v>
      </c>
      <c r="D887" s="5" t="s">
        <v>30</v>
      </c>
      <c r="E887" s="5" t="s">
        <v>19</v>
      </c>
      <c r="F887" s="5" t="s">
        <v>28</v>
      </c>
      <c r="G887" s="5" t="s">
        <v>15</v>
      </c>
      <c r="H887" s="5">
        <v>58791</v>
      </c>
      <c r="I887" s="5">
        <v>1143</v>
      </c>
      <c r="J887" s="6">
        <f t="shared" si="13"/>
        <v>57648</v>
      </c>
      <c r="L887" s="31">
        <v>166089</v>
      </c>
      <c r="M887" s="32" t="s">
        <v>10</v>
      </c>
      <c r="N887" s="32" t="s">
        <v>27</v>
      </c>
      <c r="O887" s="32" t="s">
        <v>23</v>
      </c>
      <c r="P887" s="32" t="s">
        <v>19</v>
      </c>
      <c r="Q887" s="32" t="s">
        <v>28</v>
      </c>
      <c r="R887" s="32" t="s">
        <v>15</v>
      </c>
      <c r="S887" s="32">
        <v>49826</v>
      </c>
      <c r="T887" s="80">
        <v>257</v>
      </c>
      <c r="U887" s="33">
        <v>49569</v>
      </c>
    </row>
    <row r="888" spans="1:21">
      <c r="A888" s="5">
        <v>63047</v>
      </c>
      <c r="B888" s="5" t="s">
        <v>10</v>
      </c>
      <c r="C888" s="5" t="s">
        <v>27</v>
      </c>
      <c r="D888" s="5" t="s">
        <v>36</v>
      </c>
      <c r="E888" s="5" t="s">
        <v>13</v>
      </c>
      <c r="F888" s="5" t="s">
        <v>28</v>
      </c>
      <c r="G888" s="5" t="s">
        <v>24</v>
      </c>
      <c r="H888" s="5">
        <v>88773</v>
      </c>
      <c r="I888" s="5">
        <v>829</v>
      </c>
      <c r="J888" s="6">
        <f t="shared" si="13"/>
        <v>87944</v>
      </c>
      <c r="L888" s="34">
        <v>71975</v>
      </c>
      <c r="M888" s="35" t="s">
        <v>16</v>
      </c>
      <c r="N888" s="35" t="s">
        <v>27</v>
      </c>
      <c r="O888" s="35" t="s">
        <v>30</v>
      </c>
      <c r="P888" s="35" t="s">
        <v>19</v>
      </c>
      <c r="Q888" s="35" t="s">
        <v>28</v>
      </c>
      <c r="R888" s="35" t="s">
        <v>15</v>
      </c>
      <c r="S888" s="35">
        <v>45598</v>
      </c>
      <c r="T888" s="81">
        <v>4271</v>
      </c>
      <c r="U888" s="36">
        <v>41327</v>
      </c>
    </row>
    <row r="889" spans="1:21">
      <c r="A889" s="5">
        <v>91336</v>
      </c>
      <c r="B889" s="5" t="s">
        <v>16</v>
      </c>
      <c r="C889" s="5" t="s">
        <v>39</v>
      </c>
      <c r="D889" s="5" t="s">
        <v>32</v>
      </c>
      <c r="E889" s="5" t="s">
        <v>13</v>
      </c>
      <c r="F889" s="5" t="s">
        <v>14</v>
      </c>
      <c r="G889" s="5" t="s">
        <v>15</v>
      </c>
      <c r="H889" s="5">
        <v>82385</v>
      </c>
      <c r="I889" s="5">
        <v>287</v>
      </c>
      <c r="J889" s="6">
        <f t="shared" si="13"/>
        <v>82098</v>
      </c>
      <c r="L889" s="31">
        <v>234024</v>
      </c>
      <c r="M889" s="32" t="s">
        <v>16</v>
      </c>
      <c r="N889" s="32" t="s">
        <v>17</v>
      </c>
      <c r="O889" s="32" t="s">
        <v>21</v>
      </c>
      <c r="P889" s="32" t="s">
        <v>13</v>
      </c>
      <c r="Q889" s="32" t="s">
        <v>28</v>
      </c>
      <c r="R889" s="32" t="s">
        <v>24</v>
      </c>
      <c r="S889" s="32">
        <v>52820</v>
      </c>
      <c r="T889" s="80">
        <v>1692</v>
      </c>
      <c r="U889" s="33">
        <v>51128</v>
      </c>
    </row>
    <row r="890" spans="1:21">
      <c r="A890" s="5">
        <v>161844</v>
      </c>
      <c r="B890" s="5" t="s">
        <v>10</v>
      </c>
      <c r="C890" s="5" t="s">
        <v>17</v>
      </c>
      <c r="D890" s="5" t="s">
        <v>21</v>
      </c>
      <c r="E890" s="5" t="s">
        <v>19</v>
      </c>
      <c r="F890" s="5" t="s">
        <v>14</v>
      </c>
      <c r="G890" s="5" t="s">
        <v>15</v>
      </c>
      <c r="H890" s="5">
        <v>38265</v>
      </c>
      <c r="I890" s="5">
        <v>2710</v>
      </c>
      <c r="J890" s="6">
        <f t="shared" si="13"/>
        <v>35555</v>
      </c>
      <c r="L890" s="34">
        <v>94855</v>
      </c>
      <c r="M890" s="35" t="s">
        <v>10</v>
      </c>
      <c r="N890" s="35" t="s">
        <v>37</v>
      </c>
      <c r="O890" s="35" t="s">
        <v>12</v>
      </c>
      <c r="P890" s="35" t="s">
        <v>13</v>
      </c>
      <c r="Q890" s="35" t="s">
        <v>28</v>
      </c>
      <c r="R890" s="35" t="s">
        <v>15</v>
      </c>
      <c r="S890" s="35">
        <v>196896</v>
      </c>
      <c r="T890" s="81">
        <v>2282</v>
      </c>
      <c r="U890" s="36">
        <v>194614</v>
      </c>
    </row>
    <row r="891" spans="1:21">
      <c r="A891" s="5">
        <v>84075</v>
      </c>
      <c r="B891" s="5" t="s">
        <v>10</v>
      </c>
      <c r="C891" s="5" t="s">
        <v>34</v>
      </c>
      <c r="D891" s="5" t="s">
        <v>29</v>
      </c>
      <c r="E891" s="5" t="s">
        <v>19</v>
      </c>
      <c r="F891" s="5" t="s">
        <v>14</v>
      </c>
      <c r="G891" s="5" t="s">
        <v>24</v>
      </c>
      <c r="H891" s="5">
        <v>63136</v>
      </c>
      <c r="I891" s="5">
        <v>11149</v>
      </c>
      <c r="J891" s="6">
        <f t="shared" si="13"/>
        <v>51987</v>
      </c>
      <c r="L891" s="31">
        <v>127595</v>
      </c>
      <c r="M891" s="32" t="s">
        <v>10</v>
      </c>
      <c r="N891" s="32" t="s">
        <v>34</v>
      </c>
      <c r="O891" s="32" t="s">
        <v>30</v>
      </c>
      <c r="P891" s="32" t="s">
        <v>13</v>
      </c>
      <c r="Q891" s="32" t="s">
        <v>28</v>
      </c>
      <c r="R891" s="32" t="s">
        <v>15</v>
      </c>
      <c r="S891" s="32">
        <v>112532</v>
      </c>
      <c r="T891" s="80">
        <v>2038</v>
      </c>
      <c r="U891" s="33">
        <v>110494</v>
      </c>
    </row>
    <row r="892" spans="1:21">
      <c r="A892" s="5">
        <v>247868</v>
      </c>
      <c r="B892" s="5" t="s">
        <v>16</v>
      </c>
      <c r="C892" s="5" t="s">
        <v>17</v>
      </c>
      <c r="D892" s="5" t="s">
        <v>36</v>
      </c>
      <c r="E892" s="5" t="s">
        <v>19</v>
      </c>
      <c r="F892" s="5" t="s">
        <v>14</v>
      </c>
      <c r="G892" s="5" t="s">
        <v>24</v>
      </c>
      <c r="H892" s="5">
        <v>24605</v>
      </c>
      <c r="I892" s="5">
        <v>752</v>
      </c>
      <c r="J892" s="6">
        <f t="shared" si="13"/>
        <v>23853</v>
      </c>
      <c r="L892" s="34">
        <v>236263</v>
      </c>
      <c r="M892" s="35" t="s">
        <v>10</v>
      </c>
      <c r="N892" s="35" t="s">
        <v>17</v>
      </c>
      <c r="O892" s="35" t="s">
        <v>36</v>
      </c>
      <c r="P892" s="35" t="s">
        <v>19</v>
      </c>
      <c r="Q892" s="35" t="s">
        <v>28</v>
      </c>
      <c r="R892" s="35" t="s">
        <v>24</v>
      </c>
      <c r="S892" s="35">
        <v>51388</v>
      </c>
      <c r="T892" s="81">
        <v>0</v>
      </c>
      <c r="U892" s="36">
        <v>51388</v>
      </c>
    </row>
    <row r="893" spans="1:21">
      <c r="A893" s="5">
        <v>228719</v>
      </c>
      <c r="B893" s="5" t="s">
        <v>10</v>
      </c>
      <c r="C893" s="5" t="s">
        <v>25</v>
      </c>
      <c r="D893" s="5" t="s">
        <v>29</v>
      </c>
      <c r="E893" s="5" t="s">
        <v>13</v>
      </c>
      <c r="F893" s="5" t="s">
        <v>28</v>
      </c>
      <c r="G893" s="5" t="s">
        <v>24</v>
      </c>
      <c r="H893" s="5">
        <v>142628</v>
      </c>
      <c r="I893" s="5">
        <v>14982</v>
      </c>
      <c r="J893" s="6">
        <f t="shared" si="13"/>
        <v>127646</v>
      </c>
      <c r="L893" s="31">
        <v>175921</v>
      </c>
      <c r="M893" s="32" t="s">
        <v>16</v>
      </c>
      <c r="N893" s="32" t="s">
        <v>25</v>
      </c>
      <c r="O893" s="32" t="s">
        <v>30</v>
      </c>
      <c r="P893" s="32" t="s">
        <v>13</v>
      </c>
      <c r="Q893" s="32" t="s">
        <v>28</v>
      </c>
      <c r="R893" s="32" t="s">
        <v>15</v>
      </c>
      <c r="S893" s="32">
        <v>66797</v>
      </c>
      <c r="T893" s="80">
        <v>1379</v>
      </c>
      <c r="U893" s="33">
        <v>65418</v>
      </c>
    </row>
    <row r="894" spans="1:21">
      <c r="A894" s="5">
        <v>222143</v>
      </c>
      <c r="B894" s="5" t="s">
        <v>10</v>
      </c>
      <c r="C894" s="5" t="s">
        <v>22</v>
      </c>
      <c r="D894" s="5" t="s">
        <v>32</v>
      </c>
      <c r="E894" s="5" t="s">
        <v>13</v>
      </c>
      <c r="F894" s="5" t="s">
        <v>14</v>
      </c>
      <c r="G894" s="5" t="s">
        <v>24</v>
      </c>
      <c r="H894" s="5">
        <v>3270</v>
      </c>
      <c r="I894" s="5">
        <v>0</v>
      </c>
      <c r="J894" s="6">
        <f t="shared" si="13"/>
        <v>3270</v>
      </c>
      <c r="L894" s="34">
        <v>169547</v>
      </c>
      <c r="M894" s="35" t="s">
        <v>10</v>
      </c>
      <c r="N894" s="35" t="s">
        <v>35</v>
      </c>
      <c r="O894" s="35" t="s">
        <v>29</v>
      </c>
      <c r="P894" s="35" t="s">
        <v>13</v>
      </c>
      <c r="Q894" s="35" t="s">
        <v>28</v>
      </c>
      <c r="R894" s="35" t="s">
        <v>15</v>
      </c>
      <c r="S894" s="35">
        <v>60159</v>
      </c>
      <c r="T894" s="81">
        <v>0</v>
      </c>
      <c r="U894" s="36">
        <v>60159</v>
      </c>
    </row>
    <row r="895" spans="1:21">
      <c r="A895" s="5">
        <v>88435</v>
      </c>
      <c r="B895" s="5" t="s">
        <v>16</v>
      </c>
      <c r="C895" s="5" t="s">
        <v>37</v>
      </c>
      <c r="D895" s="5" t="s">
        <v>33</v>
      </c>
      <c r="E895" s="5" t="s">
        <v>19</v>
      </c>
      <c r="F895" s="5" t="s">
        <v>14</v>
      </c>
      <c r="G895" s="5" t="s">
        <v>24</v>
      </c>
      <c r="H895" s="5">
        <v>50446</v>
      </c>
      <c r="I895" s="5">
        <v>269</v>
      </c>
      <c r="J895" s="6">
        <f t="shared" si="13"/>
        <v>50177</v>
      </c>
      <c r="L895" s="31">
        <v>31266</v>
      </c>
      <c r="M895" s="32" t="s">
        <v>10</v>
      </c>
      <c r="N895" s="32" t="s">
        <v>11</v>
      </c>
      <c r="O895" s="32" t="s">
        <v>30</v>
      </c>
      <c r="P895" s="32" t="s">
        <v>19</v>
      </c>
      <c r="Q895" s="32" t="s">
        <v>28</v>
      </c>
      <c r="R895" s="32" t="s">
        <v>15</v>
      </c>
      <c r="S895" s="32">
        <v>45622</v>
      </c>
      <c r="T895" s="80">
        <v>19379</v>
      </c>
      <c r="U895" s="33">
        <v>26243</v>
      </c>
    </row>
    <row r="896" spans="1:21">
      <c r="A896" s="5">
        <v>183461</v>
      </c>
      <c r="B896" s="5" t="s">
        <v>10</v>
      </c>
      <c r="C896" s="5" t="s">
        <v>20</v>
      </c>
      <c r="D896" s="5" t="s">
        <v>32</v>
      </c>
      <c r="E896" s="5" t="s">
        <v>19</v>
      </c>
      <c r="F896" s="5" t="s">
        <v>14</v>
      </c>
      <c r="G896" s="5" t="s">
        <v>15</v>
      </c>
      <c r="H896" s="5">
        <v>39044</v>
      </c>
      <c r="I896" s="5">
        <v>129</v>
      </c>
      <c r="J896" s="6">
        <f t="shared" si="13"/>
        <v>38915</v>
      </c>
      <c r="L896" s="34">
        <v>185729</v>
      </c>
      <c r="M896" s="35" t="s">
        <v>16</v>
      </c>
      <c r="N896" s="35" t="s">
        <v>39</v>
      </c>
      <c r="O896" s="35" t="s">
        <v>32</v>
      </c>
      <c r="P896" s="35" t="s">
        <v>19</v>
      </c>
      <c r="Q896" s="35" t="s">
        <v>28</v>
      </c>
      <c r="R896" s="35" t="s">
        <v>24</v>
      </c>
      <c r="S896" s="35">
        <v>3687</v>
      </c>
      <c r="T896" s="81">
        <v>0</v>
      </c>
      <c r="U896" s="36">
        <v>3687</v>
      </c>
    </row>
    <row r="897" spans="1:21">
      <c r="A897" s="5">
        <v>145545</v>
      </c>
      <c r="B897" s="5" t="s">
        <v>10</v>
      </c>
      <c r="C897" s="5" t="s">
        <v>22</v>
      </c>
      <c r="D897" s="5" t="s">
        <v>32</v>
      </c>
      <c r="E897" s="5" t="s">
        <v>19</v>
      </c>
      <c r="F897" s="5" t="s">
        <v>28</v>
      </c>
      <c r="G897" s="5" t="s">
        <v>24</v>
      </c>
      <c r="H897" s="5">
        <v>458</v>
      </c>
      <c r="I897" s="5">
        <v>0</v>
      </c>
      <c r="J897" s="6">
        <f t="shared" si="13"/>
        <v>458</v>
      </c>
      <c r="L897" s="31">
        <v>77260</v>
      </c>
      <c r="M897" s="32" t="s">
        <v>16</v>
      </c>
      <c r="N897" s="32" t="s">
        <v>34</v>
      </c>
      <c r="O897" s="32" t="s">
        <v>36</v>
      </c>
      <c r="P897" s="32" t="s">
        <v>19</v>
      </c>
      <c r="Q897" s="32" t="s">
        <v>28</v>
      </c>
      <c r="R897" s="32" t="s">
        <v>24</v>
      </c>
      <c r="S897" s="32">
        <v>43819</v>
      </c>
      <c r="T897" s="80">
        <v>472</v>
      </c>
      <c r="U897" s="33">
        <v>43347</v>
      </c>
    </row>
    <row r="898" spans="1:21">
      <c r="A898" s="5">
        <v>91304</v>
      </c>
      <c r="B898" s="5" t="s">
        <v>10</v>
      </c>
      <c r="C898" s="5" t="s">
        <v>37</v>
      </c>
      <c r="D898" s="5" t="s">
        <v>36</v>
      </c>
      <c r="E898" s="5" t="s">
        <v>13</v>
      </c>
      <c r="F898" s="5" t="s">
        <v>14</v>
      </c>
      <c r="G898" s="5" t="s">
        <v>15</v>
      </c>
      <c r="H898" s="5">
        <v>112781</v>
      </c>
      <c r="I898" s="5">
        <v>12548</v>
      </c>
      <c r="J898" s="6">
        <f t="shared" ref="J898:J961" si="14">H898-I898</f>
        <v>100233</v>
      </c>
      <c r="L898" s="34">
        <v>249048</v>
      </c>
      <c r="M898" s="35" t="s">
        <v>10</v>
      </c>
      <c r="N898" s="35" t="s">
        <v>17</v>
      </c>
      <c r="O898" s="35" t="s">
        <v>26</v>
      </c>
      <c r="P898" s="35" t="s">
        <v>19</v>
      </c>
      <c r="Q898" s="35" t="s">
        <v>28</v>
      </c>
      <c r="R898" s="35" t="s">
        <v>15</v>
      </c>
      <c r="S898" s="35">
        <v>57962</v>
      </c>
      <c r="T898" s="81">
        <v>4307</v>
      </c>
      <c r="U898" s="36">
        <v>53655</v>
      </c>
    </row>
    <row r="899" spans="1:21">
      <c r="A899" s="5">
        <v>97312</v>
      </c>
      <c r="B899" s="5" t="s">
        <v>16</v>
      </c>
      <c r="C899" s="5" t="s">
        <v>39</v>
      </c>
      <c r="D899" s="5" t="s">
        <v>32</v>
      </c>
      <c r="E899" s="5" t="s">
        <v>13</v>
      </c>
      <c r="F899" s="5" t="s">
        <v>14</v>
      </c>
      <c r="G899" s="5" t="s">
        <v>15</v>
      </c>
      <c r="H899" s="5">
        <v>17843</v>
      </c>
      <c r="I899" s="5">
        <v>0</v>
      </c>
      <c r="J899" s="6">
        <f t="shared" si="14"/>
        <v>17843</v>
      </c>
      <c r="L899" s="31">
        <v>220032</v>
      </c>
      <c r="M899" s="32" t="s">
        <v>16</v>
      </c>
      <c r="N899" s="32" t="s">
        <v>22</v>
      </c>
      <c r="O899" s="32" t="s">
        <v>30</v>
      </c>
      <c r="P899" s="32" t="s">
        <v>19</v>
      </c>
      <c r="Q899" s="32" t="s">
        <v>28</v>
      </c>
      <c r="R899" s="32" t="s">
        <v>15</v>
      </c>
      <c r="S899" s="32">
        <v>144994</v>
      </c>
      <c r="T899" s="80">
        <v>5530</v>
      </c>
      <c r="U899" s="33">
        <v>139464</v>
      </c>
    </row>
    <row r="900" spans="1:21">
      <c r="A900" s="5">
        <v>166553</v>
      </c>
      <c r="B900" s="5" t="s">
        <v>10</v>
      </c>
      <c r="C900" s="5" t="s">
        <v>22</v>
      </c>
      <c r="D900" s="5" t="s">
        <v>30</v>
      </c>
      <c r="E900" s="5" t="s">
        <v>13</v>
      </c>
      <c r="F900" s="5" t="s">
        <v>14</v>
      </c>
      <c r="G900" s="5" t="s">
        <v>15</v>
      </c>
      <c r="H900" s="5">
        <v>117716</v>
      </c>
      <c r="I900" s="5">
        <v>9327</v>
      </c>
      <c r="J900" s="6">
        <f t="shared" si="14"/>
        <v>108389</v>
      </c>
      <c r="L900" s="34">
        <v>139387</v>
      </c>
      <c r="M900" s="35" t="s">
        <v>10</v>
      </c>
      <c r="N900" s="35" t="s">
        <v>25</v>
      </c>
      <c r="O900" s="35" t="s">
        <v>23</v>
      </c>
      <c r="P900" s="35" t="s">
        <v>19</v>
      </c>
      <c r="Q900" s="35" t="s">
        <v>28</v>
      </c>
      <c r="R900" s="35" t="s">
        <v>15</v>
      </c>
      <c r="S900" s="35">
        <v>97853</v>
      </c>
      <c r="T900" s="81">
        <v>576</v>
      </c>
      <c r="U900" s="36">
        <v>97277</v>
      </c>
    </row>
    <row r="901" spans="1:21">
      <c r="A901" s="5">
        <v>90600</v>
      </c>
      <c r="B901" s="5" t="s">
        <v>16</v>
      </c>
      <c r="C901" s="5" t="s">
        <v>37</v>
      </c>
      <c r="D901" s="5" t="s">
        <v>26</v>
      </c>
      <c r="E901" s="5" t="s">
        <v>13</v>
      </c>
      <c r="F901" s="5" t="s">
        <v>28</v>
      </c>
      <c r="G901" s="5" t="s">
        <v>15</v>
      </c>
      <c r="H901" s="5">
        <v>49587</v>
      </c>
      <c r="I901" s="5">
        <v>542</v>
      </c>
      <c r="J901" s="6">
        <f t="shared" si="14"/>
        <v>49045</v>
      </c>
      <c r="L901" s="31">
        <v>29576</v>
      </c>
      <c r="M901" s="32" t="s">
        <v>10</v>
      </c>
      <c r="N901" s="32" t="s">
        <v>35</v>
      </c>
      <c r="O901" s="32" t="s">
        <v>23</v>
      </c>
      <c r="P901" s="32" t="s">
        <v>13</v>
      </c>
      <c r="Q901" s="32" t="s">
        <v>28</v>
      </c>
      <c r="R901" s="32" t="s">
        <v>24</v>
      </c>
      <c r="S901" s="32">
        <v>72324</v>
      </c>
      <c r="T901" s="80">
        <v>5444</v>
      </c>
      <c r="U901" s="33">
        <v>66880</v>
      </c>
    </row>
    <row r="902" spans="1:21">
      <c r="A902" s="5">
        <v>51995</v>
      </c>
      <c r="B902" s="5" t="s">
        <v>16</v>
      </c>
      <c r="C902" s="5" t="s">
        <v>35</v>
      </c>
      <c r="D902" s="5" t="s">
        <v>23</v>
      </c>
      <c r="E902" s="5" t="s">
        <v>13</v>
      </c>
      <c r="F902" s="5" t="s">
        <v>28</v>
      </c>
      <c r="G902" s="5" t="s">
        <v>15</v>
      </c>
      <c r="H902" s="5">
        <v>28927</v>
      </c>
      <c r="I902" s="5">
        <v>599</v>
      </c>
      <c r="J902" s="6">
        <f t="shared" si="14"/>
        <v>28328</v>
      </c>
      <c r="L902" s="34">
        <v>114135</v>
      </c>
      <c r="M902" s="35" t="s">
        <v>10</v>
      </c>
      <c r="N902" s="35" t="s">
        <v>22</v>
      </c>
      <c r="O902" s="35" t="s">
        <v>26</v>
      </c>
      <c r="P902" s="35" t="s">
        <v>19</v>
      </c>
      <c r="Q902" s="35" t="s">
        <v>28</v>
      </c>
      <c r="R902" s="35" t="s">
        <v>24</v>
      </c>
      <c r="S902" s="35">
        <v>34884</v>
      </c>
      <c r="T902" s="81">
        <v>999</v>
      </c>
      <c r="U902" s="36">
        <v>33885</v>
      </c>
    </row>
    <row r="903" spans="1:21">
      <c r="A903" s="5">
        <v>37722</v>
      </c>
      <c r="B903" s="5" t="s">
        <v>10</v>
      </c>
      <c r="C903" s="5" t="s">
        <v>39</v>
      </c>
      <c r="D903" s="5" t="s">
        <v>32</v>
      </c>
      <c r="E903" s="5" t="s">
        <v>13</v>
      </c>
      <c r="F903" s="5" t="s">
        <v>28</v>
      </c>
      <c r="G903" s="5" t="s">
        <v>15</v>
      </c>
      <c r="H903" s="5">
        <v>67728</v>
      </c>
      <c r="I903" s="5">
        <v>18160</v>
      </c>
      <c r="J903" s="6">
        <f t="shared" si="14"/>
        <v>49568</v>
      </c>
      <c r="L903" s="31">
        <v>90156</v>
      </c>
      <c r="M903" s="32" t="s">
        <v>16</v>
      </c>
      <c r="N903" s="32" t="s">
        <v>38</v>
      </c>
      <c r="O903" s="32" t="s">
        <v>32</v>
      </c>
      <c r="P903" s="32" t="s">
        <v>13</v>
      </c>
      <c r="Q903" s="32" t="s">
        <v>28</v>
      </c>
      <c r="R903" s="32" t="s">
        <v>24</v>
      </c>
      <c r="S903" s="32">
        <v>8035</v>
      </c>
      <c r="T903" s="80">
        <v>0</v>
      </c>
      <c r="U903" s="33">
        <v>8035</v>
      </c>
    </row>
    <row r="904" spans="1:21">
      <c r="A904" s="5">
        <v>237221</v>
      </c>
      <c r="B904" s="5" t="s">
        <v>16</v>
      </c>
      <c r="C904" s="5" t="s">
        <v>17</v>
      </c>
      <c r="D904" s="5" t="s">
        <v>21</v>
      </c>
      <c r="E904" s="5" t="s">
        <v>19</v>
      </c>
      <c r="F904" s="5" t="s">
        <v>14</v>
      </c>
      <c r="G904" s="5" t="s">
        <v>24</v>
      </c>
      <c r="H904" s="5">
        <v>31064</v>
      </c>
      <c r="I904" s="5">
        <v>282</v>
      </c>
      <c r="J904" s="6">
        <f t="shared" si="14"/>
        <v>30782</v>
      </c>
      <c r="L904" s="34">
        <v>102378</v>
      </c>
      <c r="M904" s="35" t="s">
        <v>16</v>
      </c>
      <c r="N904" s="35" t="s">
        <v>34</v>
      </c>
      <c r="O904" s="35" t="s">
        <v>30</v>
      </c>
      <c r="P904" s="35" t="s">
        <v>13</v>
      </c>
      <c r="Q904" s="35" t="s">
        <v>28</v>
      </c>
      <c r="R904" s="35" t="s">
        <v>15</v>
      </c>
      <c r="S904" s="35">
        <v>65772</v>
      </c>
      <c r="T904" s="81">
        <v>856</v>
      </c>
      <c r="U904" s="36">
        <v>64916</v>
      </c>
    </row>
    <row r="905" spans="1:21">
      <c r="A905" s="5">
        <v>95049</v>
      </c>
      <c r="B905" s="5" t="s">
        <v>10</v>
      </c>
      <c r="C905" s="5" t="s">
        <v>38</v>
      </c>
      <c r="D905" s="5" t="s">
        <v>12</v>
      </c>
      <c r="E905" s="5" t="s">
        <v>13</v>
      </c>
      <c r="F905" s="5" t="s">
        <v>14</v>
      </c>
      <c r="G905" s="5" t="s">
        <v>15</v>
      </c>
      <c r="H905" s="5">
        <v>328743</v>
      </c>
      <c r="I905" s="5">
        <v>0</v>
      </c>
      <c r="J905" s="6">
        <f t="shared" si="14"/>
        <v>328743</v>
      </c>
      <c r="L905" s="31">
        <v>106196</v>
      </c>
      <c r="M905" s="32" t="s">
        <v>16</v>
      </c>
      <c r="N905" s="32" t="s">
        <v>17</v>
      </c>
      <c r="O905" s="32" t="s">
        <v>23</v>
      </c>
      <c r="P905" s="32" t="s">
        <v>19</v>
      </c>
      <c r="Q905" s="32" t="s">
        <v>28</v>
      </c>
      <c r="R905" s="32" t="s">
        <v>15</v>
      </c>
      <c r="S905" s="32">
        <v>12723</v>
      </c>
      <c r="T905" s="80">
        <v>132</v>
      </c>
      <c r="U905" s="33">
        <v>12591</v>
      </c>
    </row>
    <row r="906" spans="1:21">
      <c r="A906" s="5">
        <v>84823</v>
      </c>
      <c r="B906" s="5" t="s">
        <v>16</v>
      </c>
      <c r="C906" s="5" t="s">
        <v>11</v>
      </c>
      <c r="D906" s="5" t="s">
        <v>18</v>
      </c>
      <c r="E906" s="5" t="s">
        <v>19</v>
      </c>
      <c r="F906" s="5" t="s">
        <v>14</v>
      </c>
      <c r="G906" s="5" t="s">
        <v>15</v>
      </c>
      <c r="H906" s="5">
        <v>49063</v>
      </c>
      <c r="I906" s="5">
        <v>1000</v>
      </c>
      <c r="J906" s="6">
        <f t="shared" si="14"/>
        <v>48063</v>
      </c>
      <c r="L906" s="34">
        <v>155591</v>
      </c>
      <c r="M906" s="35" t="s">
        <v>16</v>
      </c>
      <c r="N906" s="35" t="s">
        <v>31</v>
      </c>
      <c r="O906" s="35" t="s">
        <v>36</v>
      </c>
      <c r="P906" s="35" t="s">
        <v>19</v>
      </c>
      <c r="Q906" s="35" t="s">
        <v>28</v>
      </c>
      <c r="R906" s="35" t="s">
        <v>15</v>
      </c>
      <c r="S906" s="35">
        <v>39927</v>
      </c>
      <c r="T906" s="81">
        <v>0</v>
      </c>
      <c r="U906" s="36">
        <v>39927</v>
      </c>
    </row>
    <row r="907" spans="1:21">
      <c r="A907" s="5">
        <v>92893</v>
      </c>
      <c r="B907" s="5" t="s">
        <v>16</v>
      </c>
      <c r="C907" s="5" t="s">
        <v>37</v>
      </c>
      <c r="D907" s="5" t="s">
        <v>30</v>
      </c>
      <c r="E907" s="5" t="s">
        <v>13</v>
      </c>
      <c r="F907" s="5" t="s">
        <v>14</v>
      </c>
      <c r="G907" s="5" t="s">
        <v>15</v>
      </c>
      <c r="H907" s="5">
        <v>26983</v>
      </c>
      <c r="I907" s="5">
        <v>1109</v>
      </c>
      <c r="J907" s="6">
        <f t="shared" si="14"/>
        <v>25874</v>
      </c>
      <c r="L907" s="31">
        <v>39078</v>
      </c>
      <c r="M907" s="32" t="s">
        <v>10</v>
      </c>
      <c r="N907" s="32" t="s">
        <v>35</v>
      </c>
      <c r="O907" s="32" t="s">
        <v>23</v>
      </c>
      <c r="P907" s="32" t="s">
        <v>13</v>
      </c>
      <c r="Q907" s="32" t="s">
        <v>28</v>
      </c>
      <c r="R907" s="32" t="s">
        <v>15</v>
      </c>
      <c r="S907" s="32">
        <v>130740</v>
      </c>
      <c r="T907" s="80">
        <v>893</v>
      </c>
      <c r="U907" s="33">
        <v>129847</v>
      </c>
    </row>
    <row r="908" spans="1:21">
      <c r="A908" s="5">
        <v>91058</v>
      </c>
      <c r="B908" s="5" t="s">
        <v>16</v>
      </c>
      <c r="C908" s="5" t="s">
        <v>38</v>
      </c>
      <c r="D908" s="5" t="s">
        <v>18</v>
      </c>
      <c r="E908" s="5" t="s">
        <v>13</v>
      </c>
      <c r="F908" s="5" t="s">
        <v>14</v>
      </c>
      <c r="G908" s="5" t="s">
        <v>15</v>
      </c>
      <c r="H908" s="5">
        <v>18227</v>
      </c>
      <c r="I908" s="5">
        <v>481</v>
      </c>
      <c r="J908" s="6">
        <f t="shared" si="14"/>
        <v>17746</v>
      </c>
      <c r="L908" s="34">
        <v>205166</v>
      </c>
      <c r="M908" s="35" t="s">
        <v>16</v>
      </c>
      <c r="N908" s="35" t="s">
        <v>34</v>
      </c>
      <c r="O908" s="35" t="s">
        <v>21</v>
      </c>
      <c r="P908" s="35" t="s">
        <v>13</v>
      </c>
      <c r="Q908" s="35" t="s">
        <v>28</v>
      </c>
      <c r="R908" s="35" t="s">
        <v>24</v>
      </c>
      <c r="S908" s="35">
        <v>46461</v>
      </c>
      <c r="T908" s="81">
        <v>274</v>
      </c>
      <c r="U908" s="36">
        <v>46187</v>
      </c>
    </row>
    <row r="909" spans="1:21">
      <c r="A909" s="5">
        <v>45215</v>
      </c>
      <c r="B909" s="5" t="s">
        <v>16</v>
      </c>
      <c r="C909" s="5" t="s">
        <v>35</v>
      </c>
      <c r="D909" s="5" t="s">
        <v>36</v>
      </c>
      <c r="E909" s="5" t="s">
        <v>13</v>
      </c>
      <c r="F909" s="5" t="s">
        <v>14</v>
      </c>
      <c r="G909" s="5" t="s">
        <v>24</v>
      </c>
      <c r="H909" s="5">
        <v>15687</v>
      </c>
      <c r="I909" s="5">
        <v>394</v>
      </c>
      <c r="J909" s="6">
        <f t="shared" si="14"/>
        <v>15293</v>
      </c>
      <c r="L909" s="31">
        <v>177062</v>
      </c>
      <c r="M909" s="32" t="s">
        <v>16</v>
      </c>
      <c r="N909" s="32" t="s">
        <v>25</v>
      </c>
      <c r="O909" s="32" t="s">
        <v>30</v>
      </c>
      <c r="P909" s="32" t="s">
        <v>13</v>
      </c>
      <c r="Q909" s="32" t="s">
        <v>28</v>
      </c>
      <c r="R909" s="32" t="s">
        <v>24</v>
      </c>
      <c r="S909" s="32">
        <v>96524</v>
      </c>
      <c r="T909" s="80">
        <v>235</v>
      </c>
      <c r="U909" s="33">
        <v>96289</v>
      </c>
    </row>
    <row r="910" spans="1:21">
      <c r="A910" s="5">
        <v>133960</v>
      </c>
      <c r="B910" s="5" t="s">
        <v>10</v>
      </c>
      <c r="C910" s="5" t="s">
        <v>31</v>
      </c>
      <c r="D910" s="5" t="s">
        <v>26</v>
      </c>
      <c r="E910" s="5" t="s">
        <v>19</v>
      </c>
      <c r="F910" s="5" t="s">
        <v>14</v>
      </c>
      <c r="G910" s="5" t="s">
        <v>24</v>
      </c>
      <c r="H910" s="5">
        <v>5369</v>
      </c>
      <c r="I910" s="5">
        <v>270</v>
      </c>
      <c r="J910" s="6">
        <f t="shared" si="14"/>
        <v>5099</v>
      </c>
      <c r="L910" s="34">
        <v>245866</v>
      </c>
      <c r="M910" s="35" t="s">
        <v>10</v>
      </c>
      <c r="N910" s="35" t="s">
        <v>17</v>
      </c>
      <c r="O910" s="35" t="s">
        <v>29</v>
      </c>
      <c r="P910" s="35" t="s">
        <v>19</v>
      </c>
      <c r="Q910" s="35" t="s">
        <v>28</v>
      </c>
      <c r="R910" s="35" t="s">
        <v>24</v>
      </c>
      <c r="S910" s="35">
        <v>41222</v>
      </c>
      <c r="T910" s="81">
        <v>323</v>
      </c>
      <c r="U910" s="36">
        <v>40899</v>
      </c>
    </row>
    <row r="911" spans="1:21">
      <c r="A911" s="5">
        <v>17674</v>
      </c>
      <c r="B911" s="5" t="s">
        <v>16</v>
      </c>
      <c r="C911" s="5" t="s">
        <v>34</v>
      </c>
      <c r="D911" s="5" t="s">
        <v>32</v>
      </c>
      <c r="E911" s="5" t="s">
        <v>19</v>
      </c>
      <c r="F911" s="5" t="s">
        <v>28</v>
      </c>
      <c r="G911" s="5" t="s">
        <v>15</v>
      </c>
      <c r="H911" s="5">
        <v>25214</v>
      </c>
      <c r="I911" s="5">
        <v>0</v>
      </c>
      <c r="J911" s="6">
        <f t="shared" si="14"/>
        <v>25214</v>
      </c>
      <c r="L911" s="31">
        <v>250653</v>
      </c>
      <c r="M911" s="32" t="s">
        <v>16</v>
      </c>
      <c r="N911" s="32" t="s">
        <v>17</v>
      </c>
      <c r="O911" s="32" t="s">
        <v>33</v>
      </c>
      <c r="P911" s="32" t="s">
        <v>19</v>
      </c>
      <c r="Q911" s="32" t="s">
        <v>28</v>
      </c>
      <c r="R911" s="32" t="s">
        <v>15</v>
      </c>
      <c r="S911" s="32">
        <v>55677</v>
      </c>
      <c r="T911" s="80">
        <v>22</v>
      </c>
      <c r="U911" s="33">
        <v>55655</v>
      </c>
    </row>
    <row r="912" spans="1:21">
      <c r="A912" s="5">
        <v>121669</v>
      </c>
      <c r="B912" s="5" t="s">
        <v>16</v>
      </c>
      <c r="C912" s="5" t="s">
        <v>22</v>
      </c>
      <c r="D912" s="5" t="s">
        <v>21</v>
      </c>
      <c r="E912" s="5" t="s">
        <v>13</v>
      </c>
      <c r="F912" s="5" t="s">
        <v>28</v>
      </c>
      <c r="G912" s="5" t="s">
        <v>15</v>
      </c>
      <c r="H912" s="5">
        <v>18</v>
      </c>
      <c r="I912" s="5">
        <v>0</v>
      </c>
      <c r="J912" s="6">
        <f t="shared" si="14"/>
        <v>18</v>
      </c>
      <c r="L912" s="34">
        <v>209392</v>
      </c>
      <c r="M912" s="35" t="s">
        <v>10</v>
      </c>
      <c r="N912" s="35" t="s">
        <v>38</v>
      </c>
      <c r="O912" s="35" t="s">
        <v>30</v>
      </c>
      <c r="P912" s="35" t="s">
        <v>13</v>
      </c>
      <c r="Q912" s="35" t="s">
        <v>28</v>
      </c>
      <c r="R912" s="35" t="s">
        <v>15</v>
      </c>
      <c r="S912" s="35">
        <v>57304</v>
      </c>
      <c r="T912" s="81">
        <v>453</v>
      </c>
      <c r="U912" s="36">
        <v>56851</v>
      </c>
    </row>
    <row r="913" spans="1:21">
      <c r="A913" s="5">
        <v>214730</v>
      </c>
      <c r="B913" s="5" t="s">
        <v>16</v>
      </c>
      <c r="C913" s="5" t="s">
        <v>34</v>
      </c>
      <c r="D913" s="5" t="s">
        <v>30</v>
      </c>
      <c r="E913" s="5" t="s">
        <v>13</v>
      </c>
      <c r="F913" s="5" t="s">
        <v>14</v>
      </c>
      <c r="G913" s="5" t="s">
        <v>15</v>
      </c>
      <c r="H913" s="5">
        <v>69307</v>
      </c>
      <c r="I913" s="5">
        <v>0</v>
      </c>
      <c r="J913" s="6">
        <f t="shared" si="14"/>
        <v>69307</v>
      </c>
      <c r="L913" s="31">
        <v>237983</v>
      </c>
      <c r="M913" s="32" t="s">
        <v>16</v>
      </c>
      <c r="N913" s="32" t="s">
        <v>25</v>
      </c>
      <c r="O913" s="32" t="s">
        <v>12</v>
      </c>
      <c r="P913" s="32" t="s">
        <v>19</v>
      </c>
      <c r="Q913" s="32" t="s">
        <v>28</v>
      </c>
      <c r="R913" s="32" t="s">
        <v>15</v>
      </c>
      <c r="S913" s="32">
        <v>44531</v>
      </c>
      <c r="T913" s="80">
        <v>434</v>
      </c>
      <c r="U913" s="33">
        <v>44097</v>
      </c>
    </row>
    <row r="914" spans="1:21">
      <c r="A914" s="5">
        <v>138562</v>
      </c>
      <c r="B914" s="5" t="s">
        <v>16</v>
      </c>
      <c r="C914" s="5" t="s">
        <v>22</v>
      </c>
      <c r="D914" s="5" t="s">
        <v>30</v>
      </c>
      <c r="E914" s="5" t="s">
        <v>13</v>
      </c>
      <c r="F914" s="5" t="s">
        <v>14</v>
      </c>
      <c r="G914" s="5" t="s">
        <v>15</v>
      </c>
      <c r="H914" s="5">
        <v>86371</v>
      </c>
      <c r="I914" s="5">
        <v>4503</v>
      </c>
      <c r="J914" s="6">
        <f t="shared" si="14"/>
        <v>81868</v>
      </c>
      <c r="L914" s="34">
        <v>54439</v>
      </c>
      <c r="M914" s="35" t="s">
        <v>10</v>
      </c>
      <c r="N914" s="35" t="s">
        <v>35</v>
      </c>
      <c r="O914" s="35" t="s">
        <v>36</v>
      </c>
      <c r="P914" s="35" t="s">
        <v>13</v>
      </c>
      <c r="Q914" s="35" t="s">
        <v>28</v>
      </c>
      <c r="R914" s="35" t="s">
        <v>24</v>
      </c>
      <c r="S914" s="35">
        <v>80476</v>
      </c>
      <c r="T914" s="81">
        <v>5412</v>
      </c>
      <c r="U914" s="36">
        <v>75064</v>
      </c>
    </row>
    <row r="915" spans="1:21">
      <c r="A915" s="5">
        <v>38177</v>
      </c>
      <c r="B915" s="5" t="s">
        <v>16</v>
      </c>
      <c r="C915" s="5" t="s">
        <v>37</v>
      </c>
      <c r="D915" s="5" t="s">
        <v>26</v>
      </c>
      <c r="E915" s="5" t="s">
        <v>13</v>
      </c>
      <c r="F915" s="5" t="s">
        <v>14</v>
      </c>
      <c r="G915" s="5" t="s">
        <v>15</v>
      </c>
      <c r="H915" s="5">
        <v>21247</v>
      </c>
      <c r="I915" s="5">
        <v>568</v>
      </c>
      <c r="J915" s="6">
        <f t="shared" si="14"/>
        <v>20679</v>
      </c>
      <c r="L915" s="31">
        <v>243415</v>
      </c>
      <c r="M915" s="32" t="s">
        <v>16</v>
      </c>
      <c r="N915" s="32" t="s">
        <v>25</v>
      </c>
      <c r="O915" s="32" t="s">
        <v>21</v>
      </c>
      <c r="P915" s="32" t="s">
        <v>19</v>
      </c>
      <c r="Q915" s="32" t="s">
        <v>28</v>
      </c>
      <c r="R915" s="32" t="s">
        <v>24</v>
      </c>
      <c r="S915" s="32">
        <v>33514</v>
      </c>
      <c r="T915" s="80">
        <v>218</v>
      </c>
      <c r="U915" s="33">
        <v>33296</v>
      </c>
    </row>
    <row r="916" spans="1:21">
      <c r="A916" s="5">
        <v>155738</v>
      </c>
      <c r="B916" s="5" t="s">
        <v>16</v>
      </c>
      <c r="C916" s="5" t="s">
        <v>38</v>
      </c>
      <c r="D916" s="5" t="s">
        <v>30</v>
      </c>
      <c r="E916" s="5" t="s">
        <v>13</v>
      </c>
      <c r="F916" s="5" t="s">
        <v>14</v>
      </c>
      <c r="G916" s="5" t="s">
        <v>15</v>
      </c>
      <c r="H916" s="5">
        <v>13556</v>
      </c>
      <c r="I916" s="5">
        <v>0</v>
      </c>
      <c r="J916" s="6">
        <f t="shared" si="14"/>
        <v>13556</v>
      </c>
      <c r="L916" s="34">
        <v>212466</v>
      </c>
      <c r="M916" s="35" t="s">
        <v>16</v>
      </c>
      <c r="N916" s="35" t="s">
        <v>34</v>
      </c>
      <c r="O916" s="35" t="s">
        <v>26</v>
      </c>
      <c r="P916" s="35" t="s">
        <v>13</v>
      </c>
      <c r="Q916" s="35" t="s">
        <v>28</v>
      </c>
      <c r="R916" s="35" t="s">
        <v>15</v>
      </c>
      <c r="S916" s="35">
        <v>19465</v>
      </c>
      <c r="T916" s="81">
        <v>340</v>
      </c>
      <c r="U916" s="36">
        <v>19125</v>
      </c>
    </row>
    <row r="917" spans="1:21">
      <c r="A917" s="5">
        <v>119844</v>
      </c>
      <c r="B917" s="5" t="s">
        <v>10</v>
      </c>
      <c r="C917" s="5" t="s">
        <v>11</v>
      </c>
      <c r="D917" s="5" t="s">
        <v>30</v>
      </c>
      <c r="E917" s="5" t="s">
        <v>13</v>
      </c>
      <c r="F917" s="5" t="s">
        <v>14</v>
      </c>
      <c r="G917" s="5" t="s">
        <v>24</v>
      </c>
      <c r="H917" s="5">
        <v>65600</v>
      </c>
      <c r="I917" s="5">
        <v>2501</v>
      </c>
      <c r="J917" s="6">
        <f t="shared" si="14"/>
        <v>63099</v>
      </c>
      <c r="L917" s="31">
        <v>215322</v>
      </c>
      <c r="M917" s="32" t="s">
        <v>10</v>
      </c>
      <c r="N917" s="32" t="s">
        <v>20</v>
      </c>
      <c r="O917" s="32" t="s">
        <v>32</v>
      </c>
      <c r="P917" s="32" t="s">
        <v>19</v>
      </c>
      <c r="Q917" s="32" t="s">
        <v>28</v>
      </c>
      <c r="R917" s="32" t="s">
        <v>24</v>
      </c>
      <c r="S917" s="32">
        <v>821</v>
      </c>
      <c r="T917" s="80">
        <v>0</v>
      </c>
      <c r="U917" s="33">
        <v>821</v>
      </c>
    </row>
    <row r="918" spans="1:21">
      <c r="A918" s="5">
        <v>173864</v>
      </c>
      <c r="B918" s="5" t="s">
        <v>10</v>
      </c>
      <c r="C918" s="5" t="s">
        <v>22</v>
      </c>
      <c r="D918" s="5" t="s">
        <v>26</v>
      </c>
      <c r="E918" s="5" t="s">
        <v>19</v>
      </c>
      <c r="F918" s="5" t="s">
        <v>14</v>
      </c>
      <c r="G918" s="5" t="s">
        <v>24</v>
      </c>
      <c r="H918" s="5">
        <v>60941</v>
      </c>
      <c r="I918" s="5">
        <v>2146</v>
      </c>
      <c r="J918" s="6">
        <f t="shared" si="14"/>
        <v>58795</v>
      </c>
      <c r="L918" s="34">
        <v>234306</v>
      </c>
      <c r="M918" s="35" t="s">
        <v>16</v>
      </c>
      <c r="N918" s="35" t="s">
        <v>25</v>
      </c>
      <c r="O918" s="35" t="s">
        <v>30</v>
      </c>
      <c r="P918" s="35" t="s">
        <v>19</v>
      </c>
      <c r="Q918" s="35" t="s">
        <v>28</v>
      </c>
      <c r="R918" s="35" t="s">
        <v>15</v>
      </c>
      <c r="S918" s="35">
        <v>54942</v>
      </c>
      <c r="T918" s="81">
        <v>4936</v>
      </c>
      <c r="U918" s="36">
        <v>50006</v>
      </c>
    </row>
    <row r="919" spans="1:21">
      <c r="A919" s="5">
        <v>216383</v>
      </c>
      <c r="B919" s="5" t="s">
        <v>10</v>
      </c>
      <c r="C919" s="5" t="s">
        <v>34</v>
      </c>
      <c r="D919" s="5" t="s">
        <v>29</v>
      </c>
      <c r="E919" s="5" t="s">
        <v>13</v>
      </c>
      <c r="F919" s="5" t="s">
        <v>14</v>
      </c>
      <c r="G919" s="5" t="s">
        <v>15</v>
      </c>
      <c r="H919" s="5">
        <v>94472</v>
      </c>
      <c r="I919" s="5">
        <v>8991</v>
      </c>
      <c r="J919" s="6">
        <f t="shared" si="14"/>
        <v>85481</v>
      </c>
      <c r="L919" s="31">
        <v>208085</v>
      </c>
      <c r="M919" s="32" t="s">
        <v>10</v>
      </c>
      <c r="N919" s="32" t="s">
        <v>38</v>
      </c>
      <c r="O919" s="32" t="s">
        <v>32</v>
      </c>
      <c r="P919" s="32" t="s">
        <v>19</v>
      </c>
      <c r="Q919" s="32" t="s">
        <v>28</v>
      </c>
      <c r="R919" s="32" t="s">
        <v>24</v>
      </c>
      <c r="S919" s="32">
        <v>1681</v>
      </c>
      <c r="T919" s="80">
        <v>0</v>
      </c>
      <c r="U919" s="33">
        <v>1681</v>
      </c>
    </row>
    <row r="920" spans="1:21">
      <c r="A920" s="5">
        <v>9205</v>
      </c>
      <c r="B920" s="5" t="s">
        <v>10</v>
      </c>
      <c r="C920" s="5" t="s">
        <v>34</v>
      </c>
      <c r="D920" s="5" t="s">
        <v>36</v>
      </c>
      <c r="E920" s="5" t="s">
        <v>13</v>
      </c>
      <c r="F920" s="5" t="s">
        <v>14</v>
      </c>
      <c r="G920" s="5" t="s">
        <v>15</v>
      </c>
      <c r="H920" s="5">
        <v>77297</v>
      </c>
      <c r="I920" s="5">
        <v>1271</v>
      </c>
      <c r="J920" s="6">
        <f t="shared" si="14"/>
        <v>76026</v>
      </c>
      <c r="L920" s="34">
        <v>18299</v>
      </c>
      <c r="M920" s="35" t="s">
        <v>16</v>
      </c>
      <c r="N920" s="35" t="s">
        <v>11</v>
      </c>
      <c r="O920" s="35" t="s">
        <v>18</v>
      </c>
      <c r="P920" s="35" t="s">
        <v>13</v>
      </c>
      <c r="Q920" s="35" t="s">
        <v>28</v>
      </c>
      <c r="R920" s="35" t="s">
        <v>15</v>
      </c>
      <c r="S920" s="35">
        <v>22587</v>
      </c>
      <c r="T920" s="81">
        <v>704</v>
      </c>
      <c r="U920" s="36">
        <v>21883</v>
      </c>
    </row>
    <row r="921" spans="1:21">
      <c r="A921" s="5">
        <v>50965</v>
      </c>
      <c r="B921" s="5" t="s">
        <v>16</v>
      </c>
      <c r="C921" s="5" t="s">
        <v>35</v>
      </c>
      <c r="D921" s="5" t="s">
        <v>33</v>
      </c>
      <c r="E921" s="5" t="s">
        <v>13</v>
      </c>
      <c r="F921" s="5" t="s">
        <v>14</v>
      </c>
      <c r="G921" s="5" t="s">
        <v>15</v>
      </c>
      <c r="H921" s="5">
        <v>32763</v>
      </c>
      <c r="I921" s="5">
        <v>283</v>
      </c>
      <c r="J921" s="6">
        <f t="shared" si="14"/>
        <v>32480</v>
      </c>
      <c r="L921" s="31">
        <v>129342</v>
      </c>
      <c r="M921" s="32" t="s">
        <v>16</v>
      </c>
      <c r="N921" s="32" t="s">
        <v>22</v>
      </c>
      <c r="O921" s="32" t="s">
        <v>33</v>
      </c>
      <c r="P921" s="32" t="s">
        <v>19</v>
      </c>
      <c r="Q921" s="32" t="s">
        <v>28</v>
      </c>
      <c r="R921" s="32" t="s">
        <v>15</v>
      </c>
      <c r="S921" s="32">
        <v>59934</v>
      </c>
      <c r="T921" s="80">
        <v>184</v>
      </c>
      <c r="U921" s="33">
        <v>59750</v>
      </c>
    </row>
    <row r="922" spans="1:21">
      <c r="A922" s="5">
        <v>15545</v>
      </c>
      <c r="B922" s="5" t="s">
        <v>16</v>
      </c>
      <c r="C922" s="5" t="s">
        <v>11</v>
      </c>
      <c r="D922" s="5" t="s">
        <v>30</v>
      </c>
      <c r="E922" s="5" t="s">
        <v>13</v>
      </c>
      <c r="F922" s="5" t="s">
        <v>14</v>
      </c>
      <c r="G922" s="5" t="s">
        <v>15</v>
      </c>
      <c r="H922" s="5">
        <v>38194</v>
      </c>
      <c r="I922" s="5">
        <v>8101</v>
      </c>
      <c r="J922" s="6">
        <f t="shared" si="14"/>
        <v>30093</v>
      </c>
      <c r="L922" s="34">
        <v>187357</v>
      </c>
      <c r="M922" s="35" t="s">
        <v>10</v>
      </c>
      <c r="N922" s="35" t="s">
        <v>20</v>
      </c>
      <c r="O922" s="35" t="s">
        <v>32</v>
      </c>
      <c r="P922" s="35" t="s">
        <v>19</v>
      </c>
      <c r="Q922" s="35" t="s">
        <v>28</v>
      </c>
      <c r="R922" s="35" t="s">
        <v>24</v>
      </c>
      <c r="S922" s="35">
        <v>21706</v>
      </c>
      <c r="T922" s="81">
        <v>408</v>
      </c>
      <c r="U922" s="36">
        <v>21298</v>
      </c>
    </row>
    <row r="923" spans="1:21">
      <c r="A923" s="5">
        <v>47458</v>
      </c>
      <c r="B923" s="5" t="s">
        <v>10</v>
      </c>
      <c r="C923" s="5" t="s">
        <v>11</v>
      </c>
      <c r="D923" s="5" t="s">
        <v>32</v>
      </c>
      <c r="E923" s="5" t="s">
        <v>19</v>
      </c>
      <c r="F923" s="5" t="s">
        <v>14</v>
      </c>
      <c r="G923" s="5" t="s">
        <v>24</v>
      </c>
      <c r="H923" s="5">
        <v>19101</v>
      </c>
      <c r="I923" s="5">
        <v>0</v>
      </c>
      <c r="J923" s="6">
        <f t="shared" si="14"/>
        <v>19101</v>
      </c>
      <c r="L923" s="31">
        <v>129079</v>
      </c>
      <c r="M923" s="32" t="s">
        <v>10</v>
      </c>
      <c r="N923" s="32" t="s">
        <v>22</v>
      </c>
      <c r="O923" s="32" t="s">
        <v>26</v>
      </c>
      <c r="P923" s="32" t="s">
        <v>13</v>
      </c>
      <c r="Q923" s="32" t="s">
        <v>28</v>
      </c>
      <c r="R923" s="32" t="s">
        <v>24</v>
      </c>
      <c r="S923" s="32">
        <v>49545</v>
      </c>
      <c r="T923" s="80">
        <v>332</v>
      </c>
      <c r="U923" s="33">
        <v>49213</v>
      </c>
    </row>
    <row r="924" spans="1:21">
      <c r="A924" s="5">
        <v>43154</v>
      </c>
      <c r="B924" s="5" t="s">
        <v>16</v>
      </c>
      <c r="C924" s="5" t="s">
        <v>11</v>
      </c>
      <c r="D924" s="5" t="s">
        <v>30</v>
      </c>
      <c r="E924" s="5" t="s">
        <v>19</v>
      </c>
      <c r="F924" s="5" t="s">
        <v>14</v>
      </c>
      <c r="G924" s="5" t="s">
        <v>15</v>
      </c>
      <c r="H924" s="5">
        <v>71716</v>
      </c>
      <c r="I924" s="5">
        <v>2334</v>
      </c>
      <c r="J924" s="6">
        <f t="shared" si="14"/>
        <v>69382</v>
      </c>
      <c r="L924" s="34">
        <v>198184</v>
      </c>
      <c r="M924" s="35" t="s">
        <v>16</v>
      </c>
      <c r="N924" s="35" t="s">
        <v>20</v>
      </c>
      <c r="O924" s="35" t="s">
        <v>32</v>
      </c>
      <c r="P924" s="35" t="s">
        <v>19</v>
      </c>
      <c r="Q924" s="35" t="s">
        <v>28</v>
      </c>
      <c r="R924" s="35" t="s">
        <v>24</v>
      </c>
      <c r="S924" s="35">
        <v>901</v>
      </c>
      <c r="T924" s="81">
        <v>0</v>
      </c>
      <c r="U924" s="36">
        <v>901</v>
      </c>
    </row>
    <row r="925" spans="1:21">
      <c r="A925" s="5">
        <v>141693</v>
      </c>
      <c r="B925" s="5" t="s">
        <v>10</v>
      </c>
      <c r="C925" s="5" t="s">
        <v>31</v>
      </c>
      <c r="D925" s="5" t="s">
        <v>26</v>
      </c>
      <c r="E925" s="5" t="s">
        <v>19</v>
      </c>
      <c r="F925" s="5" t="s">
        <v>14</v>
      </c>
      <c r="G925" s="5" t="s">
        <v>24</v>
      </c>
      <c r="H925" s="5">
        <v>21626</v>
      </c>
      <c r="I925" s="5">
        <v>540</v>
      </c>
      <c r="J925" s="6">
        <f t="shared" si="14"/>
        <v>21086</v>
      </c>
      <c r="L925" s="31">
        <v>90415</v>
      </c>
      <c r="M925" s="32" t="s">
        <v>10</v>
      </c>
      <c r="N925" s="32" t="s">
        <v>20</v>
      </c>
      <c r="O925" s="32" t="s">
        <v>32</v>
      </c>
      <c r="P925" s="32" t="s">
        <v>19</v>
      </c>
      <c r="Q925" s="32" t="s">
        <v>28</v>
      </c>
      <c r="R925" s="32" t="s">
        <v>24</v>
      </c>
      <c r="S925" s="32">
        <v>736</v>
      </c>
      <c r="T925" s="80">
        <v>0</v>
      </c>
      <c r="U925" s="33">
        <v>736</v>
      </c>
    </row>
    <row r="926" spans="1:21">
      <c r="A926" s="5">
        <v>248962</v>
      </c>
      <c r="B926" s="5" t="s">
        <v>16</v>
      </c>
      <c r="C926" s="5" t="s">
        <v>25</v>
      </c>
      <c r="D926" s="5" t="s">
        <v>18</v>
      </c>
      <c r="E926" s="5" t="s">
        <v>13</v>
      </c>
      <c r="F926" s="5" t="s">
        <v>14</v>
      </c>
      <c r="G926" s="5" t="s">
        <v>15</v>
      </c>
      <c r="H926" s="5">
        <v>23782</v>
      </c>
      <c r="I926" s="5">
        <v>273</v>
      </c>
      <c r="J926" s="6">
        <f t="shared" si="14"/>
        <v>23509</v>
      </c>
      <c r="L926" s="34">
        <v>246530</v>
      </c>
      <c r="M926" s="35" t="s">
        <v>10</v>
      </c>
      <c r="N926" s="35" t="s">
        <v>25</v>
      </c>
      <c r="O926" s="35" t="s">
        <v>12</v>
      </c>
      <c r="P926" s="35" t="s">
        <v>19</v>
      </c>
      <c r="Q926" s="35" t="s">
        <v>28</v>
      </c>
      <c r="R926" s="35" t="s">
        <v>24</v>
      </c>
      <c r="S926" s="35">
        <v>33824</v>
      </c>
      <c r="T926" s="81">
        <v>281</v>
      </c>
      <c r="U926" s="36">
        <v>33543</v>
      </c>
    </row>
    <row r="927" spans="1:21">
      <c r="A927" s="5">
        <v>35604</v>
      </c>
      <c r="B927" s="5" t="s">
        <v>16</v>
      </c>
      <c r="C927" s="5" t="s">
        <v>35</v>
      </c>
      <c r="D927" s="5" t="s">
        <v>18</v>
      </c>
      <c r="E927" s="5" t="s">
        <v>19</v>
      </c>
      <c r="F927" s="5" t="s">
        <v>14</v>
      </c>
      <c r="G927" s="5" t="s">
        <v>24</v>
      </c>
      <c r="H927" s="5">
        <v>43570</v>
      </c>
      <c r="I927" s="5">
        <v>939</v>
      </c>
      <c r="J927" s="6">
        <f t="shared" si="14"/>
        <v>42631</v>
      </c>
      <c r="L927" s="31">
        <v>157053</v>
      </c>
      <c r="M927" s="32" t="s">
        <v>16</v>
      </c>
      <c r="N927" s="32" t="s">
        <v>25</v>
      </c>
      <c r="O927" s="32" t="s">
        <v>30</v>
      </c>
      <c r="P927" s="32" t="s">
        <v>13</v>
      </c>
      <c r="Q927" s="32" t="s">
        <v>28</v>
      </c>
      <c r="R927" s="32" t="s">
        <v>15</v>
      </c>
      <c r="S927" s="32">
        <v>85665</v>
      </c>
      <c r="T927" s="80">
        <v>2286</v>
      </c>
      <c r="U927" s="33">
        <v>83379</v>
      </c>
    </row>
    <row r="928" spans="1:21">
      <c r="A928" s="5">
        <v>234753</v>
      </c>
      <c r="B928" s="5" t="s">
        <v>16</v>
      </c>
      <c r="C928" s="5" t="s">
        <v>27</v>
      </c>
      <c r="D928" s="5" t="s">
        <v>12</v>
      </c>
      <c r="E928" s="5" t="s">
        <v>19</v>
      </c>
      <c r="F928" s="5" t="s">
        <v>14</v>
      </c>
      <c r="G928" s="5" t="s">
        <v>24</v>
      </c>
      <c r="H928" s="5">
        <v>25239</v>
      </c>
      <c r="I928" s="5">
        <v>431</v>
      </c>
      <c r="J928" s="6">
        <f t="shared" si="14"/>
        <v>24808</v>
      </c>
      <c r="L928" s="34">
        <v>223791</v>
      </c>
      <c r="M928" s="35" t="s">
        <v>10</v>
      </c>
      <c r="N928" s="35" t="s">
        <v>35</v>
      </c>
      <c r="O928" s="35" t="s">
        <v>29</v>
      </c>
      <c r="P928" s="35" t="s">
        <v>13</v>
      </c>
      <c r="Q928" s="35" t="s">
        <v>28</v>
      </c>
      <c r="R928" s="35" t="s">
        <v>15</v>
      </c>
      <c r="S928" s="35">
        <v>6260</v>
      </c>
      <c r="T928" s="81">
        <v>0</v>
      </c>
      <c r="U928" s="36">
        <v>6260</v>
      </c>
    </row>
    <row r="929" spans="1:21">
      <c r="A929" s="5">
        <v>221400</v>
      </c>
      <c r="B929" s="5" t="s">
        <v>16</v>
      </c>
      <c r="C929" s="5" t="s">
        <v>25</v>
      </c>
      <c r="D929" s="5" t="s">
        <v>33</v>
      </c>
      <c r="E929" s="5" t="s">
        <v>19</v>
      </c>
      <c r="F929" s="5" t="s">
        <v>14</v>
      </c>
      <c r="G929" s="5" t="s">
        <v>24</v>
      </c>
      <c r="H929" s="5">
        <v>53544</v>
      </c>
      <c r="I929" s="5">
        <v>1300</v>
      </c>
      <c r="J929" s="6">
        <f t="shared" si="14"/>
        <v>52244</v>
      </c>
      <c r="L929" s="31">
        <v>253327</v>
      </c>
      <c r="M929" s="32" t="s">
        <v>16</v>
      </c>
      <c r="N929" s="32" t="s">
        <v>25</v>
      </c>
      <c r="O929" s="32" t="s">
        <v>30</v>
      </c>
      <c r="P929" s="32" t="s">
        <v>13</v>
      </c>
      <c r="Q929" s="32" t="s">
        <v>28</v>
      </c>
      <c r="R929" s="32" t="s">
        <v>24</v>
      </c>
      <c r="S929" s="32">
        <v>45573</v>
      </c>
      <c r="T929" s="80">
        <v>27</v>
      </c>
      <c r="U929" s="33">
        <v>45546</v>
      </c>
    </row>
    <row r="930" spans="1:21">
      <c r="A930" s="5">
        <v>94204</v>
      </c>
      <c r="B930" s="5" t="s">
        <v>16</v>
      </c>
      <c r="C930" s="5" t="s">
        <v>37</v>
      </c>
      <c r="D930" s="5" t="s">
        <v>30</v>
      </c>
      <c r="E930" s="5" t="s">
        <v>13</v>
      </c>
      <c r="F930" s="5" t="s">
        <v>14</v>
      </c>
      <c r="G930" s="5" t="s">
        <v>15</v>
      </c>
      <c r="H930" s="5">
        <v>125466</v>
      </c>
      <c r="I930" s="5">
        <v>21075</v>
      </c>
      <c r="J930" s="6">
        <f t="shared" si="14"/>
        <v>104391</v>
      </c>
      <c r="L930" s="34">
        <v>22571</v>
      </c>
      <c r="M930" s="35" t="s">
        <v>16</v>
      </c>
      <c r="N930" s="35" t="s">
        <v>35</v>
      </c>
      <c r="O930" s="35" t="s">
        <v>12</v>
      </c>
      <c r="P930" s="35" t="s">
        <v>19</v>
      </c>
      <c r="Q930" s="35" t="s">
        <v>28</v>
      </c>
      <c r="R930" s="35" t="s">
        <v>15</v>
      </c>
      <c r="S930" s="35">
        <v>64514</v>
      </c>
      <c r="T930" s="81">
        <v>2548</v>
      </c>
      <c r="U930" s="36">
        <v>61966</v>
      </c>
    </row>
    <row r="931" spans="1:21">
      <c r="A931" s="5">
        <v>233508</v>
      </c>
      <c r="B931" s="5" t="s">
        <v>10</v>
      </c>
      <c r="C931" s="5" t="s">
        <v>17</v>
      </c>
      <c r="D931" s="5" t="s">
        <v>30</v>
      </c>
      <c r="E931" s="5" t="s">
        <v>19</v>
      </c>
      <c r="F931" s="5" t="s">
        <v>14</v>
      </c>
      <c r="G931" s="5" t="s">
        <v>24</v>
      </c>
      <c r="H931" s="5">
        <v>54503</v>
      </c>
      <c r="I931" s="5">
        <v>3353</v>
      </c>
      <c r="J931" s="6">
        <f t="shared" si="14"/>
        <v>51150</v>
      </c>
      <c r="L931" s="31">
        <v>131623</v>
      </c>
      <c r="M931" s="32" t="s">
        <v>16</v>
      </c>
      <c r="N931" s="32" t="s">
        <v>25</v>
      </c>
      <c r="O931" s="32" t="s">
        <v>23</v>
      </c>
      <c r="P931" s="32" t="s">
        <v>13</v>
      </c>
      <c r="Q931" s="32" t="s">
        <v>28</v>
      </c>
      <c r="R931" s="32" t="s">
        <v>24</v>
      </c>
      <c r="S931" s="32">
        <v>40486</v>
      </c>
      <c r="T931" s="80">
        <v>161</v>
      </c>
      <c r="U931" s="33">
        <v>40325</v>
      </c>
    </row>
    <row r="932" spans="1:21">
      <c r="A932" s="5">
        <v>60482</v>
      </c>
      <c r="B932" s="5" t="s">
        <v>16</v>
      </c>
      <c r="C932" s="5" t="s">
        <v>35</v>
      </c>
      <c r="D932" s="5" t="s">
        <v>12</v>
      </c>
      <c r="E932" s="5" t="s">
        <v>19</v>
      </c>
      <c r="F932" s="5" t="s">
        <v>14</v>
      </c>
      <c r="G932" s="5" t="s">
        <v>15</v>
      </c>
      <c r="H932" s="5">
        <v>57941</v>
      </c>
      <c r="I932" s="5">
        <v>804</v>
      </c>
      <c r="J932" s="6">
        <f t="shared" si="14"/>
        <v>57137</v>
      </c>
      <c r="L932" s="34">
        <v>254142</v>
      </c>
      <c r="M932" s="35" t="s">
        <v>10</v>
      </c>
      <c r="N932" s="35" t="s">
        <v>25</v>
      </c>
      <c r="O932" s="35" t="s">
        <v>21</v>
      </c>
      <c r="P932" s="35" t="s">
        <v>13</v>
      </c>
      <c r="Q932" s="35" t="s">
        <v>28</v>
      </c>
      <c r="R932" s="35" t="s">
        <v>24</v>
      </c>
      <c r="S932" s="35">
        <v>45130</v>
      </c>
      <c r="T932" s="81">
        <v>2348</v>
      </c>
      <c r="U932" s="36">
        <v>42782</v>
      </c>
    </row>
    <row r="933" spans="1:21">
      <c r="A933" s="5">
        <v>78884</v>
      </c>
      <c r="B933" s="5" t="s">
        <v>10</v>
      </c>
      <c r="C933" s="5" t="s">
        <v>39</v>
      </c>
      <c r="D933" s="5" t="s">
        <v>32</v>
      </c>
      <c r="E933" s="5" t="s">
        <v>13</v>
      </c>
      <c r="F933" s="5" t="s">
        <v>14</v>
      </c>
      <c r="G933" s="5" t="s">
        <v>15</v>
      </c>
      <c r="H933" s="5">
        <v>10740</v>
      </c>
      <c r="I933" s="5">
        <v>0</v>
      </c>
      <c r="J933" s="6">
        <f t="shared" si="14"/>
        <v>10740</v>
      </c>
      <c r="L933" s="31">
        <v>227145</v>
      </c>
      <c r="M933" s="32" t="s">
        <v>10</v>
      </c>
      <c r="N933" s="32" t="s">
        <v>17</v>
      </c>
      <c r="O933" s="32" t="s">
        <v>26</v>
      </c>
      <c r="P933" s="32" t="s">
        <v>19</v>
      </c>
      <c r="Q933" s="32" t="s">
        <v>28</v>
      </c>
      <c r="R933" s="32" t="s">
        <v>24</v>
      </c>
      <c r="S933" s="32">
        <v>52340</v>
      </c>
      <c r="T933" s="80">
        <v>4056</v>
      </c>
      <c r="U933" s="33">
        <v>48284</v>
      </c>
    </row>
    <row r="934" spans="1:21">
      <c r="A934" s="5">
        <v>30831</v>
      </c>
      <c r="B934" s="5" t="s">
        <v>10</v>
      </c>
      <c r="C934" s="5" t="s">
        <v>11</v>
      </c>
      <c r="D934" s="5" t="s">
        <v>30</v>
      </c>
      <c r="E934" s="5" t="s">
        <v>13</v>
      </c>
      <c r="F934" s="5" t="s">
        <v>14</v>
      </c>
      <c r="G934" s="5" t="s">
        <v>15</v>
      </c>
      <c r="H934" s="5">
        <v>157614</v>
      </c>
      <c r="I934" s="5">
        <v>374</v>
      </c>
      <c r="J934" s="6">
        <f t="shared" si="14"/>
        <v>157240</v>
      </c>
      <c r="L934" s="34">
        <v>31299</v>
      </c>
      <c r="M934" s="35" t="s">
        <v>16</v>
      </c>
      <c r="N934" s="35" t="s">
        <v>20</v>
      </c>
      <c r="O934" s="35" t="s">
        <v>32</v>
      </c>
      <c r="P934" s="35" t="s">
        <v>19</v>
      </c>
      <c r="Q934" s="35" t="s">
        <v>28</v>
      </c>
      <c r="R934" s="35" t="s">
        <v>24</v>
      </c>
      <c r="S934" s="35">
        <v>499</v>
      </c>
      <c r="T934" s="81">
        <v>0</v>
      </c>
      <c r="U934" s="36">
        <v>499</v>
      </c>
    </row>
    <row r="935" spans="1:21">
      <c r="A935" s="5">
        <v>234758</v>
      </c>
      <c r="B935" s="5" t="s">
        <v>16</v>
      </c>
      <c r="C935" s="5" t="s">
        <v>17</v>
      </c>
      <c r="D935" s="5" t="s">
        <v>30</v>
      </c>
      <c r="E935" s="5" t="s">
        <v>19</v>
      </c>
      <c r="F935" s="5" t="s">
        <v>28</v>
      </c>
      <c r="G935" s="5" t="s">
        <v>15</v>
      </c>
      <c r="H935" s="5">
        <v>11580</v>
      </c>
      <c r="I935" s="5">
        <v>0</v>
      </c>
      <c r="J935" s="6">
        <f t="shared" si="14"/>
        <v>11580</v>
      </c>
      <c r="L935" s="31">
        <v>200015</v>
      </c>
      <c r="M935" s="32" t="s">
        <v>10</v>
      </c>
      <c r="N935" s="32" t="s">
        <v>37</v>
      </c>
      <c r="O935" s="32" t="s">
        <v>12</v>
      </c>
      <c r="P935" s="32" t="s">
        <v>13</v>
      </c>
      <c r="Q935" s="32" t="s">
        <v>28</v>
      </c>
      <c r="R935" s="32" t="s">
        <v>15</v>
      </c>
      <c r="S935" s="32">
        <v>169967</v>
      </c>
      <c r="T935" s="80">
        <v>5465</v>
      </c>
      <c r="U935" s="33">
        <v>164502</v>
      </c>
    </row>
    <row r="936" spans="1:21">
      <c r="A936" s="5">
        <v>170323</v>
      </c>
      <c r="B936" s="5" t="s">
        <v>10</v>
      </c>
      <c r="C936" s="5" t="s">
        <v>17</v>
      </c>
      <c r="D936" s="5" t="s">
        <v>29</v>
      </c>
      <c r="E936" s="5" t="s">
        <v>19</v>
      </c>
      <c r="F936" s="5" t="s">
        <v>14</v>
      </c>
      <c r="G936" s="5" t="s">
        <v>24</v>
      </c>
      <c r="H936" s="5">
        <v>42571</v>
      </c>
      <c r="I936" s="5">
        <v>418</v>
      </c>
      <c r="J936" s="6">
        <f t="shared" si="14"/>
        <v>42153</v>
      </c>
      <c r="L936" s="34">
        <v>82555</v>
      </c>
      <c r="M936" s="35" t="s">
        <v>16</v>
      </c>
      <c r="N936" s="35" t="s">
        <v>34</v>
      </c>
      <c r="O936" s="35" t="s">
        <v>18</v>
      </c>
      <c r="P936" s="35" t="s">
        <v>19</v>
      </c>
      <c r="Q936" s="35" t="s">
        <v>28</v>
      </c>
      <c r="R936" s="35" t="s">
        <v>24</v>
      </c>
      <c r="S936" s="35">
        <v>40466</v>
      </c>
      <c r="T936" s="81">
        <v>795</v>
      </c>
      <c r="U936" s="36">
        <v>39671</v>
      </c>
    </row>
    <row r="937" spans="1:21">
      <c r="A937" s="5">
        <v>169245</v>
      </c>
      <c r="B937" s="5" t="s">
        <v>10</v>
      </c>
      <c r="C937" s="5" t="s">
        <v>34</v>
      </c>
      <c r="D937" s="5" t="s">
        <v>30</v>
      </c>
      <c r="E937" s="5" t="s">
        <v>13</v>
      </c>
      <c r="F937" s="5" t="s">
        <v>14</v>
      </c>
      <c r="G937" s="5" t="s">
        <v>15</v>
      </c>
      <c r="H937" s="5">
        <v>270704</v>
      </c>
      <c r="I937" s="5">
        <v>1041</v>
      </c>
      <c r="J937" s="6">
        <f t="shared" si="14"/>
        <v>269663</v>
      </c>
      <c r="L937" s="31">
        <v>7284</v>
      </c>
      <c r="M937" s="32" t="s">
        <v>16</v>
      </c>
      <c r="N937" s="32" t="s">
        <v>38</v>
      </c>
      <c r="O937" s="32" t="s">
        <v>32</v>
      </c>
      <c r="P937" s="32" t="s">
        <v>19</v>
      </c>
      <c r="Q937" s="32" t="s">
        <v>28</v>
      </c>
      <c r="R937" s="32" t="s">
        <v>24</v>
      </c>
      <c r="S937" s="32">
        <v>560</v>
      </c>
      <c r="T937" s="80">
        <v>0</v>
      </c>
      <c r="U937" s="33">
        <v>560</v>
      </c>
    </row>
    <row r="938" spans="1:21">
      <c r="A938" s="5">
        <v>251462</v>
      </c>
      <c r="B938" s="5" t="s">
        <v>16</v>
      </c>
      <c r="C938" s="5" t="s">
        <v>17</v>
      </c>
      <c r="D938" s="5" t="s">
        <v>21</v>
      </c>
      <c r="E938" s="5" t="s">
        <v>19</v>
      </c>
      <c r="F938" s="5" t="s">
        <v>14</v>
      </c>
      <c r="G938" s="5" t="s">
        <v>24</v>
      </c>
      <c r="H938" s="5">
        <v>30678</v>
      </c>
      <c r="I938" s="5">
        <v>280</v>
      </c>
      <c r="J938" s="6">
        <f t="shared" si="14"/>
        <v>30398</v>
      </c>
      <c r="L938" s="34">
        <v>151875</v>
      </c>
      <c r="M938" s="35" t="s">
        <v>10</v>
      </c>
      <c r="N938" s="35" t="s">
        <v>22</v>
      </c>
      <c r="O938" s="35" t="s">
        <v>26</v>
      </c>
      <c r="P938" s="35" t="s">
        <v>13</v>
      </c>
      <c r="Q938" s="35" t="s">
        <v>28</v>
      </c>
      <c r="R938" s="35" t="s">
        <v>24</v>
      </c>
      <c r="S938" s="35">
        <v>79168</v>
      </c>
      <c r="T938" s="81">
        <v>1895</v>
      </c>
      <c r="U938" s="36">
        <v>77273</v>
      </c>
    </row>
    <row r="939" spans="1:21">
      <c r="A939" s="5">
        <v>164027</v>
      </c>
      <c r="B939" s="5" t="s">
        <v>10</v>
      </c>
      <c r="C939" s="5" t="s">
        <v>31</v>
      </c>
      <c r="D939" s="5" t="s">
        <v>36</v>
      </c>
      <c r="E939" s="5" t="s">
        <v>19</v>
      </c>
      <c r="F939" s="5" t="s">
        <v>14</v>
      </c>
      <c r="G939" s="5" t="s">
        <v>15</v>
      </c>
      <c r="H939" s="5">
        <v>5685</v>
      </c>
      <c r="I939" s="5">
        <v>0</v>
      </c>
      <c r="J939" s="6">
        <f t="shared" si="14"/>
        <v>5685</v>
      </c>
      <c r="L939" s="31">
        <v>89513</v>
      </c>
      <c r="M939" s="32" t="s">
        <v>10</v>
      </c>
      <c r="N939" s="32" t="s">
        <v>38</v>
      </c>
      <c r="O939" s="32" t="s">
        <v>32</v>
      </c>
      <c r="P939" s="32" t="s">
        <v>19</v>
      </c>
      <c r="Q939" s="32" t="s">
        <v>28</v>
      </c>
      <c r="R939" s="32" t="s">
        <v>24</v>
      </c>
      <c r="S939" s="32">
        <v>19087</v>
      </c>
      <c r="T939" s="80">
        <v>0</v>
      </c>
      <c r="U939" s="33">
        <v>19087</v>
      </c>
    </row>
    <row r="940" spans="1:21">
      <c r="A940" s="5">
        <v>101893</v>
      </c>
      <c r="B940" s="5" t="s">
        <v>16</v>
      </c>
      <c r="C940" s="5" t="s">
        <v>11</v>
      </c>
      <c r="D940" s="5" t="s">
        <v>33</v>
      </c>
      <c r="E940" s="5" t="s">
        <v>13</v>
      </c>
      <c r="F940" s="5" t="s">
        <v>28</v>
      </c>
      <c r="G940" s="5" t="s">
        <v>15</v>
      </c>
      <c r="H940" s="5">
        <v>24192</v>
      </c>
      <c r="I940" s="5">
        <v>2178</v>
      </c>
      <c r="J940" s="6">
        <f t="shared" si="14"/>
        <v>22014</v>
      </c>
      <c r="L940" s="34">
        <v>161513</v>
      </c>
      <c r="M940" s="35" t="s">
        <v>10</v>
      </c>
      <c r="N940" s="35" t="s">
        <v>25</v>
      </c>
      <c r="O940" s="35" t="s">
        <v>30</v>
      </c>
      <c r="P940" s="35" t="s">
        <v>13</v>
      </c>
      <c r="Q940" s="35" t="s">
        <v>28</v>
      </c>
      <c r="R940" s="35" t="s">
        <v>15</v>
      </c>
      <c r="S940" s="35">
        <v>24109</v>
      </c>
      <c r="T940" s="81">
        <v>2931</v>
      </c>
      <c r="U940" s="36">
        <v>21178</v>
      </c>
    </row>
    <row r="941" spans="1:21">
      <c r="A941" s="5">
        <v>4402</v>
      </c>
      <c r="B941" s="5" t="s">
        <v>10</v>
      </c>
      <c r="C941" s="5" t="s">
        <v>37</v>
      </c>
      <c r="D941" s="5" t="s">
        <v>12</v>
      </c>
      <c r="E941" s="5" t="s">
        <v>13</v>
      </c>
      <c r="F941" s="5" t="s">
        <v>14</v>
      </c>
      <c r="G941" s="5" t="s">
        <v>15</v>
      </c>
      <c r="H941" s="5">
        <v>19208</v>
      </c>
      <c r="I941" s="5">
        <v>415</v>
      </c>
      <c r="J941" s="6">
        <f t="shared" si="14"/>
        <v>18793</v>
      </c>
      <c r="L941" s="31">
        <v>193943</v>
      </c>
      <c r="M941" s="32" t="s">
        <v>16</v>
      </c>
      <c r="N941" s="32" t="s">
        <v>11</v>
      </c>
      <c r="O941" s="32" t="s">
        <v>33</v>
      </c>
      <c r="P941" s="32" t="s">
        <v>19</v>
      </c>
      <c r="Q941" s="32" t="s">
        <v>28</v>
      </c>
      <c r="R941" s="32" t="s">
        <v>15</v>
      </c>
      <c r="S941" s="32">
        <v>74283</v>
      </c>
      <c r="T941" s="80">
        <v>552</v>
      </c>
      <c r="U941" s="33">
        <v>73731</v>
      </c>
    </row>
    <row r="942" spans="1:21">
      <c r="A942" s="5">
        <v>193301</v>
      </c>
      <c r="B942" s="5" t="s">
        <v>10</v>
      </c>
      <c r="C942" s="5" t="s">
        <v>34</v>
      </c>
      <c r="D942" s="5" t="s">
        <v>12</v>
      </c>
      <c r="E942" s="5" t="s">
        <v>19</v>
      </c>
      <c r="F942" s="5" t="s">
        <v>14</v>
      </c>
      <c r="G942" s="5" t="s">
        <v>15</v>
      </c>
      <c r="H942" s="5">
        <v>78412</v>
      </c>
      <c r="I942" s="5">
        <v>270</v>
      </c>
      <c r="J942" s="6">
        <f t="shared" si="14"/>
        <v>78142</v>
      </c>
      <c r="L942" s="34">
        <v>147549</v>
      </c>
      <c r="M942" s="35" t="s">
        <v>10</v>
      </c>
      <c r="N942" s="35" t="s">
        <v>31</v>
      </c>
      <c r="O942" s="35" t="s">
        <v>23</v>
      </c>
      <c r="P942" s="35" t="s">
        <v>19</v>
      </c>
      <c r="Q942" s="35" t="s">
        <v>28</v>
      </c>
      <c r="R942" s="35" t="s">
        <v>24</v>
      </c>
      <c r="S942" s="35">
        <v>27072</v>
      </c>
      <c r="T942" s="81">
        <v>661</v>
      </c>
      <c r="U942" s="36">
        <v>26411</v>
      </c>
    </row>
    <row r="943" spans="1:21">
      <c r="A943" s="5">
        <v>253979</v>
      </c>
      <c r="B943" s="5" t="s">
        <v>10</v>
      </c>
      <c r="C943" s="5" t="s">
        <v>17</v>
      </c>
      <c r="D943" s="5" t="s">
        <v>26</v>
      </c>
      <c r="E943" s="5" t="s">
        <v>19</v>
      </c>
      <c r="F943" s="5" t="s">
        <v>14</v>
      </c>
      <c r="G943" s="5" t="s">
        <v>24</v>
      </c>
      <c r="H943" s="5">
        <v>87780</v>
      </c>
      <c r="I943" s="5">
        <v>4598</v>
      </c>
      <c r="J943" s="6">
        <f t="shared" si="14"/>
        <v>83182</v>
      </c>
      <c r="L943" s="31">
        <v>39252</v>
      </c>
      <c r="M943" s="32" t="s">
        <v>16</v>
      </c>
      <c r="N943" s="32" t="s">
        <v>37</v>
      </c>
      <c r="O943" s="32" t="s">
        <v>33</v>
      </c>
      <c r="P943" s="32" t="s">
        <v>13</v>
      </c>
      <c r="Q943" s="32" t="s">
        <v>28</v>
      </c>
      <c r="R943" s="32" t="s">
        <v>15</v>
      </c>
      <c r="S943" s="32">
        <v>71534</v>
      </c>
      <c r="T943" s="80">
        <v>1001</v>
      </c>
      <c r="U943" s="33">
        <v>70533</v>
      </c>
    </row>
    <row r="944" spans="1:21">
      <c r="A944" s="5">
        <v>122342</v>
      </c>
      <c r="B944" s="5" t="s">
        <v>10</v>
      </c>
      <c r="C944" s="5" t="s">
        <v>22</v>
      </c>
      <c r="D944" s="5" t="s">
        <v>23</v>
      </c>
      <c r="E944" s="5" t="s">
        <v>19</v>
      </c>
      <c r="F944" s="5" t="s">
        <v>28</v>
      </c>
      <c r="G944" s="5" t="s">
        <v>15</v>
      </c>
      <c r="H944" s="5">
        <v>82842</v>
      </c>
      <c r="I944" s="5">
        <v>22459</v>
      </c>
      <c r="J944" s="6">
        <f t="shared" si="14"/>
        <v>60383</v>
      </c>
      <c r="L944" s="34">
        <v>249239</v>
      </c>
      <c r="M944" s="35" t="s">
        <v>10</v>
      </c>
      <c r="N944" s="35" t="s">
        <v>17</v>
      </c>
      <c r="O944" s="35" t="s">
        <v>33</v>
      </c>
      <c r="P944" s="35" t="s">
        <v>19</v>
      </c>
      <c r="Q944" s="35" t="s">
        <v>28</v>
      </c>
      <c r="R944" s="35" t="s">
        <v>15</v>
      </c>
      <c r="S944" s="35">
        <v>39258</v>
      </c>
      <c r="T944" s="81">
        <v>0</v>
      </c>
      <c r="U944" s="36">
        <v>39258</v>
      </c>
    </row>
    <row r="945" spans="1:21">
      <c r="A945" s="5">
        <v>72789</v>
      </c>
      <c r="B945" s="5" t="s">
        <v>16</v>
      </c>
      <c r="C945" s="5" t="s">
        <v>35</v>
      </c>
      <c r="D945" s="5" t="s">
        <v>32</v>
      </c>
      <c r="E945" s="5" t="s">
        <v>19</v>
      </c>
      <c r="F945" s="5" t="s">
        <v>14</v>
      </c>
      <c r="G945" s="5" t="s">
        <v>24</v>
      </c>
      <c r="H945" s="5">
        <v>619</v>
      </c>
      <c r="I945" s="5">
        <v>0</v>
      </c>
      <c r="J945" s="6">
        <f t="shared" si="14"/>
        <v>619</v>
      </c>
      <c r="L945" s="31">
        <v>154205</v>
      </c>
      <c r="M945" s="32" t="s">
        <v>10</v>
      </c>
      <c r="N945" s="32" t="s">
        <v>22</v>
      </c>
      <c r="O945" s="32" t="s">
        <v>30</v>
      </c>
      <c r="P945" s="32" t="s">
        <v>13</v>
      </c>
      <c r="Q945" s="32" t="s">
        <v>28</v>
      </c>
      <c r="R945" s="32" t="s">
        <v>15</v>
      </c>
      <c r="S945" s="32">
        <v>82987</v>
      </c>
      <c r="T945" s="80">
        <v>2399</v>
      </c>
      <c r="U945" s="33">
        <v>80588</v>
      </c>
    </row>
    <row r="946" spans="1:21">
      <c r="A946" s="5">
        <v>243444</v>
      </c>
      <c r="B946" s="5" t="s">
        <v>16</v>
      </c>
      <c r="C946" s="5" t="s">
        <v>17</v>
      </c>
      <c r="D946" s="5" t="s">
        <v>33</v>
      </c>
      <c r="E946" s="5" t="s">
        <v>19</v>
      </c>
      <c r="F946" s="5" t="s">
        <v>28</v>
      </c>
      <c r="G946" s="5" t="s">
        <v>24</v>
      </c>
      <c r="H946" s="5">
        <v>39749</v>
      </c>
      <c r="I946" s="5">
        <v>0</v>
      </c>
      <c r="J946" s="6">
        <f t="shared" si="14"/>
        <v>39749</v>
      </c>
      <c r="L946" s="34">
        <v>125591</v>
      </c>
      <c r="M946" s="35" t="s">
        <v>16</v>
      </c>
      <c r="N946" s="35" t="s">
        <v>17</v>
      </c>
      <c r="O946" s="35" t="s">
        <v>33</v>
      </c>
      <c r="P946" s="35" t="s">
        <v>19</v>
      </c>
      <c r="Q946" s="35" t="s">
        <v>28</v>
      </c>
      <c r="R946" s="35" t="s">
        <v>24</v>
      </c>
      <c r="S946" s="35">
        <v>34294</v>
      </c>
      <c r="T946" s="81">
        <v>1076</v>
      </c>
      <c r="U946" s="36">
        <v>33218</v>
      </c>
    </row>
    <row r="947" spans="1:21">
      <c r="A947" s="5">
        <v>39919</v>
      </c>
      <c r="B947" s="5" t="s">
        <v>16</v>
      </c>
      <c r="C947" s="5" t="s">
        <v>35</v>
      </c>
      <c r="D947" s="5" t="s">
        <v>23</v>
      </c>
      <c r="E947" s="5" t="s">
        <v>13</v>
      </c>
      <c r="F947" s="5" t="s">
        <v>14</v>
      </c>
      <c r="G947" s="5" t="s">
        <v>15</v>
      </c>
      <c r="H947" s="5">
        <v>14397</v>
      </c>
      <c r="I947" s="5">
        <v>0</v>
      </c>
      <c r="J947" s="6">
        <f t="shared" si="14"/>
        <v>14397</v>
      </c>
      <c r="L947" s="31">
        <v>251449</v>
      </c>
      <c r="M947" s="32" t="s">
        <v>10</v>
      </c>
      <c r="N947" s="32" t="s">
        <v>17</v>
      </c>
      <c r="O947" s="32" t="s">
        <v>29</v>
      </c>
      <c r="P947" s="32" t="s">
        <v>19</v>
      </c>
      <c r="Q947" s="32" t="s">
        <v>28</v>
      </c>
      <c r="R947" s="32" t="s">
        <v>24</v>
      </c>
      <c r="S947" s="32">
        <v>36272</v>
      </c>
      <c r="T947" s="80">
        <v>507</v>
      </c>
      <c r="U947" s="33">
        <v>35765</v>
      </c>
    </row>
    <row r="948" spans="1:21">
      <c r="A948" s="5">
        <v>185076</v>
      </c>
      <c r="B948" s="5" t="s">
        <v>16</v>
      </c>
      <c r="C948" s="5" t="s">
        <v>11</v>
      </c>
      <c r="D948" s="5" t="s">
        <v>26</v>
      </c>
      <c r="E948" s="5" t="s">
        <v>13</v>
      </c>
      <c r="F948" s="5" t="s">
        <v>14</v>
      </c>
      <c r="G948" s="5" t="s">
        <v>24</v>
      </c>
      <c r="H948" s="5">
        <v>9974</v>
      </c>
      <c r="I948" s="5">
        <v>320</v>
      </c>
      <c r="J948" s="6">
        <f t="shared" si="14"/>
        <v>9654</v>
      </c>
      <c r="L948" s="34">
        <v>71684</v>
      </c>
      <c r="M948" s="35" t="s">
        <v>16</v>
      </c>
      <c r="N948" s="35" t="s">
        <v>11</v>
      </c>
      <c r="O948" s="35" t="s">
        <v>33</v>
      </c>
      <c r="P948" s="35" t="s">
        <v>13</v>
      </c>
      <c r="Q948" s="35" t="s">
        <v>28</v>
      </c>
      <c r="R948" s="35" t="s">
        <v>15</v>
      </c>
      <c r="S948" s="35">
        <v>15685</v>
      </c>
      <c r="T948" s="81">
        <v>55</v>
      </c>
      <c r="U948" s="36">
        <v>15630</v>
      </c>
    </row>
    <row r="949" spans="1:21">
      <c r="A949" s="5">
        <v>115494</v>
      </c>
      <c r="B949" s="5" t="s">
        <v>10</v>
      </c>
      <c r="C949" s="5" t="s">
        <v>25</v>
      </c>
      <c r="D949" s="5" t="s">
        <v>30</v>
      </c>
      <c r="E949" s="5" t="s">
        <v>19</v>
      </c>
      <c r="F949" s="5" t="s">
        <v>14</v>
      </c>
      <c r="G949" s="5" t="s">
        <v>15</v>
      </c>
      <c r="H949" s="5">
        <v>52533</v>
      </c>
      <c r="I949" s="5">
        <v>2855</v>
      </c>
      <c r="J949" s="6">
        <f t="shared" si="14"/>
        <v>49678</v>
      </c>
      <c r="L949" s="31">
        <v>178749</v>
      </c>
      <c r="M949" s="32" t="s">
        <v>16</v>
      </c>
      <c r="N949" s="32" t="s">
        <v>17</v>
      </c>
      <c r="O949" s="32" t="s">
        <v>33</v>
      </c>
      <c r="P949" s="32" t="s">
        <v>19</v>
      </c>
      <c r="Q949" s="32" t="s">
        <v>28</v>
      </c>
      <c r="R949" s="32" t="s">
        <v>24</v>
      </c>
      <c r="S949" s="32">
        <v>21889</v>
      </c>
      <c r="T949" s="80">
        <v>0</v>
      </c>
      <c r="U949" s="33">
        <v>21889</v>
      </c>
    </row>
    <row r="950" spans="1:21">
      <c r="A950" s="5">
        <v>233072</v>
      </c>
      <c r="B950" s="5" t="s">
        <v>10</v>
      </c>
      <c r="C950" s="5" t="s">
        <v>25</v>
      </c>
      <c r="D950" s="5" t="s">
        <v>32</v>
      </c>
      <c r="E950" s="5" t="s">
        <v>19</v>
      </c>
      <c r="F950" s="5" t="s">
        <v>14</v>
      </c>
      <c r="G950" s="5" t="s">
        <v>24</v>
      </c>
      <c r="H950" s="5">
        <v>7</v>
      </c>
      <c r="I950" s="5">
        <v>0</v>
      </c>
      <c r="J950" s="6">
        <f t="shared" si="14"/>
        <v>7</v>
      </c>
      <c r="L950" s="34">
        <v>34593</v>
      </c>
      <c r="M950" s="35" t="s">
        <v>10</v>
      </c>
      <c r="N950" s="35" t="s">
        <v>35</v>
      </c>
      <c r="O950" s="35" t="s">
        <v>30</v>
      </c>
      <c r="P950" s="35" t="s">
        <v>13</v>
      </c>
      <c r="Q950" s="35" t="s">
        <v>28</v>
      </c>
      <c r="R950" s="35" t="s">
        <v>15</v>
      </c>
      <c r="S950" s="35">
        <v>102932</v>
      </c>
      <c r="T950" s="81">
        <v>3460</v>
      </c>
      <c r="U950" s="36">
        <v>99472</v>
      </c>
    </row>
    <row r="951" spans="1:21">
      <c r="A951" s="5">
        <v>110529</v>
      </c>
      <c r="B951" s="5" t="s">
        <v>16</v>
      </c>
      <c r="C951" s="5" t="s">
        <v>27</v>
      </c>
      <c r="D951" s="5" t="s">
        <v>36</v>
      </c>
      <c r="E951" s="5" t="s">
        <v>19</v>
      </c>
      <c r="F951" s="5" t="s">
        <v>14</v>
      </c>
      <c r="G951" s="5" t="s">
        <v>24</v>
      </c>
      <c r="H951" s="5">
        <v>11043</v>
      </c>
      <c r="I951" s="5">
        <v>0</v>
      </c>
      <c r="J951" s="6">
        <f t="shared" si="14"/>
        <v>11043</v>
      </c>
      <c r="L951" s="31">
        <v>177538</v>
      </c>
      <c r="M951" s="32" t="s">
        <v>16</v>
      </c>
      <c r="N951" s="32" t="s">
        <v>25</v>
      </c>
      <c r="O951" s="32" t="s">
        <v>30</v>
      </c>
      <c r="P951" s="32" t="s">
        <v>19</v>
      </c>
      <c r="Q951" s="32" t="s">
        <v>28</v>
      </c>
      <c r="R951" s="32" t="s">
        <v>15</v>
      </c>
      <c r="S951" s="32">
        <v>30531</v>
      </c>
      <c r="T951" s="80">
        <v>0</v>
      </c>
      <c r="U951" s="33">
        <v>30531</v>
      </c>
    </row>
    <row r="952" spans="1:21">
      <c r="A952" s="5">
        <v>13459</v>
      </c>
      <c r="B952" s="5" t="s">
        <v>16</v>
      </c>
      <c r="C952" s="5" t="s">
        <v>37</v>
      </c>
      <c r="D952" s="5" t="s">
        <v>32</v>
      </c>
      <c r="E952" s="5" t="s">
        <v>13</v>
      </c>
      <c r="F952" s="5" t="s">
        <v>14</v>
      </c>
      <c r="G952" s="5" t="s">
        <v>15</v>
      </c>
      <c r="H952" s="5">
        <v>15365</v>
      </c>
      <c r="I952" s="5">
        <v>202</v>
      </c>
      <c r="J952" s="6">
        <f t="shared" si="14"/>
        <v>15163</v>
      </c>
      <c r="L952" s="34">
        <v>227196</v>
      </c>
      <c r="M952" s="35" t="s">
        <v>10</v>
      </c>
      <c r="N952" s="35" t="s">
        <v>25</v>
      </c>
      <c r="O952" s="35" t="s">
        <v>26</v>
      </c>
      <c r="P952" s="35" t="s">
        <v>19</v>
      </c>
      <c r="Q952" s="35" t="s">
        <v>28</v>
      </c>
      <c r="R952" s="35" t="s">
        <v>24</v>
      </c>
      <c r="S952" s="35">
        <v>42950</v>
      </c>
      <c r="T952" s="81">
        <v>0</v>
      </c>
      <c r="U952" s="36">
        <v>42950</v>
      </c>
    </row>
    <row r="953" spans="1:21">
      <c r="A953" s="5">
        <v>201966</v>
      </c>
      <c r="B953" s="5" t="s">
        <v>10</v>
      </c>
      <c r="C953" s="5" t="s">
        <v>38</v>
      </c>
      <c r="D953" s="5" t="s">
        <v>21</v>
      </c>
      <c r="E953" s="5" t="s">
        <v>13</v>
      </c>
      <c r="F953" s="5" t="s">
        <v>14</v>
      </c>
      <c r="G953" s="5" t="s">
        <v>15</v>
      </c>
      <c r="H953" s="5">
        <v>36458</v>
      </c>
      <c r="I953" s="5">
        <v>4209</v>
      </c>
      <c r="J953" s="6">
        <f t="shared" si="14"/>
        <v>32249</v>
      </c>
      <c r="L953" s="31">
        <v>134449</v>
      </c>
      <c r="M953" s="32" t="s">
        <v>16</v>
      </c>
      <c r="N953" s="32" t="s">
        <v>22</v>
      </c>
      <c r="O953" s="32" t="s">
        <v>30</v>
      </c>
      <c r="P953" s="32" t="s">
        <v>13</v>
      </c>
      <c r="Q953" s="32" t="s">
        <v>28</v>
      </c>
      <c r="R953" s="32" t="s">
        <v>15</v>
      </c>
      <c r="S953" s="32">
        <v>47729</v>
      </c>
      <c r="T953" s="80">
        <v>0</v>
      </c>
      <c r="U953" s="33">
        <v>47729</v>
      </c>
    </row>
    <row r="954" spans="1:21">
      <c r="A954" s="5">
        <v>27980</v>
      </c>
      <c r="B954" s="5" t="s">
        <v>10</v>
      </c>
      <c r="C954" s="5" t="s">
        <v>11</v>
      </c>
      <c r="D954" s="5" t="s">
        <v>12</v>
      </c>
      <c r="E954" s="5" t="s">
        <v>13</v>
      </c>
      <c r="F954" s="5" t="s">
        <v>14</v>
      </c>
      <c r="G954" s="5" t="s">
        <v>15</v>
      </c>
      <c r="H954" s="5">
        <v>66395</v>
      </c>
      <c r="I954" s="5">
        <v>2319</v>
      </c>
      <c r="J954" s="6">
        <f t="shared" si="14"/>
        <v>64076</v>
      </c>
      <c r="L954" s="34">
        <v>75961</v>
      </c>
      <c r="M954" s="35" t="s">
        <v>16</v>
      </c>
      <c r="N954" s="35" t="s">
        <v>27</v>
      </c>
      <c r="O954" s="35" t="s">
        <v>33</v>
      </c>
      <c r="P954" s="35" t="s">
        <v>19</v>
      </c>
      <c r="Q954" s="35" t="s">
        <v>28</v>
      </c>
      <c r="R954" s="35" t="s">
        <v>15</v>
      </c>
      <c r="S954" s="35">
        <v>40390</v>
      </c>
      <c r="T954" s="81">
        <v>318</v>
      </c>
      <c r="U954" s="36">
        <v>40072</v>
      </c>
    </row>
    <row r="955" spans="1:21">
      <c r="A955" s="5">
        <v>215770</v>
      </c>
      <c r="B955" s="5" t="s">
        <v>10</v>
      </c>
      <c r="C955" s="5" t="s">
        <v>38</v>
      </c>
      <c r="D955" s="5" t="s">
        <v>23</v>
      </c>
      <c r="E955" s="5" t="s">
        <v>13</v>
      </c>
      <c r="F955" s="5" t="s">
        <v>14</v>
      </c>
      <c r="G955" s="5" t="s">
        <v>15</v>
      </c>
      <c r="H955" s="5">
        <v>50789</v>
      </c>
      <c r="I955" s="5">
        <v>587</v>
      </c>
      <c r="J955" s="6">
        <f t="shared" si="14"/>
        <v>50202</v>
      </c>
      <c r="L955" s="31">
        <v>172962</v>
      </c>
      <c r="M955" s="32" t="s">
        <v>16</v>
      </c>
      <c r="N955" s="32" t="s">
        <v>31</v>
      </c>
      <c r="O955" s="32" t="s">
        <v>36</v>
      </c>
      <c r="P955" s="32" t="s">
        <v>19</v>
      </c>
      <c r="Q955" s="32" t="s">
        <v>28</v>
      </c>
      <c r="R955" s="32" t="s">
        <v>24</v>
      </c>
      <c r="S955" s="32">
        <v>6657</v>
      </c>
      <c r="T955" s="80">
        <v>0</v>
      </c>
      <c r="U955" s="33">
        <v>6657</v>
      </c>
    </row>
    <row r="956" spans="1:21">
      <c r="A956" s="5">
        <v>185739</v>
      </c>
      <c r="B956" s="5" t="s">
        <v>10</v>
      </c>
      <c r="C956" s="5" t="s">
        <v>39</v>
      </c>
      <c r="D956" s="5" t="s">
        <v>36</v>
      </c>
      <c r="E956" s="5" t="s">
        <v>13</v>
      </c>
      <c r="F956" s="5" t="s">
        <v>14</v>
      </c>
      <c r="G956" s="5" t="s">
        <v>15</v>
      </c>
      <c r="H956" s="5">
        <v>53674</v>
      </c>
      <c r="I956" s="5">
        <v>4593</v>
      </c>
      <c r="J956" s="6">
        <f t="shared" si="14"/>
        <v>49081</v>
      </c>
      <c r="L956" s="34">
        <v>89712</v>
      </c>
      <c r="M956" s="35" t="s">
        <v>10</v>
      </c>
      <c r="N956" s="35" t="s">
        <v>38</v>
      </c>
      <c r="O956" s="35" t="s">
        <v>32</v>
      </c>
      <c r="P956" s="35" t="s">
        <v>13</v>
      </c>
      <c r="Q956" s="35" t="s">
        <v>28</v>
      </c>
      <c r="R956" s="35" t="s">
        <v>15</v>
      </c>
      <c r="S956" s="35">
        <v>6544</v>
      </c>
      <c r="T956" s="81">
        <v>11</v>
      </c>
      <c r="U956" s="36">
        <v>6533</v>
      </c>
    </row>
    <row r="957" spans="1:21">
      <c r="A957" s="5">
        <v>210154</v>
      </c>
      <c r="B957" s="5" t="s">
        <v>16</v>
      </c>
      <c r="C957" s="5" t="s">
        <v>38</v>
      </c>
      <c r="D957" s="5" t="s">
        <v>32</v>
      </c>
      <c r="E957" s="5" t="s">
        <v>13</v>
      </c>
      <c r="F957" s="5" t="s">
        <v>14</v>
      </c>
      <c r="G957" s="5" t="s">
        <v>15</v>
      </c>
      <c r="H957" s="5">
        <v>5070</v>
      </c>
      <c r="I957" s="5">
        <v>0</v>
      </c>
      <c r="J957" s="6">
        <f t="shared" si="14"/>
        <v>5070</v>
      </c>
      <c r="L957" s="31">
        <v>165703</v>
      </c>
      <c r="M957" s="32" t="s">
        <v>16</v>
      </c>
      <c r="N957" s="32" t="s">
        <v>27</v>
      </c>
      <c r="O957" s="32" t="s">
        <v>33</v>
      </c>
      <c r="P957" s="32" t="s">
        <v>13</v>
      </c>
      <c r="Q957" s="32" t="s">
        <v>28</v>
      </c>
      <c r="R957" s="32" t="s">
        <v>24</v>
      </c>
      <c r="S957" s="32">
        <v>12492</v>
      </c>
      <c r="T957" s="80">
        <v>0</v>
      </c>
      <c r="U957" s="33">
        <v>12492</v>
      </c>
    </row>
    <row r="958" spans="1:21">
      <c r="A958" s="5">
        <v>76736</v>
      </c>
      <c r="B958" s="5" t="s">
        <v>16</v>
      </c>
      <c r="C958" s="5" t="s">
        <v>27</v>
      </c>
      <c r="D958" s="5" t="s">
        <v>33</v>
      </c>
      <c r="E958" s="5" t="s">
        <v>13</v>
      </c>
      <c r="F958" s="5" t="s">
        <v>28</v>
      </c>
      <c r="G958" s="5" t="s">
        <v>15</v>
      </c>
      <c r="H958" s="5">
        <v>36392</v>
      </c>
      <c r="I958" s="5">
        <v>281</v>
      </c>
      <c r="J958" s="6">
        <f t="shared" si="14"/>
        <v>36111</v>
      </c>
      <c r="L958" s="34">
        <v>133874</v>
      </c>
      <c r="M958" s="35" t="s">
        <v>10</v>
      </c>
      <c r="N958" s="35" t="s">
        <v>25</v>
      </c>
      <c r="O958" s="35" t="s">
        <v>21</v>
      </c>
      <c r="P958" s="35" t="s">
        <v>19</v>
      </c>
      <c r="Q958" s="35" t="s">
        <v>28</v>
      </c>
      <c r="R958" s="35" t="s">
        <v>24</v>
      </c>
      <c r="S958" s="35">
        <v>4796</v>
      </c>
      <c r="T958" s="81">
        <v>0</v>
      </c>
      <c r="U958" s="36">
        <v>4796</v>
      </c>
    </row>
    <row r="959" spans="1:21">
      <c r="A959" s="5">
        <v>161231</v>
      </c>
      <c r="B959" s="5" t="s">
        <v>10</v>
      </c>
      <c r="C959" s="5" t="s">
        <v>25</v>
      </c>
      <c r="D959" s="5" t="s">
        <v>26</v>
      </c>
      <c r="E959" s="5" t="s">
        <v>19</v>
      </c>
      <c r="F959" s="5" t="s">
        <v>14</v>
      </c>
      <c r="G959" s="5" t="s">
        <v>15</v>
      </c>
      <c r="H959" s="5">
        <v>65394</v>
      </c>
      <c r="I959" s="5">
        <v>9745</v>
      </c>
      <c r="J959" s="6">
        <f t="shared" si="14"/>
        <v>55649</v>
      </c>
      <c r="L959" s="31">
        <v>245623</v>
      </c>
      <c r="M959" s="32" t="s">
        <v>10</v>
      </c>
      <c r="N959" s="32" t="s">
        <v>17</v>
      </c>
      <c r="O959" s="32" t="s">
        <v>29</v>
      </c>
      <c r="P959" s="32" t="s">
        <v>19</v>
      </c>
      <c r="Q959" s="32" t="s">
        <v>28</v>
      </c>
      <c r="R959" s="32" t="s">
        <v>15</v>
      </c>
      <c r="S959" s="32">
        <v>28095</v>
      </c>
      <c r="T959" s="80">
        <v>245</v>
      </c>
      <c r="U959" s="33">
        <v>27850</v>
      </c>
    </row>
    <row r="960" spans="1:21">
      <c r="A960" s="5">
        <v>140624</v>
      </c>
      <c r="B960" s="5" t="s">
        <v>16</v>
      </c>
      <c r="C960" s="5" t="s">
        <v>17</v>
      </c>
      <c r="D960" s="5" t="s">
        <v>36</v>
      </c>
      <c r="E960" s="5" t="s">
        <v>19</v>
      </c>
      <c r="F960" s="5" t="s">
        <v>14</v>
      </c>
      <c r="G960" s="5" t="s">
        <v>15</v>
      </c>
      <c r="H960" s="5">
        <v>29381</v>
      </c>
      <c r="I960" s="5">
        <v>1032</v>
      </c>
      <c r="J960" s="6">
        <f t="shared" si="14"/>
        <v>28349</v>
      </c>
      <c r="L960" s="34">
        <v>219657</v>
      </c>
      <c r="M960" s="35" t="s">
        <v>16</v>
      </c>
      <c r="N960" s="35" t="s">
        <v>25</v>
      </c>
      <c r="O960" s="35" t="s">
        <v>21</v>
      </c>
      <c r="P960" s="35" t="s">
        <v>13</v>
      </c>
      <c r="Q960" s="35" t="s">
        <v>28</v>
      </c>
      <c r="R960" s="35" t="s">
        <v>24</v>
      </c>
      <c r="S960" s="35">
        <v>55341</v>
      </c>
      <c r="T960" s="81">
        <v>1625</v>
      </c>
      <c r="U960" s="36">
        <v>53716</v>
      </c>
    </row>
    <row r="961" spans="1:21">
      <c r="A961" s="5">
        <v>196033</v>
      </c>
      <c r="B961" s="5" t="s">
        <v>10</v>
      </c>
      <c r="C961" s="5" t="s">
        <v>11</v>
      </c>
      <c r="D961" s="5" t="s">
        <v>23</v>
      </c>
      <c r="E961" s="5" t="s">
        <v>19</v>
      </c>
      <c r="F961" s="5" t="s">
        <v>14</v>
      </c>
      <c r="G961" s="5" t="s">
        <v>24</v>
      </c>
      <c r="H961" s="5">
        <v>14066</v>
      </c>
      <c r="I961" s="5">
        <v>0</v>
      </c>
      <c r="J961" s="6">
        <f t="shared" si="14"/>
        <v>14066</v>
      </c>
      <c r="L961" s="31">
        <v>155122</v>
      </c>
      <c r="M961" s="32" t="s">
        <v>16</v>
      </c>
      <c r="N961" s="32" t="s">
        <v>17</v>
      </c>
      <c r="O961" s="32" t="s">
        <v>18</v>
      </c>
      <c r="P961" s="32" t="s">
        <v>19</v>
      </c>
      <c r="Q961" s="32" t="s">
        <v>28</v>
      </c>
      <c r="R961" s="32" t="s">
        <v>15</v>
      </c>
      <c r="S961" s="32">
        <v>25552</v>
      </c>
      <c r="T961" s="80">
        <v>117</v>
      </c>
      <c r="U961" s="33">
        <v>25435</v>
      </c>
    </row>
    <row r="962" spans="1:21">
      <c r="A962" s="5">
        <v>242470</v>
      </c>
      <c r="B962" s="5" t="s">
        <v>16</v>
      </c>
      <c r="C962" s="5" t="s">
        <v>25</v>
      </c>
      <c r="D962" s="5" t="s">
        <v>30</v>
      </c>
      <c r="E962" s="5" t="s">
        <v>13</v>
      </c>
      <c r="F962" s="5" t="s">
        <v>28</v>
      </c>
      <c r="G962" s="5" t="s">
        <v>24</v>
      </c>
      <c r="H962" s="5">
        <v>31108</v>
      </c>
      <c r="I962" s="5">
        <v>2557</v>
      </c>
      <c r="J962" s="6">
        <f t="shared" ref="J962:J1001" si="15">H962-I962</f>
        <v>28551</v>
      </c>
      <c r="L962" s="34">
        <v>209635</v>
      </c>
      <c r="M962" s="35" t="s">
        <v>16</v>
      </c>
      <c r="N962" s="35" t="s">
        <v>38</v>
      </c>
      <c r="O962" s="35" t="s">
        <v>33</v>
      </c>
      <c r="P962" s="35" t="s">
        <v>13</v>
      </c>
      <c r="Q962" s="35" t="s">
        <v>28</v>
      </c>
      <c r="R962" s="35" t="s">
        <v>15</v>
      </c>
      <c r="S962" s="35">
        <v>57115</v>
      </c>
      <c r="T962" s="81">
        <v>937</v>
      </c>
      <c r="U962" s="36">
        <v>56178</v>
      </c>
    </row>
    <row r="963" spans="1:21">
      <c r="A963" s="5">
        <v>175565</v>
      </c>
      <c r="B963" s="5" t="s">
        <v>10</v>
      </c>
      <c r="C963" s="5" t="s">
        <v>22</v>
      </c>
      <c r="D963" s="5" t="s">
        <v>12</v>
      </c>
      <c r="E963" s="5" t="s">
        <v>19</v>
      </c>
      <c r="F963" s="5" t="s">
        <v>28</v>
      </c>
      <c r="G963" s="5" t="s">
        <v>15</v>
      </c>
      <c r="H963" s="5">
        <v>133702</v>
      </c>
      <c r="I963" s="5">
        <v>1665</v>
      </c>
      <c r="J963" s="6">
        <f t="shared" si="15"/>
        <v>132037</v>
      </c>
      <c r="L963" s="31">
        <v>194182</v>
      </c>
      <c r="M963" s="32" t="s">
        <v>16</v>
      </c>
      <c r="N963" s="32" t="s">
        <v>11</v>
      </c>
      <c r="O963" s="32" t="s">
        <v>23</v>
      </c>
      <c r="P963" s="32" t="s">
        <v>13</v>
      </c>
      <c r="Q963" s="32" t="s">
        <v>28</v>
      </c>
      <c r="R963" s="32" t="s">
        <v>15</v>
      </c>
      <c r="S963" s="32">
        <v>33192</v>
      </c>
      <c r="T963" s="80">
        <v>269</v>
      </c>
      <c r="U963" s="33">
        <v>32923</v>
      </c>
    </row>
    <row r="964" spans="1:21">
      <c r="A964" s="5">
        <v>183468</v>
      </c>
      <c r="B964" s="5" t="s">
        <v>10</v>
      </c>
      <c r="C964" s="5" t="s">
        <v>38</v>
      </c>
      <c r="D964" s="5" t="s">
        <v>12</v>
      </c>
      <c r="E964" s="5" t="s">
        <v>13</v>
      </c>
      <c r="F964" s="5" t="s">
        <v>14</v>
      </c>
      <c r="G964" s="5" t="s">
        <v>15</v>
      </c>
      <c r="H964" s="5">
        <v>202364</v>
      </c>
      <c r="I964" s="5">
        <v>138</v>
      </c>
      <c r="J964" s="6">
        <f t="shared" si="15"/>
        <v>202226</v>
      </c>
      <c r="L964" s="34">
        <v>28655</v>
      </c>
      <c r="M964" s="35" t="s">
        <v>10</v>
      </c>
      <c r="N964" s="35" t="s">
        <v>35</v>
      </c>
      <c r="O964" s="35" t="s">
        <v>23</v>
      </c>
      <c r="P964" s="35" t="s">
        <v>13</v>
      </c>
      <c r="Q964" s="35" t="s">
        <v>28</v>
      </c>
      <c r="R964" s="35" t="s">
        <v>24</v>
      </c>
      <c r="S964" s="35">
        <v>93232</v>
      </c>
      <c r="T964" s="81">
        <v>164</v>
      </c>
      <c r="U964" s="36">
        <v>93068</v>
      </c>
    </row>
    <row r="965" spans="1:21">
      <c r="A965" s="5">
        <v>47868</v>
      </c>
      <c r="B965" s="5" t="s">
        <v>16</v>
      </c>
      <c r="C965" s="5" t="s">
        <v>35</v>
      </c>
      <c r="D965" s="5" t="s">
        <v>30</v>
      </c>
      <c r="E965" s="5" t="s">
        <v>19</v>
      </c>
      <c r="F965" s="5" t="s">
        <v>14</v>
      </c>
      <c r="G965" s="5" t="s">
        <v>15</v>
      </c>
      <c r="H965" s="5">
        <v>200292</v>
      </c>
      <c r="I965" s="5">
        <v>9151</v>
      </c>
      <c r="J965" s="6">
        <f t="shared" si="15"/>
        <v>191141</v>
      </c>
      <c r="L965" s="31">
        <v>176587</v>
      </c>
      <c r="M965" s="32" t="s">
        <v>16</v>
      </c>
      <c r="N965" s="32" t="s">
        <v>17</v>
      </c>
      <c r="O965" s="32" t="s">
        <v>18</v>
      </c>
      <c r="P965" s="32" t="s">
        <v>19</v>
      </c>
      <c r="Q965" s="32" t="s">
        <v>28</v>
      </c>
      <c r="R965" s="32" t="s">
        <v>24</v>
      </c>
      <c r="S965" s="32">
        <v>30325</v>
      </c>
      <c r="T965" s="80">
        <v>183</v>
      </c>
      <c r="U965" s="33">
        <v>30142</v>
      </c>
    </row>
    <row r="966" spans="1:21">
      <c r="A966" s="5">
        <v>76988</v>
      </c>
      <c r="B966" s="5" t="s">
        <v>10</v>
      </c>
      <c r="C966" s="5" t="s">
        <v>35</v>
      </c>
      <c r="D966" s="5" t="s">
        <v>32</v>
      </c>
      <c r="E966" s="5" t="s">
        <v>13</v>
      </c>
      <c r="F966" s="5" t="s">
        <v>14</v>
      </c>
      <c r="G966" s="5" t="s">
        <v>15</v>
      </c>
      <c r="H966" s="5">
        <v>31504</v>
      </c>
      <c r="I966" s="5">
        <v>0</v>
      </c>
      <c r="J966" s="6">
        <f t="shared" si="15"/>
        <v>31504</v>
      </c>
      <c r="L966" s="34">
        <v>35784</v>
      </c>
      <c r="M966" s="35" t="s">
        <v>10</v>
      </c>
      <c r="N966" s="35" t="s">
        <v>35</v>
      </c>
      <c r="O966" s="35" t="s">
        <v>26</v>
      </c>
      <c r="P966" s="35" t="s">
        <v>13</v>
      </c>
      <c r="Q966" s="35" t="s">
        <v>28</v>
      </c>
      <c r="R966" s="35" t="s">
        <v>15</v>
      </c>
      <c r="S966" s="35">
        <v>122128</v>
      </c>
      <c r="T966" s="81">
        <v>5831</v>
      </c>
      <c r="U966" s="36">
        <v>116297</v>
      </c>
    </row>
    <row r="967" spans="1:21">
      <c r="A967" s="5">
        <v>200631</v>
      </c>
      <c r="B967" s="5" t="s">
        <v>16</v>
      </c>
      <c r="C967" s="5" t="s">
        <v>37</v>
      </c>
      <c r="D967" s="5" t="s">
        <v>33</v>
      </c>
      <c r="E967" s="5" t="s">
        <v>13</v>
      </c>
      <c r="F967" s="5" t="s">
        <v>14</v>
      </c>
      <c r="G967" s="5" t="s">
        <v>15</v>
      </c>
      <c r="H967" s="5">
        <v>57207</v>
      </c>
      <c r="I967" s="5">
        <v>243</v>
      </c>
      <c r="J967" s="6">
        <f t="shared" si="15"/>
        <v>56964</v>
      </c>
      <c r="L967" s="31">
        <v>217116</v>
      </c>
      <c r="M967" s="32" t="s">
        <v>10</v>
      </c>
      <c r="N967" s="32" t="s">
        <v>11</v>
      </c>
      <c r="O967" s="32" t="s">
        <v>32</v>
      </c>
      <c r="P967" s="32" t="s">
        <v>13</v>
      </c>
      <c r="Q967" s="32" t="s">
        <v>28</v>
      </c>
      <c r="R967" s="32" t="s">
        <v>24</v>
      </c>
      <c r="S967" s="32">
        <v>44100</v>
      </c>
      <c r="T967" s="80">
        <v>10790</v>
      </c>
      <c r="U967" s="33">
        <v>33310</v>
      </c>
    </row>
    <row r="968" spans="1:21">
      <c r="A968" s="5">
        <v>73388</v>
      </c>
      <c r="B968" s="5" t="s">
        <v>10</v>
      </c>
      <c r="C968" s="5" t="s">
        <v>27</v>
      </c>
      <c r="D968" s="5" t="s">
        <v>23</v>
      </c>
      <c r="E968" s="5" t="s">
        <v>13</v>
      </c>
      <c r="F968" s="5" t="s">
        <v>14</v>
      </c>
      <c r="G968" s="5" t="s">
        <v>15</v>
      </c>
      <c r="H968" s="5">
        <v>146765</v>
      </c>
      <c r="I968" s="5">
        <v>17627</v>
      </c>
      <c r="J968" s="6">
        <f t="shared" si="15"/>
        <v>129138</v>
      </c>
      <c r="L968" s="34">
        <v>216647</v>
      </c>
      <c r="M968" s="35" t="s">
        <v>10</v>
      </c>
      <c r="N968" s="35" t="s">
        <v>34</v>
      </c>
      <c r="O968" s="35" t="s">
        <v>12</v>
      </c>
      <c r="P968" s="35" t="s">
        <v>19</v>
      </c>
      <c r="Q968" s="35" t="s">
        <v>28</v>
      </c>
      <c r="R968" s="35" t="s">
        <v>24</v>
      </c>
      <c r="S968" s="35">
        <v>42736</v>
      </c>
      <c r="T968" s="81">
        <v>175</v>
      </c>
      <c r="U968" s="36">
        <v>42561</v>
      </c>
    </row>
    <row r="969" spans="1:21">
      <c r="A969" s="5">
        <v>216692</v>
      </c>
      <c r="B969" s="5" t="s">
        <v>10</v>
      </c>
      <c r="C969" s="5" t="s">
        <v>34</v>
      </c>
      <c r="D969" s="5" t="s">
        <v>36</v>
      </c>
      <c r="E969" s="5" t="s">
        <v>13</v>
      </c>
      <c r="F969" s="5" t="s">
        <v>14</v>
      </c>
      <c r="G969" s="5" t="s">
        <v>15</v>
      </c>
      <c r="H969" s="5">
        <v>36998</v>
      </c>
      <c r="I969" s="5">
        <v>2000</v>
      </c>
      <c r="J969" s="6">
        <f t="shared" si="15"/>
        <v>34998</v>
      </c>
      <c r="L969" s="31">
        <v>171112</v>
      </c>
      <c r="M969" s="32" t="s">
        <v>16</v>
      </c>
      <c r="N969" s="32" t="s">
        <v>31</v>
      </c>
      <c r="O969" s="32" t="s">
        <v>21</v>
      </c>
      <c r="P969" s="32" t="s">
        <v>19</v>
      </c>
      <c r="Q969" s="32" t="s">
        <v>28</v>
      </c>
      <c r="R969" s="32" t="s">
        <v>24</v>
      </c>
      <c r="S969" s="32">
        <v>11511</v>
      </c>
      <c r="T969" s="80">
        <v>137</v>
      </c>
      <c r="U969" s="33">
        <v>11374</v>
      </c>
    </row>
    <row r="970" spans="1:21">
      <c r="A970" s="5">
        <v>119195</v>
      </c>
      <c r="B970" s="5" t="s">
        <v>10</v>
      </c>
      <c r="C970" s="5" t="s">
        <v>31</v>
      </c>
      <c r="D970" s="5" t="s">
        <v>12</v>
      </c>
      <c r="E970" s="5" t="s">
        <v>19</v>
      </c>
      <c r="F970" s="5" t="s">
        <v>14</v>
      </c>
      <c r="G970" s="5" t="s">
        <v>24</v>
      </c>
      <c r="H970" s="5">
        <v>1096</v>
      </c>
      <c r="I970" s="5">
        <v>136</v>
      </c>
      <c r="J970" s="6">
        <f t="shared" si="15"/>
        <v>960</v>
      </c>
      <c r="L970" s="34">
        <v>223203</v>
      </c>
      <c r="M970" s="35" t="s">
        <v>16</v>
      </c>
      <c r="N970" s="35" t="s">
        <v>25</v>
      </c>
      <c r="O970" s="35" t="s">
        <v>33</v>
      </c>
      <c r="P970" s="35" t="s">
        <v>19</v>
      </c>
      <c r="Q970" s="35" t="s">
        <v>28</v>
      </c>
      <c r="R970" s="35" t="s">
        <v>24</v>
      </c>
      <c r="S970" s="35">
        <v>18268</v>
      </c>
      <c r="T970" s="81">
        <v>36</v>
      </c>
      <c r="U970" s="36">
        <v>18232</v>
      </c>
    </row>
    <row r="971" spans="1:21">
      <c r="A971" s="5">
        <v>92716</v>
      </c>
      <c r="B971" s="5" t="s">
        <v>10</v>
      </c>
      <c r="C971" s="5" t="s">
        <v>20</v>
      </c>
      <c r="D971" s="5" t="s">
        <v>32</v>
      </c>
      <c r="E971" s="5" t="s">
        <v>13</v>
      </c>
      <c r="F971" s="5" t="s">
        <v>14</v>
      </c>
      <c r="G971" s="5" t="s">
        <v>15</v>
      </c>
      <c r="H971" s="5">
        <v>14242</v>
      </c>
      <c r="I971" s="5">
        <v>0</v>
      </c>
      <c r="J971" s="6">
        <f t="shared" si="15"/>
        <v>14242</v>
      </c>
      <c r="L971" s="31">
        <v>124298</v>
      </c>
      <c r="M971" s="32" t="s">
        <v>10</v>
      </c>
      <c r="N971" s="32" t="s">
        <v>25</v>
      </c>
      <c r="O971" s="32" t="s">
        <v>23</v>
      </c>
      <c r="P971" s="32" t="s">
        <v>13</v>
      </c>
      <c r="Q971" s="32" t="s">
        <v>28</v>
      </c>
      <c r="R971" s="32" t="s">
        <v>15</v>
      </c>
      <c r="S971" s="32">
        <v>126758</v>
      </c>
      <c r="T971" s="80">
        <v>6567</v>
      </c>
      <c r="U971" s="33">
        <v>120191</v>
      </c>
    </row>
    <row r="972" spans="1:21">
      <c r="A972" s="5">
        <v>54541</v>
      </c>
      <c r="B972" s="5" t="s">
        <v>16</v>
      </c>
      <c r="C972" s="5" t="s">
        <v>35</v>
      </c>
      <c r="D972" s="5" t="s">
        <v>32</v>
      </c>
      <c r="E972" s="5" t="s">
        <v>13</v>
      </c>
      <c r="F972" s="5" t="s">
        <v>14</v>
      </c>
      <c r="G972" s="5" t="s">
        <v>15</v>
      </c>
      <c r="H972" s="5">
        <v>32368</v>
      </c>
      <c r="I972" s="5">
        <v>9</v>
      </c>
      <c r="J972" s="6">
        <f t="shared" si="15"/>
        <v>32359</v>
      </c>
      <c r="L972" s="34">
        <v>96731</v>
      </c>
      <c r="M972" s="35" t="s">
        <v>16</v>
      </c>
      <c r="N972" s="35" t="s">
        <v>34</v>
      </c>
      <c r="O972" s="35" t="s">
        <v>33</v>
      </c>
      <c r="P972" s="35" t="s">
        <v>13</v>
      </c>
      <c r="Q972" s="35" t="s">
        <v>28</v>
      </c>
      <c r="R972" s="35" t="s">
        <v>15</v>
      </c>
      <c r="S972" s="35">
        <v>75532</v>
      </c>
      <c r="T972" s="81">
        <v>2777</v>
      </c>
      <c r="U972" s="36">
        <v>72755</v>
      </c>
    </row>
    <row r="973" spans="1:21">
      <c r="A973" s="5">
        <v>31739</v>
      </c>
      <c r="B973" s="5" t="s">
        <v>10</v>
      </c>
      <c r="C973" s="5" t="s">
        <v>35</v>
      </c>
      <c r="D973" s="5" t="s">
        <v>32</v>
      </c>
      <c r="E973" s="5" t="s">
        <v>19</v>
      </c>
      <c r="F973" s="5" t="s">
        <v>14</v>
      </c>
      <c r="G973" s="5" t="s">
        <v>24</v>
      </c>
      <c r="H973" s="5">
        <v>107291</v>
      </c>
      <c r="I973" s="5">
        <v>145</v>
      </c>
      <c r="J973" s="6">
        <f t="shared" si="15"/>
        <v>107146</v>
      </c>
      <c r="L973" s="31">
        <v>177714</v>
      </c>
      <c r="M973" s="32" t="s">
        <v>16</v>
      </c>
      <c r="N973" s="32" t="s">
        <v>11</v>
      </c>
      <c r="O973" s="32" t="s">
        <v>36</v>
      </c>
      <c r="P973" s="32" t="s">
        <v>19</v>
      </c>
      <c r="Q973" s="32" t="s">
        <v>28</v>
      </c>
      <c r="R973" s="32" t="s">
        <v>24</v>
      </c>
      <c r="S973" s="32">
        <v>44382</v>
      </c>
      <c r="T973" s="80">
        <v>272</v>
      </c>
      <c r="U973" s="33">
        <v>44110</v>
      </c>
    </row>
    <row r="974" spans="1:21">
      <c r="A974" s="5">
        <v>225950</v>
      </c>
      <c r="B974" s="5" t="s">
        <v>10</v>
      </c>
      <c r="C974" s="5" t="s">
        <v>22</v>
      </c>
      <c r="D974" s="5" t="s">
        <v>12</v>
      </c>
      <c r="E974" s="5" t="s">
        <v>19</v>
      </c>
      <c r="F974" s="5" t="s">
        <v>14</v>
      </c>
      <c r="G974" s="5" t="s">
        <v>15</v>
      </c>
      <c r="H974" s="5">
        <v>56592</v>
      </c>
      <c r="I974" s="5">
        <v>5715</v>
      </c>
      <c r="J974" s="6">
        <f t="shared" si="15"/>
        <v>50877</v>
      </c>
      <c r="L974" s="34">
        <v>54297</v>
      </c>
      <c r="M974" s="35" t="s">
        <v>10</v>
      </c>
      <c r="N974" s="35" t="s">
        <v>35</v>
      </c>
      <c r="O974" s="35" t="s">
        <v>36</v>
      </c>
      <c r="P974" s="35" t="s">
        <v>13</v>
      </c>
      <c r="Q974" s="35" t="s">
        <v>28</v>
      </c>
      <c r="R974" s="35" t="s">
        <v>24</v>
      </c>
      <c r="S974" s="35">
        <v>58264</v>
      </c>
      <c r="T974" s="81">
        <v>2198</v>
      </c>
      <c r="U974" s="36">
        <v>56066</v>
      </c>
    </row>
    <row r="975" spans="1:21">
      <c r="A975" s="5">
        <v>83242</v>
      </c>
      <c r="B975" s="5" t="s">
        <v>10</v>
      </c>
      <c r="C975" s="5" t="s">
        <v>34</v>
      </c>
      <c r="D975" s="5" t="s">
        <v>33</v>
      </c>
      <c r="E975" s="5" t="s">
        <v>13</v>
      </c>
      <c r="F975" s="5" t="s">
        <v>14</v>
      </c>
      <c r="G975" s="5" t="s">
        <v>15</v>
      </c>
      <c r="H975" s="5">
        <v>114378</v>
      </c>
      <c r="I975" s="5">
        <v>123</v>
      </c>
      <c r="J975" s="6">
        <f t="shared" si="15"/>
        <v>114255</v>
      </c>
      <c r="L975" s="31">
        <v>161943</v>
      </c>
      <c r="M975" s="32" t="s">
        <v>10</v>
      </c>
      <c r="N975" s="32" t="s">
        <v>25</v>
      </c>
      <c r="O975" s="32" t="s">
        <v>21</v>
      </c>
      <c r="P975" s="32" t="s">
        <v>19</v>
      </c>
      <c r="Q975" s="32" t="s">
        <v>28</v>
      </c>
      <c r="R975" s="32" t="s">
        <v>24</v>
      </c>
      <c r="S975" s="32">
        <v>74208</v>
      </c>
      <c r="T975" s="80">
        <v>7317</v>
      </c>
      <c r="U975" s="33">
        <v>66891</v>
      </c>
    </row>
    <row r="976" spans="1:21">
      <c r="A976" s="5">
        <v>214200</v>
      </c>
      <c r="B976" s="5" t="s">
        <v>10</v>
      </c>
      <c r="C976" s="5" t="s">
        <v>11</v>
      </c>
      <c r="D976" s="5" t="s">
        <v>32</v>
      </c>
      <c r="E976" s="5" t="s">
        <v>13</v>
      </c>
      <c r="F976" s="5" t="s">
        <v>14</v>
      </c>
      <c r="G976" s="5" t="s">
        <v>15</v>
      </c>
      <c r="H976" s="5">
        <v>106685</v>
      </c>
      <c r="I976" s="5">
        <v>2672</v>
      </c>
      <c r="J976" s="6">
        <f t="shared" si="15"/>
        <v>104013</v>
      </c>
      <c r="L976" s="34">
        <v>168241</v>
      </c>
      <c r="M976" s="35" t="s">
        <v>10</v>
      </c>
      <c r="N976" s="35" t="s">
        <v>22</v>
      </c>
      <c r="O976" s="35" t="s">
        <v>23</v>
      </c>
      <c r="P976" s="35" t="s">
        <v>19</v>
      </c>
      <c r="Q976" s="35" t="s">
        <v>28</v>
      </c>
      <c r="R976" s="35" t="s">
        <v>15</v>
      </c>
      <c r="S976" s="35">
        <v>74546</v>
      </c>
      <c r="T976" s="81">
        <v>7875</v>
      </c>
      <c r="U976" s="36">
        <v>66671</v>
      </c>
    </row>
    <row r="977" spans="1:21">
      <c r="A977" s="5">
        <v>122898</v>
      </c>
      <c r="B977" s="5" t="s">
        <v>10</v>
      </c>
      <c r="C977" s="5" t="s">
        <v>25</v>
      </c>
      <c r="D977" s="5" t="s">
        <v>18</v>
      </c>
      <c r="E977" s="5" t="s">
        <v>13</v>
      </c>
      <c r="F977" s="5" t="s">
        <v>14</v>
      </c>
      <c r="G977" s="5" t="s">
        <v>24</v>
      </c>
      <c r="H977" s="5">
        <v>116064</v>
      </c>
      <c r="I977" s="5">
        <v>2123</v>
      </c>
      <c r="J977" s="6">
        <f t="shared" si="15"/>
        <v>113941</v>
      </c>
      <c r="L977" s="31">
        <v>80578</v>
      </c>
      <c r="M977" s="32" t="s">
        <v>10</v>
      </c>
      <c r="N977" s="32" t="s">
        <v>38</v>
      </c>
      <c r="O977" s="32" t="s">
        <v>30</v>
      </c>
      <c r="P977" s="32" t="s">
        <v>13</v>
      </c>
      <c r="Q977" s="32" t="s">
        <v>28</v>
      </c>
      <c r="R977" s="32" t="s">
        <v>15</v>
      </c>
      <c r="S977" s="32">
        <v>22652</v>
      </c>
      <c r="T977" s="80">
        <v>0</v>
      </c>
      <c r="U977" s="33">
        <v>22652</v>
      </c>
    </row>
    <row r="978" spans="1:21">
      <c r="A978" s="5">
        <v>54483</v>
      </c>
      <c r="B978" s="5" t="s">
        <v>16</v>
      </c>
      <c r="C978" s="5" t="s">
        <v>27</v>
      </c>
      <c r="D978" s="5" t="s">
        <v>12</v>
      </c>
      <c r="E978" s="5" t="s">
        <v>19</v>
      </c>
      <c r="F978" s="5" t="s">
        <v>14</v>
      </c>
      <c r="G978" s="5" t="s">
        <v>15</v>
      </c>
      <c r="H978" s="5">
        <v>161245</v>
      </c>
      <c r="I978" s="5">
        <v>21631</v>
      </c>
      <c r="J978" s="6">
        <f t="shared" si="15"/>
        <v>139614</v>
      </c>
      <c r="L978" s="34">
        <v>127505</v>
      </c>
      <c r="M978" s="35" t="s">
        <v>16</v>
      </c>
      <c r="N978" s="35" t="s">
        <v>27</v>
      </c>
      <c r="O978" s="35" t="s">
        <v>30</v>
      </c>
      <c r="P978" s="35" t="s">
        <v>13</v>
      </c>
      <c r="Q978" s="35" t="s">
        <v>28</v>
      </c>
      <c r="R978" s="35" t="s">
        <v>15</v>
      </c>
      <c r="S978" s="35">
        <v>78369</v>
      </c>
      <c r="T978" s="81">
        <v>1082</v>
      </c>
      <c r="U978" s="36">
        <v>77287</v>
      </c>
    </row>
    <row r="979" spans="1:21">
      <c r="A979" s="5">
        <v>242401</v>
      </c>
      <c r="B979" s="5" t="s">
        <v>16</v>
      </c>
      <c r="C979" s="5" t="s">
        <v>17</v>
      </c>
      <c r="D979" s="5" t="s">
        <v>21</v>
      </c>
      <c r="E979" s="5" t="s">
        <v>13</v>
      </c>
      <c r="F979" s="5" t="s">
        <v>28</v>
      </c>
      <c r="G979" s="5" t="s">
        <v>15</v>
      </c>
      <c r="H979" s="5">
        <v>24171</v>
      </c>
      <c r="I979" s="5">
        <v>256</v>
      </c>
      <c r="J979" s="6">
        <f t="shared" si="15"/>
        <v>23915</v>
      </c>
      <c r="L979" s="31">
        <v>217415</v>
      </c>
      <c r="M979" s="32" t="s">
        <v>10</v>
      </c>
      <c r="N979" s="32" t="s">
        <v>20</v>
      </c>
      <c r="O979" s="32" t="s">
        <v>21</v>
      </c>
      <c r="P979" s="32" t="s">
        <v>19</v>
      </c>
      <c r="Q979" s="32" t="s">
        <v>28</v>
      </c>
      <c r="R979" s="32" t="s">
        <v>15</v>
      </c>
      <c r="S979" s="32">
        <v>34612</v>
      </c>
      <c r="T979" s="80">
        <v>0</v>
      </c>
      <c r="U979" s="33">
        <v>34612</v>
      </c>
    </row>
    <row r="980" spans="1:21">
      <c r="A980" s="5">
        <v>41384</v>
      </c>
      <c r="B980" s="5" t="s">
        <v>16</v>
      </c>
      <c r="C980" s="5" t="s">
        <v>34</v>
      </c>
      <c r="D980" s="5" t="s">
        <v>12</v>
      </c>
      <c r="E980" s="5" t="s">
        <v>13</v>
      </c>
      <c r="F980" s="5" t="s">
        <v>14</v>
      </c>
      <c r="G980" s="5" t="s">
        <v>15</v>
      </c>
      <c r="H980" s="5">
        <v>97322</v>
      </c>
      <c r="I980" s="5">
        <v>1931</v>
      </c>
      <c r="J980" s="6">
        <f t="shared" si="15"/>
        <v>95391</v>
      </c>
      <c r="L980" s="34">
        <v>242852</v>
      </c>
      <c r="M980" s="35" t="s">
        <v>10</v>
      </c>
      <c r="N980" s="35" t="s">
        <v>17</v>
      </c>
      <c r="O980" s="35" t="s">
        <v>33</v>
      </c>
      <c r="P980" s="35" t="s">
        <v>19</v>
      </c>
      <c r="Q980" s="35" t="s">
        <v>28</v>
      </c>
      <c r="R980" s="35" t="s">
        <v>15</v>
      </c>
      <c r="S980" s="35">
        <v>39485</v>
      </c>
      <c r="T980" s="81">
        <v>115</v>
      </c>
      <c r="U980" s="36">
        <v>39370</v>
      </c>
    </row>
    <row r="981" spans="1:21">
      <c r="A981" s="5">
        <v>182979</v>
      </c>
      <c r="B981" s="5" t="s">
        <v>10</v>
      </c>
      <c r="C981" s="5" t="s">
        <v>20</v>
      </c>
      <c r="D981" s="5" t="s">
        <v>32</v>
      </c>
      <c r="E981" s="5" t="s">
        <v>13</v>
      </c>
      <c r="F981" s="5" t="s">
        <v>14</v>
      </c>
      <c r="G981" s="5" t="s">
        <v>15</v>
      </c>
      <c r="H981" s="5">
        <v>13719</v>
      </c>
      <c r="I981" s="5">
        <v>704</v>
      </c>
      <c r="J981" s="6">
        <f t="shared" si="15"/>
        <v>13015</v>
      </c>
      <c r="L981" s="31">
        <v>29307</v>
      </c>
      <c r="M981" s="32" t="s">
        <v>10</v>
      </c>
      <c r="N981" s="32" t="s">
        <v>34</v>
      </c>
      <c r="O981" s="32" t="s">
        <v>23</v>
      </c>
      <c r="P981" s="32" t="s">
        <v>13</v>
      </c>
      <c r="Q981" s="32" t="s">
        <v>28</v>
      </c>
      <c r="R981" s="32" t="s">
        <v>24</v>
      </c>
      <c r="S981" s="32">
        <v>127940</v>
      </c>
      <c r="T981" s="80">
        <v>1077</v>
      </c>
      <c r="U981" s="33">
        <v>126863</v>
      </c>
    </row>
    <row r="982" spans="1:21">
      <c r="A982" s="5">
        <v>127799</v>
      </c>
      <c r="B982" s="5" t="s">
        <v>16</v>
      </c>
      <c r="C982" s="5" t="s">
        <v>22</v>
      </c>
      <c r="D982" s="5" t="s">
        <v>33</v>
      </c>
      <c r="E982" s="5" t="s">
        <v>19</v>
      </c>
      <c r="F982" s="5" t="s">
        <v>14</v>
      </c>
      <c r="G982" s="5" t="s">
        <v>15</v>
      </c>
      <c r="H982" s="5">
        <v>81435</v>
      </c>
      <c r="I982" s="5">
        <v>897</v>
      </c>
      <c r="J982" s="6">
        <f t="shared" si="15"/>
        <v>80538</v>
      </c>
      <c r="L982" s="34">
        <v>135993</v>
      </c>
      <c r="M982" s="35" t="s">
        <v>10</v>
      </c>
      <c r="N982" s="35" t="s">
        <v>22</v>
      </c>
      <c r="O982" s="35" t="s">
        <v>26</v>
      </c>
      <c r="P982" s="35" t="s">
        <v>13</v>
      </c>
      <c r="Q982" s="35" t="s">
        <v>28</v>
      </c>
      <c r="R982" s="35" t="s">
        <v>24</v>
      </c>
      <c r="S982" s="35">
        <v>39774</v>
      </c>
      <c r="T982" s="81">
        <v>319</v>
      </c>
      <c r="U982" s="36">
        <v>39455</v>
      </c>
    </row>
    <row r="983" spans="1:21">
      <c r="A983" s="5">
        <v>50703</v>
      </c>
      <c r="B983" s="5" t="s">
        <v>16</v>
      </c>
      <c r="C983" s="5" t="s">
        <v>35</v>
      </c>
      <c r="D983" s="5" t="s">
        <v>32</v>
      </c>
      <c r="E983" s="5" t="s">
        <v>13</v>
      </c>
      <c r="F983" s="5" t="s">
        <v>28</v>
      </c>
      <c r="G983" s="5" t="s">
        <v>15</v>
      </c>
      <c r="H983" s="5">
        <v>5</v>
      </c>
      <c r="I983" s="5">
        <v>0</v>
      </c>
      <c r="J983" s="6">
        <f t="shared" si="15"/>
        <v>5</v>
      </c>
      <c r="L983" s="31">
        <v>78098</v>
      </c>
      <c r="M983" s="32" t="s">
        <v>16</v>
      </c>
      <c r="N983" s="32" t="s">
        <v>27</v>
      </c>
      <c r="O983" s="32" t="s">
        <v>33</v>
      </c>
      <c r="P983" s="32" t="s">
        <v>19</v>
      </c>
      <c r="Q983" s="32" t="s">
        <v>28</v>
      </c>
      <c r="R983" s="32" t="s">
        <v>24</v>
      </c>
      <c r="S983" s="32">
        <v>29960</v>
      </c>
      <c r="T983" s="80">
        <v>0</v>
      </c>
      <c r="U983" s="33">
        <v>29960</v>
      </c>
    </row>
    <row r="984" spans="1:21">
      <c r="A984" s="5">
        <v>68215</v>
      </c>
      <c r="B984" s="5" t="s">
        <v>16</v>
      </c>
      <c r="C984" s="5" t="s">
        <v>37</v>
      </c>
      <c r="D984" s="5" t="s">
        <v>33</v>
      </c>
      <c r="E984" s="5" t="s">
        <v>13</v>
      </c>
      <c r="F984" s="5" t="s">
        <v>14</v>
      </c>
      <c r="G984" s="5" t="s">
        <v>24</v>
      </c>
      <c r="H984" s="5">
        <v>21780</v>
      </c>
      <c r="I984" s="5">
        <v>578</v>
      </c>
      <c r="J984" s="6">
        <f t="shared" si="15"/>
        <v>21202</v>
      </c>
      <c r="L984" s="34">
        <v>105776</v>
      </c>
      <c r="M984" s="35" t="s">
        <v>10</v>
      </c>
      <c r="N984" s="35" t="s">
        <v>22</v>
      </c>
      <c r="O984" s="35" t="s">
        <v>30</v>
      </c>
      <c r="P984" s="35" t="s">
        <v>13</v>
      </c>
      <c r="Q984" s="35" t="s">
        <v>28</v>
      </c>
      <c r="R984" s="35" t="s">
        <v>15</v>
      </c>
      <c r="S984" s="35">
        <v>113383</v>
      </c>
      <c r="T984" s="81">
        <v>1040</v>
      </c>
      <c r="U984" s="36">
        <v>112343</v>
      </c>
    </row>
    <row r="985" spans="1:21">
      <c r="A985" s="5">
        <v>13552</v>
      </c>
      <c r="B985" s="5" t="s">
        <v>16</v>
      </c>
      <c r="C985" s="5" t="s">
        <v>34</v>
      </c>
      <c r="D985" s="5" t="s">
        <v>30</v>
      </c>
      <c r="E985" s="5" t="s">
        <v>13</v>
      </c>
      <c r="F985" s="5" t="s">
        <v>14</v>
      </c>
      <c r="G985" s="5" t="s">
        <v>15</v>
      </c>
      <c r="H985" s="5">
        <v>155773</v>
      </c>
      <c r="I985" s="5">
        <v>0</v>
      </c>
      <c r="J985" s="6">
        <f t="shared" si="15"/>
        <v>155773</v>
      </c>
      <c r="L985" s="31">
        <v>121786</v>
      </c>
      <c r="M985" s="32" t="s">
        <v>16</v>
      </c>
      <c r="N985" s="32" t="s">
        <v>22</v>
      </c>
      <c r="O985" s="32" t="s">
        <v>30</v>
      </c>
      <c r="P985" s="32" t="s">
        <v>13</v>
      </c>
      <c r="Q985" s="32" t="s">
        <v>28</v>
      </c>
      <c r="R985" s="32" t="s">
        <v>15</v>
      </c>
      <c r="S985" s="32">
        <v>75117</v>
      </c>
      <c r="T985" s="80">
        <v>184</v>
      </c>
      <c r="U985" s="33">
        <v>74933</v>
      </c>
    </row>
    <row r="986" spans="1:21">
      <c r="A986" s="5">
        <v>8636</v>
      </c>
      <c r="B986" s="5" t="s">
        <v>10</v>
      </c>
      <c r="C986" s="5" t="s">
        <v>37</v>
      </c>
      <c r="D986" s="5" t="s">
        <v>30</v>
      </c>
      <c r="E986" s="5" t="s">
        <v>13</v>
      </c>
      <c r="F986" s="5" t="s">
        <v>28</v>
      </c>
      <c r="G986" s="5" t="s">
        <v>15</v>
      </c>
      <c r="H986" s="5">
        <v>227040</v>
      </c>
      <c r="I986" s="5">
        <v>731</v>
      </c>
      <c r="J986" s="6">
        <f t="shared" si="15"/>
        <v>226309</v>
      </c>
      <c r="L986" s="34">
        <v>8660</v>
      </c>
      <c r="M986" s="35" t="s">
        <v>16</v>
      </c>
      <c r="N986" s="35" t="s">
        <v>37</v>
      </c>
      <c r="O986" s="35" t="s">
        <v>21</v>
      </c>
      <c r="P986" s="35" t="s">
        <v>19</v>
      </c>
      <c r="Q986" s="35" t="s">
        <v>28</v>
      </c>
      <c r="R986" s="35" t="s">
        <v>15</v>
      </c>
      <c r="S986" s="35">
        <v>49250</v>
      </c>
      <c r="T986" s="81">
        <v>83</v>
      </c>
      <c r="U986" s="36">
        <v>49167</v>
      </c>
    </row>
    <row r="987" spans="1:21">
      <c r="A987" s="5">
        <v>131274</v>
      </c>
      <c r="B987" s="5" t="s">
        <v>16</v>
      </c>
      <c r="C987" s="5" t="s">
        <v>25</v>
      </c>
      <c r="D987" s="5" t="s">
        <v>30</v>
      </c>
      <c r="E987" s="5" t="s">
        <v>19</v>
      </c>
      <c r="F987" s="5" t="s">
        <v>28</v>
      </c>
      <c r="G987" s="5" t="s">
        <v>24</v>
      </c>
      <c r="H987" s="5">
        <v>22081</v>
      </c>
      <c r="I987" s="5">
        <v>0</v>
      </c>
      <c r="J987" s="6">
        <f t="shared" si="15"/>
        <v>22081</v>
      </c>
      <c r="L987" s="31">
        <v>154411</v>
      </c>
      <c r="M987" s="32" t="s">
        <v>16</v>
      </c>
      <c r="N987" s="32" t="s">
        <v>35</v>
      </c>
      <c r="O987" s="32" t="s">
        <v>30</v>
      </c>
      <c r="P987" s="32" t="s">
        <v>13</v>
      </c>
      <c r="Q987" s="32" t="s">
        <v>28</v>
      </c>
      <c r="R987" s="32" t="s">
        <v>15</v>
      </c>
      <c r="S987" s="32">
        <v>11874</v>
      </c>
      <c r="T987" s="80">
        <v>0</v>
      </c>
      <c r="U987" s="33">
        <v>11874</v>
      </c>
    </row>
    <row r="988" spans="1:21">
      <c r="A988" s="5">
        <v>65269</v>
      </c>
      <c r="B988" s="5" t="s">
        <v>10</v>
      </c>
      <c r="C988" s="5" t="s">
        <v>27</v>
      </c>
      <c r="D988" s="5" t="s">
        <v>29</v>
      </c>
      <c r="E988" s="5" t="s">
        <v>13</v>
      </c>
      <c r="F988" s="5" t="s">
        <v>28</v>
      </c>
      <c r="G988" s="5" t="s">
        <v>24</v>
      </c>
      <c r="H988" s="5">
        <v>114363</v>
      </c>
      <c r="I988" s="5">
        <v>5524</v>
      </c>
      <c r="J988" s="6">
        <f t="shared" si="15"/>
        <v>108839</v>
      </c>
      <c r="L988" s="34">
        <v>241235</v>
      </c>
      <c r="M988" s="35" t="s">
        <v>10</v>
      </c>
      <c r="N988" s="35" t="s">
        <v>35</v>
      </c>
      <c r="O988" s="35" t="s">
        <v>18</v>
      </c>
      <c r="P988" s="35" t="s">
        <v>13</v>
      </c>
      <c r="Q988" s="35" t="s">
        <v>28</v>
      </c>
      <c r="R988" s="35" t="s">
        <v>15</v>
      </c>
      <c r="S988" s="35">
        <v>81692</v>
      </c>
      <c r="T988" s="81">
        <v>1495</v>
      </c>
      <c r="U988" s="36">
        <v>80197</v>
      </c>
    </row>
    <row r="989" spans="1:21">
      <c r="A989" s="5">
        <v>120004</v>
      </c>
      <c r="B989" s="5" t="s">
        <v>16</v>
      </c>
      <c r="C989" s="5" t="s">
        <v>22</v>
      </c>
      <c r="D989" s="5" t="s">
        <v>12</v>
      </c>
      <c r="E989" s="5" t="s">
        <v>13</v>
      </c>
      <c r="F989" s="5" t="s">
        <v>14</v>
      </c>
      <c r="G989" s="5" t="s">
        <v>15</v>
      </c>
      <c r="H989" s="5">
        <v>48062</v>
      </c>
      <c r="I989" s="5">
        <v>1027</v>
      </c>
      <c r="J989" s="6">
        <f t="shared" si="15"/>
        <v>47035</v>
      </c>
      <c r="L989" s="31">
        <v>36906</v>
      </c>
      <c r="M989" s="32" t="s">
        <v>16</v>
      </c>
      <c r="N989" s="32" t="s">
        <v>35</v>
      </c>
      <c r="O989" s="32" t="s">
        <v>33</v>
      </c>
      <c r="P989" s="32" t="s">
        <v>13</v>
      </c>
      <c r="Q989" s="32" t="s">
        <v>28</v>
      </c>
      <c r="R989" s="32" t="s">
        <v>15</v>
      </c>
      <c r="S989" s="32">
        <v>38</v>
      </c>
      <c r="T989" s="80">
        <v>0</v>
      </c>
      <c r="U989" s="33">
        <v>38</v>
      </c>
    </row>
    <row r="990" spans="1:21">
      <c r="A990" s="5">
        <v>147138</v>
      </c>
      <c r="B990" s="5" t="s">
        <v>16</v>
      </c>
      <c r="C990" s="5" t="s">
        <v>22</v>
      </c>
      <c r="D990" s="5" t="s">
        <v>33</v>
      </c>
      <c r="E990" s="5" t="s">
        <v>19</v>
      </c>
      <c r="F990" s="5" t="s">
        <v>14</v>
      </c>
      <c r="G990" s="5" t="s">
        <v>24</v>
      </c>
      <c r="H990" s="5">
        <v>21838</v>
      </c>
      <c r="I990" s="5">
        <v>0</v>
      </c>
      <c r="J990" s="6">
        <f t="shared" si="15"/>
        <v>21838</v>
      </c>
      <c r="L990" s="34">
        <v>235673</v>
      </c>
      <c r="M990" s="35" t="s">
        <v>10</v>
      </c>
      <c r="N990" s="35" t="s">
        <v>17</v>
      </c>
      <c r="O990" s="35" t="s">
        <v>30</v>
      </c>
      <c r="P990" s="35" t="s">
        <v>19</v>
      </c>
      <c r="Q990" s="35" t="s">
        <v>28</v>
      </c>
      <c r="R990" s="35" t="s">
        <v>15</v>
      </c>
      <c r="S990" s="35">
        <v>58791</v>
      </c>
      <c r="T990" s="81">
        <v>1143</v>
      </c>
      <c r="U990" s="36">
        <v>57648</v>
      </c>
    </row>
    <row r="991" spans="1:21">
      <c r="A991" s="5">
        <v>139546</v>
      </c>
      <c r="B991" s="5" t="s">
        <v>16</v>
      </c>
      <c r="C991" s="5" t="s">
        <v>25</v>
      </c>
      <c r="D991" s="5" t="s">
        <v>30</v>
      </c>
      <c r="E991" s="5" t="s">
        <v>19</v>
      </c>
      <c r="F991" s="5" t="s">
        <v>28</v>
      </c>
      <c r="G991" s="5" t="s">
        <v>15</v>
      </c>
      <c r="H991" s="5">
        <v>60370</v>
      </c>
      <c r="I991" s="5">
        <v>920</v>
      </c>
      <c r="J991" s="6">
        <f t="shared" si="15"/>
        <v>59450</v>
      </c>
      <c r="L991" s="31">
        <v>63047</v>
      </c>
      <c r="M991" s="32" t="s">
        <v>10</v>
      </c>
      <c r="N991" s="32" t="s">
        <v>27</v>
      </c>
      <c r="O991" s="32" t="s">
        <v>36</v>
      </c>
      <c r="P991" s="32" t="s">
        <v>13</v>
      </c>
      <c r="Q991" s="32" t="s">
        <v>28</v>
      </c>
      <c r="R991" s="32" t="s">
        <v>24</v>
      </c>
      <c r="S991" s="32">
        <v>88773</v>
      </c>
      <c r="T991" s="80">
        <v>829</v>
      </c>
      <c r="U991" s="33">
        <v>87944</v>
      </c>
    </row>
    <row r="992" spans="1:21">
      <c r="A992" s="5">
        <v>122451</v>
      </c>
      <c r="B992" s="5" t="s">
        <v>16</v>
      </c>
      <c r="C992" s="5" t="s">
        <v>25</v>
      </c>
      <c r="D992" s="5" t="s">
        <v>21</v>
      </c>
      <c r="E992" s="5" t="s">
        <v>13</v>
      </c>
      <c r="F992" s="5" t="s">
        <v>28</v>
      </c>
      <c r="G992" s="5" t="s">
        <v>24</v>
      </c>
      <c r="H992" s="5">
        <v>38440</v>
      </c>
      <c r="I992" s="5">
        <v>2328</v>
      </c>
      <c r="J992" s="6">
        <f t="shared" si="15"/>
        <v>36112</v>
      </c>
      <c r="L992" s="34">
        <v>228719</v>
      </c>
      <c r="M992" s="35" t="s">
        <v>10</v>
      </c>
      <c r="N992" s="35" t="s">
        <v>25</v>
      </c>
      <c r="O992" s="35" t="s">
        <v>29</v>
      </c>
      <c r="P992" s="35" t="s">
        <v>13</v>
      </c>
      <c r="Q992" s="35" t="s">
        <v>28</v>
      </c>
      <c r="R992" s="35" t="s">
        <v>24</v>
      </c>
      <c r="S992" s="35">
        <v>142628</v>
      </c>
      <c r="T992" s="81">
        <v>14982</v>
      </c>
      <c r="U992" s="36">
        <v>127646</v>
      </c>
    </row>
    <row r="993" spans="1:21">
      <c r="A993" s="5">
        <v>237604</v>
      </c>
      <c r="B993" s="5" t="s">
        <v>10</v>
      </c>
      <c r="C993" s="5" t="s">
        <v>25</v>
      </c>
      <c r="D993" s="5" t="s">
        <v>18</v>
      </c>
      <c r="E993" s="5" t="s">
        <v>19</v>
      </c>
      <c r="F993" s="5" t="s">
        <v>14</v>
      </c>
      <c r="G993" s="5" t="s">
        <v>24</v>
      </c>
      <c r="H993" s="5">
        <v>25872</v>
      </c>
      <c r="I993" s="5">
        <v>382</v>
      </c>
      <c r="J993" s="6">
        <f t="shared" si="15"/>
        <v>25490</v>
      </c>
      <c r="L993" s="31">
        <v>145545</v>
      </c>
      <c r="M993" s="32" t="s">
        <v>10</v>
      </c>
      <c r="N993" s="32" t="s">
        <v>22</v>
      </c>
      <c r="O993" s="32" t="s">
        <v>32</v>
      </c>
      <c r="P993" s="32" t="s">
        <v>19</v>
      </c>
      <c r="Q993" s="32" t="s">
        <v>28</v>
      </c>
      <c r="R993" s="32" t="s">
        <v>24</v>
      </c>
      <c r="S993" s="32">
        <v>458</v>
      </c>
      <c r="T993" s="80">
        <v>0</v>
      </c>
      <c r="U993" s="33">
        <v>458</v>
      </c>
    </row>
    <row r="994" spans="1:21">
      <c r="A994" s="5">
        <v>181935</v>
      </c>
      <c r="B994" s="5" t="s">
        <v>10</v>
      </c>
      <c r="C994" s="5" t="s">
        <v>38</v>
      </c>
      <c r="D994" s="5" t="s">
        <v>29</v>
      </c>
      <c r="E994" s="5" t="s">
        <v>13</v>
      </c>
      <c r="F994" s="5" t="s">
        <v>14</v>
      </c>
      <c r="G994" s="5" t="s">
        <v>24</v>
      </c>
      <c r="H994" s="5">
        <v>81954</v>
      </c>
      <c r="I994" s="5">
        <v>1890</v>
      </c>
      <c r="J994" s="6">
        <f t="shared" si="15"/>
        <v>80064</v>
      </c>
      <c r="L994" s="34">
        <v>90600</v>
      </c>
      <c r="M994" s="35" t="s">
        <v>16</v>
      </c>
      <c r="N994" s="35" t="s">
        <v>37</v>
      </c>
      <c r="O994" s="35" t="s">
        <v>26</v>
      </c>
      <c r="P994" s="35" t="s">
        <v>13</v>
      </c>
      <c r="Q994" s="35" t="s">
        <v>28</v>
      </c>
      <c r="R994" s="35" t="s">
        <v>15</v>
      </c>
      <c r="S994" s="35">
        <v>49587</v>
      </c>
      <c r="T994" s="81">
        <v>542</v>
      </c>
      <c r="U994" s="36">
        <v>49045</v>
      </c>
    </row>
    <row r="995" spans="1:21">
      <c r="A995" s="5">
        <v>198332</v>
      </c>
      <c r="B995" s="5" t="s">
        <v>10</v>
      </c>
      <c r="C995" s="5" t="s">
        <v>37</v>
      </c>
      <c r="D995" s="5" t="s">
        <v>30</v>
      </c>
      <c r="E995" s="5" t="s">
        <v>13</v>
      </c>
      <c r="F995" s="5" t="s">
        <v>28</v>
      </c>
      <c r="G995" s="5" t="s">
        <v>15</v>
      </c>
      <c r="H995" s="5">
        <v>145954</v>
      </c>
      <c r="I995" s="5">
        <v>2851</v>
      </c>
      <c r="J995" s="6">
        <f t="shared" si="15"/>
        <v>143103</v>
      </c>
      <c r="L995" s="31">
        <v>51995</v>
      </c>
      <c r="M995" s="32" t="s">
        <v>16</v>
      </c>
      <c r="N995" s="32" t="s">
        <v>35</v>
      </c>
      <c r="O995" s="32" t="s">
        <v>23</v>
      </c>
      <c r="P995" s="32" t="s">
        <v>13</v>
      </c>
      <c r="Q995" s="32" t="s">
        <v>28</v>
      </c>
      <c r="R995" s="32" t="s">
        <v>15</v>
      </c>
      <c r="S995" s="32">
        <v>28927</v>
      </c>
      <c r="T995" s="80">
        <v>599</v>
      </c>
      <c r="U995" s="33">
        <v>28328</v>
      </c>
    </row>
    <row r="996" spans="1:21">
      <c r="A996" s="5">
        <v>99748</v>
      </c>
      <c r="B996" s="5" t="s">
        <v>16</v>
      </c>
      <c r="C996" s="5" t="s">
        <v>27</v>
      </c>
      <c r="D996" s="5" t="s">
        <v>32</v>
      </c>
      <c r="E996" s="5" t="s">
        <v>13</v>
      </c>
      <c r="F996" s="5" t="s">
        <v>14</v>
      </c>
      <c r="G996" s="5" t="s">
        <v>15</v>
      </c>
      <c r="H996" s="5">
        <v>39366</v>
      </c>
      <c r="I996" s="5">
        <v>0</v>
      </c>
      <c r="J996" s="6">
        <f t="shared" si="15"/>
        <v>39366</v>
      </c>
      <c r="L996" s="34">
        <v>37722</v>
      </c>
      <c r="M996" s="35" t="s">
        <v>10</v>
      </c>
      <c r="N996" s="35" t="s">
        <v>39</v>
      </c>
      <c r="O996" s="35" t="s">
        <v>32</v>
      </c>
      <c r="P996" s="35" t="s">
        <v>13</v>
      </c>
      <c r="Q996" s="35" t="s">
        <v>28</v>
      </c>
      <c r="R996" s="35" t="s">
        <v>15</v>
      </c>
      <c r="S996" s="35">
        <v>67728</v>
      </c>
      <c r="T996" s="81">
        <v>18160</v>
      </c>
      <c r="U996" s="36">
        <v>49568</v>
      </c>
    </row>
    <row r="997" spans="1:21">
      <c r="A997" s="5">
        <v>99754</v>
      </c>
      <c r="B997" s="5" t="s">
        <v>10</v>
      </c>
      <c r="C997" s="5" t="s">
        <v>34</v>
      </c>
      <c r="D997" s="5" t="s">
        <v>26</v>
      </c>
      <c r="E997" s="5" t="s">
        <v>13</v>
      </c>
      <c r="F997" s="5" t="s">
        <v>14</v>
      </c>
      <c r="G997" s="5" t="s">
        <v>24</v>
      </c>
      <c r="H997" s="5">
        <v>25115</v>
      </c>
      <c r="I997" s="5">
        <v>3060</v>
      </c>
      <c r="J997" s="6">
        <f t="shared" si="15"/>
        <v>22055</v>
      </c>
      <c r="L997" s="31">
        <v>17674</v>
      </c>
      <c r="M997" s="32" t="s">
        <v>16</v>
      </c>
      <c r="N997" s="32" t="s">
        <v>34</v>
      </c>
      <c r="O997" s="32" t="s">
        <v>32</v>
      </c>
      <c r="P997" s="32" t="s">
        <v>19</v>
      </c>
      <c r="Q997" s="32" t="s">
        <v>28</v>
      </c>
      <c r="R997" s="32" t="s">
        <v>15</v>
      </c>
      <c r="S997" s="32">
        <v>25214</v>
      </c>
      <c r="T997" s="80">
        <v>0</v>
      </c>
      <c r="U997" s="33">
        <v>25214</v>
      </c>
    </row>
    <row r="998" spans="1:21">
      <c r="A998" s="5">
        <v>109876</v>
      </c>
      <c r="B998" s="5" t="s">
        <v>10</v>
      </c>
      <c r="C998" s="5" t="s">
        <v>11</v>
      </c>
      <c r="D998" s="5" t="s">
        <v>32</v>
      </c>
      <c r="E998" s="5" t="s">
        <v>13</v>
      </c>
      <c r="F998" s="5" t="s">
        <v>14</v>
      </c>
      <c r="G998" s="5" t="s">
        <v>15</v>
      </c>
      <c r="H998" s="5">
        <v>3745</v>
      </c>
      <c r="I998" s="5">
        <v>110</v>
      </c>
      <c r="J998" s="6">
        <f t="shared" si="15"/>
        <v>3635</v>
      </c>
      <c r="L998" s="34">
        <v>121669</v>
      </c>
      <c r="M998" s="35" t="s">
        <v>16</v>
      </c>
      <c r="N998" s="35" t="s">
        <v>22</v>
      </c>
      <c r="O998" s="35" t="s">
        <v>21</v>
      </c>
      <c r="P998" s="35" t="s">
        <v>13</v>
      </c>
      <c r="Q998" s="35" t="s">
        <v>28</v>
      </c>
      <c r="R998" s="35" t="s">
        <v>15</v>
      </c>
      <c r="S998" s="35">
        <v>18</v>
      </c>
      <c r="T998" s="81">
        <v>0</v>
      </c>
      <c r="U998" s="36">
        <v>18</v>
      </c>
    </row>
    <row r="999" spans="1:21">
      <c r="A999" s="5">
        <v>90820</v>
      </c>
      <c r="B999" s="5" t="s">
        <v>16</v>
      </c>
      <c r="C999" s="5" t="s">
        <v>38</v>
      </c>
      <c r="D999" s="5" t="s">
        <v>33</v>
      </c>
      <c r="E999" s="5" t="s">
        <v>13</v>
      </c>
      <c r="F999" s="5" t="s">
        <v>14</v>
      </c>
      <c r="G999" s="5" t="s">
        <v>15</v>
      </c>
      <c r="H999" s="5">
        <v>4582</v>
      </c>
      <c r="I999" s="5">
        <v>210</v>
      </c>
      <c r="J999" s="6">
        <f t="shared" si="15"/>
        <v>4372</v>
      </c>
      <c r="L999" s="31">
        <v>234758</v>
      </c>
      <c r="M999" s="32" t="s">
        <v>16</v>
      </c>
      <c r="N999" s="32" t="s">
        <v>17</v>
      </c>
      <c r="O999" s="32" t="s">
        <v>30</v>
      </c>
      <c r="P999" s="32" t="s">
        <v>19</v>
      </c>
      <c r="Q999" s="32" t="s">
        <v>28</v>
      </c>
      <c r="R999" s="32" t="s">
        <v>15</v>
      </c>
      <c r="S999" s="32">
        <v>11580</v>
      </c>
      <c r="T999" s="80">
        <v>0</v>
      </c>
      <c r="U999" s="33">
        <v>11580</v>
      </c>
    </row>
    <row r="1000" spans="1:21">
      <c r="A1000" s="5">
        <v>108536</v>
      </c>
      <c r="B1000" s="5" t="s">
        <v>10</v>
      </c>
      <c r="C1000" s="5" t="s">
        <v>25</v>
      </c>
      <c r="D1000" s="5" t="s">
        <v>23</v>
      </c>
      <c r="E1000" s="5" t="s">
        <v>19</v>
      </c>
      <c r="F1000" s="5" t="s">
        <v>14</v>
      </c>
      <c r="G1000" s="5" t="s">
        <v>24</v>
      </c>
      <c r="H1000" s="5">
        <v>64752</v>
      </c>
      <c r="I1000" s="5">
        <v>6029</v>
      </c>
      <c r="J1000" s="6">
        <f t="shared" si="15"/>
        <v>58723</v>
      </c>
      <c r="L1000" s="34">
        <v>101893</v>
      </c>
      <c r="M1000" s="35" t="s">
        <v>16</v>
      </c>
      <c r="N1000" s="35" t="s">
        <v>11</v>
      </c>
      <c r="O1000" s="35" t="s">
        <v>33</v>
      </c>
      <c r="P1000" s="35" t="s">
        <v>13</v>
      </c>
      <c r="Q1000" s="35" t="s">
        <v>28</v>
      </c>
      <c r="R1000" s="35" t="s">
        <v>15</v>
      </c>
      <c r="S1000" s="35">
        <v>24192</v>
      </c>
      <c r="T1000" s="81">
        <v>2178</v>
      </c>
      <c r="U1000" s="36">
        <v>22014</v>
      </c>
    </row>
    <row r="1001" spans="1:21">
      <c r="A1001" s="5">
        <v>37585</v>
      </c>
      <c r="B1001" s="5" t="s">
        <v>16</v>
      </c>
      <c r="C1001" s="5" t="s">
        <v>35</v>
      </c>
      <c r="D1001" s="5" t="s">
        <v>18</v>
      </c>
      <c r="E1001" s="5" t="s">
        <v>19</v>
      </c>
      <c r="F1001" s="5" t="s">
        <v>14</v>
      </c>
      <c r="G1001" s="5" t="s">
        <v>24</v>
      </c>
      <c r="H1001" s="5">
        <v>47072</v>
      </c>
      <c r="I1001" s="5">
        <v>892</v>
      </c>
      <c r="J1001" s="6">
        <f t="shared" si="15"/>
        <v>46180</v>
      </c>
      <c r="L1001" s="31">
        <v>122342</v>
      </c>
      <c r="M1001" s="32" t="s">
        <v>10</v>
      </c>
      <c r="N1001" s="32" t="s">
        <v>22</v>
      </c>
      <c r="O1001" s="32" t="s">
        <v>23</v>
      </c>
      <c r="P1001" s="32" t="s">
        <v>19</v>
      </c>
      <c r="Q1001" s="32" t="s">
        <v>28</v>
      </c>
      <c r="R1001" s="32" t="s">
        <v>15</v>
      </c>
      <c r="S1001" s="32">
        <v>82842</v>
      </c>
      <c r="T1001" s="80">
        <v>22459</v>
      </c>
      <c r="U1001" s="33">
        <v>60383</v>
      </c>
    </row>
    <row r="1002" spans="1:21">
      <c r="L1002" s="34">
        <v>243444</v>
      </c>
      <c r="M1002" s="35" t="s">
        <v>16</v>
      </c>
      <c r="N1002" s="35" t="s">
        <v>17</v>
      </c>
      <c r="O1002" s="35" t="s">
        <v>33</v>
      </c>
      <c r="P1002" s="35" t="s">
        <v>19</v>
      </c>
      <c r="Q1002" s="35" t="s">
        <v>28</v>
      </c>
      <c r="R1002" s="35" t="s">
        <v>24</v>
      </c>
      <c r="S1002" s="35">
        <v>39749</v>
      </c>
      <c r="T1002" s="81">
        <v>0</v>
      </c>
      <c r="U1002" s="36">
        <v>39749</v>
      </c>
    </row>
    <row r="1003" spans="1:21">
      <c r="L1003" s="31">
        <v>76736</v>
      </c>
      <c r="M1003" s="32" t="s">
        <v>16</v>
      </c>
      <c r="N1003" s="32" t="s">
        <v>27</v>
      </c>
      <c r="O1003" s="32" t="s">
        <v>33</v>
      </c>
      <c r="P1003" s="32" t="s">
        <v>13</v>
      </c>
      <c r="Q1003" s="32" t="s">
        <v>28</v>
      </c>
      <c r="R1003" s="32" t="s">
        <v>15</v>
      </c>
      <c r="S1003" s="32">
        <v>36392</v>
      </c>
      <c r="T1003" s="80">
        <v>281</v>
      </c>
      <c r="U1003" s="33">
        <v>36111</v>
      </c>
    </row>
    <row r="1004" spans="1:21">
      <c r="L1004" s="34">
        <v>242470</v>
      </c>
      <c r="M1004" s="35" t="s">
        <v>16</v>
      </c>
      <c r="N1004" s="35" t="s">
        <v>25</v>
      </c>
      <c r="O1004" s="35" t="s">
        <v>30</v>
      </c>
      <c r="P1004" s="35" t="s">
        <v>13</v>
      </c>
      <c r="Q1004" s="35" t="s">
        <v>28</v>
      </c>
      <c r="R1004" s="35" t="s">
        <v>24</v>
      </c>
      <c r="S1004" s="35">
        <v>31108</v>
      </c>
      <c r="T1004" s="81">
        <v>2557</v>
      </c>
      <c r="U1004" s="36">
        <v>28551</v>
      </c>
    </row>
    <row r="1005" spans="1:21">
      <c r="L1005" s="31">
        <v>175565</v>
      </c>
      <c r="M1005" s="32" t="s">
        <v>10</v>
      </c>
      <c r="N1005" s="32" t="s">
        <v>22</v>
      </c>
      <c r="O1005" s="32" t="s">
        <v>12</v>
      </c>
      <c r="P1005" s="32" t="s">
        <v>19</v>
      </c>
      <c r="Q1005" s="32" t="s">
        <v>28</v>
      </c>
      <c r="R1005" s="32" t="s">
        <v>15</v>
      </c>
      <c r="S1005" s="32">
        <v>133702</v>
      </c>
      <c r="T1005" s="80">
        <v>1665</v>
      </c>
      <c r="U1005" s="33">
        <v>132037</v>
      </c>
    </row>
    <row r="1006" spans="1:21">
      <c r="L1006" s="34">
        <v>242401</v>
      </c>
      <c r="M1006" s="35" t="s">
        <v>16</v>
      </c>
      <c r="N1006" s="35" t="s">
        <v>17</v>
      </c>
      <c r="O1006" s="35" t="s">
        <v>21</v>
      </c>
      <c r="P1006" s="35" t="s">
        <v>13</v>
      </c>
      <c r="Q1006" s="35" t="s">
        <v>28</v>
      </c>
      <c r="R1006" s="35" t="s">
        <v>15</v>
      </c>
      <c r="S1006" s="35">
        <v>24171</v>
      </c>
      <c r="T1006" s="81">
        <v>256</v>
      </c>
      <c r="U1006" s="36">
        <v>23915</v>
      </c>
    </row>
    <row r="1007" spans="1:21">
      <c r="L1007" s="31">
        <v>50703</v>
      </c>
      <c r="M1007" s="32" t="s">
        <v>16</v>
      </c>
      <c r="N1007" s="32" t="s">
        <v>35</v>
      </c>
      <c r="O1007" s="32" t="s">
        <v>32</v>
      </c>
      <c r="P1007" s="32" t="s">
        <v>13</v>
      </c>
      <c r="Q1007" s="32" t="s">
        <v>28</v>
      </c>
      <c r="R1007" s="32" t="s">
        <v>15</v>
      </c>
      <c r="S1007" s="32">
        <v>5</v>
      </c>
      <c r="T1007" s="80">
        <v>0</v>
      </c>
      <c r="U1007" s="33">
        <v>5</v>
      </c>
    </row>
    <row r="1008" spans="1:21">
      <c r="L1008" s="34">
        <v>8636</v>
      </c>
      <c r="M1008" s="35" t="s">
        <v>10</v>
      </c>
      <c r="N1008" s="35" t="s">
        <v>37</v>
      </c>
      <c r="O1008" s="35" t="s">
        <v>30</v>
      </c>
      <c r="P1008" s="35" t="s">
        <v>13</v>
      </c>
      <c r="Q1008" s="35" t="s">
        <v>28</v>
      </c>
      <c r="R1008" s="35" t="s">
        <v>15</v>
      </c>
      <c r="S1008" s="35">
        <v>227040</v>
      </c>
      <c r="T1008" s="81">
        <v>731</v>
      </c>
      <c r="U1008" s="36">
        <v>226309</v>
      </c>
    </row>
    <row r="1009" spans="12:21">
      <c r="L1009" s="31">
        <v>131274</v>
      </c>
      <c r="M1009" s="32" t="s">
        <v>16</v>
      </c>
      <c r="N1009" s="32" t="s">
        <v>25</v>
      </c>
      <c r="O1009" s="32" t="s">
        <v>30</v>
      </c>
      <c r="P1009" s="32" t="s">
        <v>19</v>
      </c>
      <c r="Q1009" s="32" t="s">
        <v>28</v>
      </c>
      <c r="R1009" s="32" t="s">
        <v>24</v>
      </c>
      <c r="S1009" s="32">
        <v>22081</v>
      </c>
      <c r="T1009" s="80">
        <v>0</v>
      </c>
      <c r="U1009" s="33">
        <v>22081</v>
      </c>
    </row>
    <row r="1010" spans="12:21">
      <c r="L1010" s="34">
        <v>65269</v>
      </c>
      <c r="M1010" s="35" t="s">
        <v>10</v>
      </c>
      <c r="N1010" s="35" t="s">
        <v>27</v>
      </c>
      <c r="O1010" s="35" t="s">
        <v>29</v>
      </c>
      <c r="P1010" s="35" t="s">
        <v>13</v>
      </c>
      <c r="Q1010" s="35" t="s">
        <v>28</v>
      </c>
      <c r="R1010" s="35" t="s">
        <v>24</v>
      </c>
      <c r="S1010" s="35">
        <v>114363</v>
      </c>
      <c r="T1010" s="81">
        <v>5524</v>
      </c>
      <c r="U1010" s="36">
        <v>108839</v>
      </c>
    </row>
    <row r="1011" spans="12:21">
      <c r="L1011" s="31">
        <v>139546</v>
      </c>
      <c r="M1011" s="32" t="s">
        <v>16</v>
      </c>
      <c r="N1011" s="32" t="s">
        <v>25</v>
      </c>
      <c r="O1011" s="32" t="s">
        <v>30</v>
      </c>
      <c r="P1011" s="32" t="s">
        <v>19</v>
      </c>
      <c r="Q1011" s="32" t="s">
        <v>28</v>
      </c>
      <c r="R1011" s="32" t="s">
        <v>15</v>
      </c>
      <c r="S1011" s="32">
        <v>60370</v>
      </c>
      <c r="T1011" s="80">
        <v>920</v>
      </c>
      <c r="U1011" s="33">
        <v>59450</v>
      </c>
    </row>
    <row r="1012" spans="12:21">
      <c r="L1012" s="34">
        <v>122451</v>
      </c>
      <c r="M1012" s="35" t="s">
        <v>16</v>
      </c>
      <c r="N1012" s="35" t="s">
        <v>25</v>
      </c>
      <c r="O1012" s="35" t="s">
        <v>21</v>
      </c>
      <c r="P1012" s="35" t="s">
        <v>13</v>
      </c>
      <c r="Q1012" s="35" t="s">
        <v>28</v>
      </c>
      <c r="R1012" s="35" t="s">
        <v>24</v>
      </c>
      <c r="S1012" s="35">
        <v>38440</v>
      </c>
      <c r="T1012" s="81">
        <v>2328</v>
      </c>
      <c r="U1012" s="36">
        <v>36112</v>
      </c>
    </row>
    <row r="1013" spans="12:21">
      <c r="L1013" s="31">
        <v>198332</v>
      </c>
      <c r="M1013" s="32" t="s">
        <v>10</v>
      </c>
      <c r="N1013" s="32" t="s">
        <v>37</v>
      </c>
      <c r="O1013" s="32" t="s">
        <v>30</v>
      </c>
      <c r="P1013" s="32" t="s">
        <v>13</v>
      </c>
      <c r="Q1013" s="32" t="s">
        <v>28</v>
      </c>
      <c r="R1013" s="32" t="s">
        <v>15</v>
      </c>
      <c r="S1013" s="32">
        <v>145954</v>
      </c>
      <c r="T1013" s="80">
        <v>2851</v>
      </c>
      <c r="U1013" s="33">
        <v>143103</v>
      </c>
    </row>
    <row r="1016" spans="12:21">
      <c r="L1016" t="s">
        <v>135</v>
      </c>
    </row>
    <row r="1017" spans="12:21">
      <c r="L1017" t="s">
        <v>136</v>
      </c>
    </row>
    <row r="1018" spans="12:21">
      <c r="L1018" s="28" t="s">
        <v>0</v>
      </c>
      <c r="M1018" s="42" t="s">
        <v>1</v>
      </c>
      <c r="N1018" s="29" t="s">
        <v>2</v>
      </c>
      <c r="O1018" s="29" t="s">
        <v>3</v>
      </c>
      <c r="P1018" s="29" t="s">
        <v>4</v>
      </c>
      <c r="Q1018" s="29" t="s">
        <v>5</v>
      </c>
      <c r="R1018" s="29" t="s">
        <v>6</v>
      </c>
      <c r="S1018" s="29" t="s">
        <v>7</v>
      </c>
      <c r="T1018" s="29" t="s">
        <v>8</v>
      </c>
      <c r="U1018" s="82" t="s">
        <v>9</v>
      </c>
    </row>
    <row r="1019" spans="12:21">
      <c r="L1019" s="31">
        <v>27057</v>
      </c>
      <c r="M1019" s="35" t="s">
        <v>10</v>
      </c>
      <c r="N1019" s="32" t="s">
        <v>11</v>
      </c>
      <c r="O1019" s="32" t="s">
        <v>12</v>
      </c>
      <c r="P1019" s="32" t="s">
        <v>13</v>
      </c>
      <c r="Q1019" s="32" t="s">
        <v>14</v>
      </c>
      <c r="R1019" s="32" t="s">
        <v>15</v>
      </c>
      <c r="S1019" s="32">
        <v>86368</v>
      </c>
      <c r="T1019" s="32">
        <v>1060</v>
      </c>
      <c r="U1019" s="83">
        <v>85308</v>
      </c>
    </row>
    <row r="1020" spans="12:21">
      <c r="L1020" s="34">
        <v>57573</v>
      </c>
      <c r="M1020" s="35" t="s">
        <v>10</v>
      </c>
      <c r="N1020" s="35" t="s">
        <v>20</v>
      </c>
      <c r="O1020" s="35" t="s">
        <v>21</v>
      </c>
      <c r="P1020" s="35" t="s">
        <v>13</v>
      </c>
      <c r="Q1020" s="35" t="s">
        <v>14</v>
      </c>
      <c r="R1020" s="35" t="s">
        <v>15</v>
      </c>
      <c r="S1020" s="35">
        <v>19046</v>
      </c>
      <c r="T1020" s="35">
        <v>0</v>
      </c>
      <c r="U1020" s="84">
        <v>19046</v>
      </c>
    </row>
    <row r="1021" spans="12:21">
      <c r="L1021" s="31">
        <v>156707</v>
      </c>
      <c r="M1021" s="35" t="s">
        <v>10</v>
      </c>
      <c r="N1021" s="32" t="s">
        <v>22</v>
      </c>
      <c r="O1021" s="32" t="s">
        <v>23</v>
      </c>
      <c r="P1021" s="32" t="s">
        <v>19</v>
      </c>
      <c r="Q1021" s="32" t="s">
        <v>14</v>
      </c>
      <c r="R1021" s="32" t="s">
        <v>24</v>
      </c>
      <c r="S1021" s="32">
        <v>70672</v>
      </c>
      <c r="T1021" s="32">
        <v>4732</v>
      </c>
      <c r="U1021" s="83">
        <v>65940</v>
      </c>
    </row>
    <row r="1022" spans="12:21">
      <c r="L1022" s="34">
        <v>177311</v>
      </c>
      <c r="M1022" s="35" t="s">
        <v>10</v>
      </c>
      <c r="N1022" s="35" t="s">
        <v>25</v>
      </c>
      <c r="O1022" s="35" t="s">
        <v>26</v>
      </c>
      <c r="P1022" s="35" t="s">
        <v>13</v>
      </c>
      <c r="Q1022" s="35" t="s">
        <v>14</v>
      </c>
      <c r="R1022" s="35" t="s">
        <v>24</v>
      </c>
      <c r="S1022" s="35">
        <v>49168</v>
      </c>
      <c r="T1022" s="35">
        <v>7787</v>
      </c>
      <c r="U1022" s="84">
        <v>41381</v>
      </c>
    </row>
    <row r="1023" spans="12:21">
      <c r="L1023" s="31">
        <v>166315</v>
      </c>
      <c r="M1023" s="35" t="s">
        <v>10</v>
      </c>
      <c r="N1023" s="32" t="s">
        <v>22</v>
      </c>
      <c r="O1023" s="32" t="s">
        <v>18</v>
      </c>
      <c r="P1023" s="32" t="s">
        <v>13</v>
      </c>
      <c r="Q1023" s="32" t="s">
        <v>14</v>
      </c>
      <c r="R1023" s="32" t="s">
        <v>15</v>
      </c>
      <c r="S1023" s="32">
        <v>69092</v>
      </c>
      <c r="T1023" s="32">
        <v>5472</v>
      </c>
      <c r="U1023" s="83">
        <v>63620</v>
      </c>
    </row>
    <row r="1024" spans="12:21">
      <c r="L1024" s="34">
        <v>60300</v>
      </c>
      <c r="M1024" s="35" t="s">
        <v>10</v>
      </c>
      <c r="N1024" s="35" t="s">
        <v>27</v>
      </c>
      <c r="O1024" s="35" t="s">
        <v>12</v>
      </c>
      <c r="P1024" s="35" t="s">
        <v>13</v>
      </c>
      <c r="Q1024" s="35" t="s">
        <v>28</v>
      </c>
      <c r="R1024" s="35" t="s">
        <v>15</v>
      </c>
      <c r="S1024" s="35">
        <v>94769</v>
      </c>
      <c r="T1024" s="35">
        <v>838</v>
      </c>
      <c r="U1024" s="84">
        <v>93931</v>
      </c>
    </row>
    <row r="1025" spans="12:21">
      <c r="L1025" s="31">
        <v>251518</v>
      </c>
      <c r="M1025" s="35" t="s">
        <v>10</v>
      </c>
      <c r="N1025" s="32" t="s">
        <v>17</v>
      </c>
      <c r="O1025" s="32" t="s">
        <v>23</v>
      </c>
      <c r="P1025" s="32" t="s">
        <v>13</v>
      </c>
      <c r="Q1025" s="32" t="s">
        <v>14</v>
      </c>
      <c r="R1025" s="32" t="s">
        <v>24</v>
      </c>
      <c r="S1025" s="32">
        <v>43127</v>
      </c>
      <c r="T1025" s="32">
        <v>136</v>
      </c>
      <c r="U1025" s="83">
        <v>42991</v>
      </c>
    </row>
    <row r="1026" spans="12:21">
      <c r="L1026" s="34">
        <v>109650</v>
      </c>
      <c r="M1026" s="35" t="s">
        <v>10</v>
      </c>
      <c r="N1026" s="35" t="s">
        <v>22</v>
      </c>
      <c r="O1026" s="35" t="s">
        <v>23</v>
      </c>
      <c r="P1026" s="35" t="s">
        <v>19</v>
      </c>
      <c r="Q1026" s="35" t="s">
        <v>28</v>
      </c>
      <c r="R1026" s="35" t="s">
        <v>15</v>
      </c>
      <c r="S1026" s="35">
        <v>120743</v>
      </c>
      <c r="T1026" s="35">
        <v>4363</v>
      </c>
      <c r="U1026" s="84">
        <v>116380</v>
      </c>
    </row>
    <row r="1027" spans="12:21">
      <c r="L1027" s="31">
        <v>67127</v>
      </c>
      <c r="M1027" s="35" t="s">
        <v>10</v>
      </c>
      <c r="N1027" s="32" t="s">
        <v>27</v>
      </c>
      <c r="O1027" s="32" t="s">
        <v>29</v>
      </c>
      <c r="P1027" s="32" t="s">
        <v>13</v>
      </c>
      <c r="Q1027" s="32" t="s">
        <v>14</v>
      </c>
      <c r="R1027" s="32" t="s">
        <v>15</v>
      </c>
      <c r="S1027" s="32">
        <v>105006</v>
      </c>
      <c r="T1027" s="32">
        <v>891</v>
      </c>
      <c r="U1027" s="83">
        <v>104115</v>
      </c>
    </row>
    <row r="1028" spans="12:21">
      <c r="L1028" s="34">
        <v>179791</v>
      </c>
      <c r="M1028" s="35" t="s">
        <v>10</v>
      </c>
      <c r="N1028" s="35" t="s">
        <v>31</v>
      </c>
      <c r="O1028" s="35" t="s">
        <v>32</v>
      </c>
      <c r="P1028" s="35" t="s">
        <v>19</v>
      </c>
      <c r="Q1028" s="35" t="s">
        <v>14</v>
      </c>
      <c r="R1028" s="35" t="s">
        <v>15</v>
      </c>
      <c r="S1028" s="35">
        <v>329</v>
      </c>
      <c r="T1028" s="35">
        <v>0</v>
      </c>
      <c r="U1028" s="84">
        <v>329</v>
      </c>
    </row>
    <row r="1029" spans="12:21">
      <c r="L1029" s="31">
        <v>167286</v>
      </c>
      <c r="M1029" s="35" t="s">
        <v>10</v>
      </c>
      <c r="N1029" s="32" t="s">
        <v>22</v>
      </c>
      <c r="O1029" s="32" t="s">
        <v>26</v>
      </c>
      <c r="P1029" s="32" t="s">
        <v>13</v>
      </c>
      <c r="Q1029" s="32" t="s">
        <v>14</v>
      </c>
      <c r="R1029" s="32" t="s">
        <v>15</v>
      </c>
      <c r="S1029" s="32">
        <v>90156</v>
      </c>
      <c r="T1029" s="32">
        <v>159</v>
      </c>
      <c r="U1029" s="83">
        <v>89997</v>
      </c>
    </row>
    <row r="1030" spans="12:21">
      <c r="L1030" s="34">
        <v>242762</v>
      </c>
      <c r="M1030" s="35" t="s">
        <v>10</v>
      </c>
      <c r="N1030" s="35" t="s">
        <v>17</v>
      </c>
      <c r="O1030" s="35" t="s">
        <v>23</v>
      </c>
      <c r="P1030" s="35" t="s">
        <v>19</v>
      </c>
      <c r="Q1030" s="35" t="s">
        <v>14</v>
      </c>
      <c r="R1030" s="35" t="s">
        <v>15</v>
      </c>
      <c r="S1030" s="35">
        <v>144244</v>
      </c>
      <c r="T1030" s="35">
        <v>17669</v>
      </c>
      <c r="U1030" s="84">
        <v>126575</v>
      </c>
    </row>
    <row r="1031" spans="12:21">
      <c r="L1031" s="31">
        <v>45835</v>
      </c>
      <c r="M1031" s="35" t="s">
        <v>10</v>
      </c>
      <c r="N1031" s="32" t="s">
        <v>35</v>
      </c>
      <c r="O1031" s="32" t="s">
        <v>36</v>
      </c>
      <c r="P1031" s="32" t="s">
        <v>13</v>
      </c>
      <c r="Q1031" s="32" t="s">
        <v>14</v>
      </c>
      <c r="R1031" s="32" t="s">
        <v>15</v>
      </c>
      <c r="S1031" s="32">
        <v>51530</v>
      </c>
      <c r="T1031" s="32">
        <v>10087</v>
      </c>
      <c r="U1031" s="83">
        <v>41443</v>
      </c>
    </row>
    <row r="1032" spans="12:21">
      <c r="L1032" s="34">
        <v>189155</v>
      </c>
      <c r="M1032" s="35" t="s">
        <v>10</v>
      </c>
      <c r="N1032" s="35" t="s">
        <v>37</v>
      </c>
      <c r="O1032" s="35" t="s">
        <v>32</v>
      </c>
      <c r="P1032" s="35" t="s">
        <v>19</v>
      </c>
      <c r="Q1032" s="35" t="s">
        <v>14</v>
      </c>
      <c r="R1032" s="35" t="s">
        <v>15</v>
      </c>
      <c r="S1032" s="35">
        <v>201030</v>
      </c>
      <c r="T1032" s="35">
        <v>7536</v>
      </c>
      <c r="U1032" s="84">
        <v>193494</v>
      </c>
    </row>
    <row r="1033" spans="12:21">
      <c r="L1033" s="31">
        <v>7156</v>
      </c>
      <c r="M1033" s="35" t="s">
        <v>10</v>
      </c>
      <c r="N1033" s="32" t="s">
        <v>38</v>
      </c>
      <c r="O1033" s="32" t="s">
        <v>30</v>
      </c>
      <c r="P1033" s="32" t="s">
        <v>13</v>
      </c>
      <c r="Q1033" s="32" t="s">
        <v>14</v>
      </c>
      <c r="R1033" s="32" t="s">
        <v>15</v>
      </c>
      <c r="S1033" s="32">
        <v>106667</v>
      </c>
      <c r="T1033" s="32">
        <v>1418</v>
      </c>
      <c r="U1033" s="83">
        <v>105249</v>
      </c>
    </row>
    <row r="1034" spans="12:21">
      <c r="L1034" s="34">
        <v>238600</v>
      </c>
      <c r="M1034" s="35" t="s">
        <v>10</v>
      </c>
      <c r="N1034" s="35" t="s">
        <v>17</v>
      </c>
      <c r="O1034" s="35" t="s">
        <v>23</v>
      </c>
      <c r="P1034" s="35" t="s">
        <v>19</v>
      </c>
      <c r="Q1034" s="35" t="s">
        <v>14</v>
      </c>
      <c r="R1034" s="35" t="s">
        <v>15</v>
      </c>
      <c r="S1034" s="35">
        <v>106932</v>
      </c>
      <c r="T1034" s="35">
        <v>5285</v>
      </c>
      <c r="U1034" s="84">
        <v>101647</v>
      </c>
    </row>
    <row r="1035" spans="12:21">
      <c r="L1035" s="31">
        <v>203234</v>
      </c>
      <c r="M1035" s="35" t="s">
        <v>10</v>
      </c>
      <c r="N1035" s="32" t="s">
        <v>39</v>
      </c>
      <c r="O1035" s="32" t="s">
        <v>32</v>
      </c>
      <c r="P1035" s="32" t="s">
        <v>13</v>
      </c>
      <c r="Q1035" s="32" t="s">
        <v>14</v>
      </c>
      <c r="R1035" s="32" t="s">
        <v>15</v>
      </c>
      <c r="S1035" s="32">
        <v>26386</v>
      </c>
      <c r="T1035" s="32">
        <v>6624</v>
      </c>
      <c r="U1035" s="83">
        <v>19762</v>
      </c>
    </row>
    <row r="1036" spans="12:21">
      <c r="L1036" s="34">
        <v>163859</v>
      </c>
      <c r="M1036" s="35" t="s">
        <v>10</v>
      </c>
      <c r="N1036" s="35" t="s">
        <v>22</v>
      </c>
      <c r="O1036" s="35" t="s">
        <v>26</v>
      </c>
      <c r="P1036" s="35" t="s">
        <v>13</v>
      </c>
      <c r="Q1036" s="35" t="s">
        <v>14</v>
      </c>
      <c r="R1036" s="35" t="s">
        <v>24</v>
      </c>
      <c r="S1036" s="35">
        <v>53285</v>
      </c>
      <c r="T1036" s="35">
        <v>5265</v>
      </c>
      <c r="U1036" s="84">
        <v>48020</v>
      </c>
    </row>
    <row r="1037" spans="12:21">
      <c r="L1037" s="31">
        <v>86621</v>
      </c>
      <c r="M1037" s="35" t="s">
        <v>10</v>
      </c>
      <c r="N1037" s="32" t="s">
        <v>39</v>
      </c>
      <c r="O1037" s="32" t="s">
        <v>23</v>
      </c>
      <c r="P1037" s="32" t="s">
        <v>19</v>
      </c>
      <c r="Q1037" s="32" t="s">
        <v>14</v>
      </c>
      <c r="R1037" s="32" t="s">
        <v>24</v>
      </c>
      <c r="S1037" s="32">
        <v>45319</v>
      </c>
      <c r="T1037" s="32">
        <v>4715</v>
      </c>
      <c r="U1037" s="83">
        <v>40604</v>
      </c>
    </row>
    <row r="1038" spans="12:21">
      <c r="L1038" s="34">
        <v>94969</v>
      </c>
      <c r="M1038" s="35" t="s">
        <v>10</v>
      </c>
      <c r="N1038" s="35" t="s">
        <v>39</v>
      </c>
      <c r="O1038" s="35" t="s">
        <v>32</v>
      </c>
      <c r="P1038" s="35" t="s">
        <v>19</v>
      </c>
      <c r="Q1038" s="35" t="s">
        <v>14</v>
      </c>
      <c r="R1038" s="35" t="s">
        <v>24</v>
      </c>
      <c r="S1038" s="35">
        <v>25568</v>
      </c>
      <c r="T1038" s="35">
        <v>0</v>
      </c>
      <c r="U1038" s="84">
        <v>25568</v>
      </c>
    </row>
    <row r="1039" spans="12:21">
      <c r="L1039" s="31">
        <v>118096</v>
      </c>
      <c r="M1039" s="35" t="s">
        <v>10</v>
      </c>
      <c r="N1039" s="32" t="s">
        <v>31</v>
      </c>
      <c r="O1039" s="32" t="s">
        <v>36</v>
      </c>
      <c r="P1039" s="32" t="s">
        <v>19</v>
      </c>
      <c r="Q1039" s="32" t="s">
        <v>14</v>
      </c>
      <c r="R1039" s="32" t="s">
        <v>24</v>
      </c>
      <c r="S1039" s="32">
        <v>32117</v>
      </c>
      <c r="T1039" s="32">
        <v>1063</v>
      </c>
      <c r="U1039" s="83">
        <v>31054</v>
      </c>
    </row>
    <row r="1040" spans="12:21">
      <c r="L1040" s="34">
        <v>139323</v>
      </c>
      <c r="M1040" s="35" t="s">
        <v>10</v>
      </c>
      <c r="N1040" s="35" t="s">
        <v>25</v>
      </c>
      <c r="O1040" s="35" t="s">
        <v>32</v>
      </c>
      <c r="P1040" s="35" t="s">
        <v>19</v>
      </c>
      <c r="Q1040" s="35" t="s">
        <v>14</v>
      </c>
      <c r="R1040" s="35" t="s">
        <v>24</v>
      </c>
      <c r="S1040" s="35">
        <v>25564</v>
      </c>
      <c r="T1040" s="35">
        <v>0</v>
      </c>
      <c r="U1040" s="84">
        <v>25564</v>
      </c>
    </row>
    <row r="1041" spans="12:21">
      <c r="L1041" s="31">
        <v>125391</v>
      </c>
      <c r="M1041" s="35" t="s">
        <v>10</v>
      </c>
      <c r="N1041" s="32" t="s">
        <v>31</v>
      </c>
      <c r="O1041" s="32" t="s">
        <v>18</v>
      </c>
      <c r="P1041" s="32" t="s">
        <v>19</v>
      </c>
      <c r="Q1041" s="32" t="s">
        <v>14</v>
      </c>
      <c r="R1041" s="32" t="s">
        <v>15</v>
      </c>
      <c r="S1041" s="32">
        <v>25716</v>
      </c>
      <c r="T1041" s="32">
        <v>2608</v>
      </c>
      <c r="U1041" s="83">
        <v>23108</v>
      </c>
    </row>
    <row r="1042" spans="12:21">
      <c r="L1042" s="34">
        <v>196524</v>
      </c>
      <c r="M1042" s="35" t="s">
        <v>10</v>
      </c>
      <c r="N1042" s="35" t="s">
        <v>11</v>
      </c>
      <c r="O1042" s="35" t="s">
        <v>12</v>
      </c>
      <c r="P1042" s="35" t="s">
        <v>13</v>
      </c>
      <c r="Q1042" s="35" t="s">
        <v>14</v>
      </c>
      <c r="R1042" s="35" t="s">
        <v>15</v>
      </c>
      <c r="S1042" s="35">
        <v>50038</v>
      </c>
      <c r="T1042" s="35">
        <v>282</v>
      </c>
      <c r="U1042" s="84">
        <v>49756</v>
      </c>
    </row>
    <row r="1043" spans="12:21">
      <c r="L1043" s="31">
        <v>240294</v>
      </c>
      <c r="M1043" s="35" t="s">
        <v>10</v>
      </c>
      <c r="N1043" s="32" t="s">
        <v>25</v>
      </c>
      <c r="O1043" s="32" t="s">
        <v>36</v>
      </c>
      <c r="P1043" s="32" t="s">
        <v>19</v>
      </c>
      <c r="Q1043" s="32" t="s">
        <v>28</v>
      </c>
      <c r="R1043" s="32" t="s">
        <v>24</v>
      </c>
      <c r="S1043" s="32">
        <v>19124</v>
      </c>
      <c r="T1043" s="32">
        <v>0</v>
      </c>
      <c r="U1043" s="83">
        <v>19124</v>
      </c>
    </row>
    <row r="1044" spans="12:21">
      <c r="L1044" s="34">
        <v>189610</v>
      </c>
      <c r="M1044" s="35" t="s">
        <v>10</v>
      </c>
      <c r="N1044" s="35" t="s">
        <v>37</v>
      </c>
      <c r="O1044" s="35" t="s">
        <v>30</v>
      </c>
      <c r="P1044" s="35" t="s">
        <v>13</v>
      </c>
      <c r="Q1044" s="35" t="s">
        <v>14</v>
      </c>
      <c r="R1044" s="35" t="s">
        <v>15</v>
      </c>
      <c r="S1044" s="35">
        <v>665612</v>
      </c>
      <c r="T1044" s="35">
        <v>1952</v>
      </c>
      <c r="U1044" s="84">
        <v>663660</v>
      </c>
    </row>
    <row r="1045" spans="12:21">
      <c r="L1045" s="31">
        <v>64176</v>
      </c>
      <c r="M1045" s="35" t="s">
        <v>10</v>
      </c>
      <c r="N1045" s="32" t="s">
        <v>27</v>
      </c>
      <c r="O1045" s="32" t="s">
        <v>30</v>
      </c>
      <c r="P1045" s="32" t="s">
        <v>13</v>
      </c>
      <c r="Q1045" s="32" t="s">
        <v>14</v>
      </c>
      <c r="R1045" s="32" t="s">
        <v>15</v>
      </c>
      <c r="S1045" s="32">
        <v>84178</v>
      </c>
      <c r="T1045" s="32">
        <v>760</v>
      </c>
      <c r="U1045" s="83">
        <v>83418</v>
      </c>
    </row>
    <row r="1046" spans="12:21">
      <c r="L1046" s="34">
        <v>92976</v>
      </c>
      <c r="M1046" s="35" t="s">
        <v>10</v>
      </c>
      <c r="N1046" s="35" t="s">
        <v>37</v>
      </c>
      <c r="O1046" s="35" t="s">
        <v>32</v>
      </c>
      <c r="P1046" s="35" t="s">
        <v>19</v>
      </c>
      <c r="Q1046" s="35" t="s">
        <v>14</v>
      </c>
      <c r="R1046" s="35" t="s">
        <v>24</v>
      </c>
      <c r="S1046" s="35">
        <v>49236</v>
      </c>
      <c r="T1046" s="35">
        <v>162</v>
      </c>
      <c r="U1046" s="84">
        <v>49074</v>
      </c>
    </row>
    <row r="1047" spans="12:21">
      <c r="L1047" s="31">
        <v>252207</v>
      </c>
      <c r="M1047" s="35" t="s">
        <v>10</v>
      </c>
      <c r="N1047" s="32" t="s">
        <v>35</v>
      </c>
      <c r="O1047" s="32" t="s">
        <v>32</v>
      </c>
      <c r="P1047" s="32" t="s">
        <v>13</v>
      </c>
      <c r="Q1047" s="32" t="s">
        <v>28</v>
      </c>
      <c r="R1047" s="32" t="s">
        <v>24</v>
      </c>
      <c r="S1047" s="32">
        <v>9527</v>
      </c>
      <c r="T1047" s="32">
        <v>0</v>
      </c>
      <c r="U1047" s="83">
        <v>9527</v>
      </c>
    </row>
    <row r="1048" spans="12:21">
      <c r="L1048" s="34">
        <v>99780</v>
      </c>
      <c r="M1048" s="35" t="s">
        <v>10</v>
      </c>
      <c r="N1048" s="35" t="s">
        <v>34</v>
      </c>
      <c r="O1048" s="35" t="s">
        <v>32</v>
      </c>
      <c r="P1048" s="35" t="s">
        <v>19</v>
      </c>
      <c r="Q1048" s="35" t="s">
        <v>14</v>
      </c>
      <c r="R1048" s="35" t="s">
        <v>24</v>
      </c>
      <c r="S1048" s="35">
        <v>66500</v>
      </c>
      <c r="T1048" s="35">
        <v>0</v>
      </c>
      <c r="U1048" s="84">
        <v>66500</v>
      </c>
    </row>
    <row r="1049" spans="12:21">
      <c r="L1049" s="31">
        <v>98602</v>
      </c>
      <c r="M1049" s="35" t="s">
        <v>10</v>
      </c>
      <c r="N1049" s="32" t="s">
        <v>34</v>
      </c>
      <c r="O1049" s="32" t="s">
        <v>23</v>
      </c>
      <c r="P1049" s="32" t="s">
        <v>13</v>
      </c>
      <c r="Q1049" s="32" t="s">
        <v>28</v>
      </c>
      <c r="R1049" s="32" t="s">
        <v>24</v>
      </c>
      <c r="S1049" s="32">
        <v>61386</v>
      </c>
      <c r="T1049" s="32">
        <v>1007</v>
      </c>
      <c r="U1049" s="83">
        <v>60379</v>
      </c>
    </row>
    <row r="1050" spans="12:21">
      <c r="L1050" s="34">
        <v>219950</v>
      </c>
      <c r="M1050" s="35" t="s">
        <v>10</v>
      </c>
      <c r="N1050" s="35" t="s">
        <v>27</v>
      </c>
      <c r="O1050" s="35" t="s">
        <v>12</v>
      </c>
      <c r="P1050" s="35" t="s">
        <v>13</v>
      </c>
      <c r="Q1050" s="35" t="s">
        <v>14</v>
      </c>
      <c r="R1050" s="35" t="s">
        <v>15</v>
      </c>
      <c r="S1050" s="35">
        <v>83925</v>
      </c>
      <c r="T1050" s="35">
        <v>1109</v>
      </c>
      <c r="U1050" s="84">
        <v>82816</v>
      </c>
    </row>
    <row r="1051" spans="12:21">
      <c r="L1051" s="31">
        <v>41926</v>
      </c>
      <c r="M1051" s="35" t="s">
        <v>10</v>
      </c>
      <c r="N1051" s="32" t="s">
        <v>35</v>
      </c>
      <c r="O1051" s="32" t="s">
        <v>23</v>
      </c>
      <c r="P1051" s="32" t="s">
        <v>13</v>
      </c>
      <c r="Q1051" s="32" t="s">
        <v>14</v>
      </c>
      <c r="R1051" s="32" t="s">
        <v>15</v>
      </c>
      <c r="S1051" s="32">
        <v>37523</v>
      </c>
      <c r="T1051" s="32">
        <v>0</v>
      </c>
      <c r="U1051" s="83">
        <v>37523</v>
      </c>
    </row>
    <row r="1052" spans="12:21">
      <c r="L1052" s="34">
        <v>89197</v>
      </c>
      <c r="M1052" s="35" t="s">
        <v>10</v>
      </c>
      <c r="N1052" s="35" t="s">
        <v>20</v>
      </c>
      <c r="O1052" s="35" t="s">
        <v>32</v>
      </c>
      <c r="P1052" s="35" t="s">
        <v>13</v>
      </c>
      <c r="Q1052" s="35" t="s">
        <v>28</v>
      </c>
      <c r="R1052" s="35" t="s">
        <v>15</v>
      </c>
      <c r="S1052" s="35">
        <v>59910</v>
      </c>
      <c r="T1052" s="35">
        <v>21</v>
      </c>
      <c r="U1052" s="84">
        <v>59889</v>
      </c>
    </row>
    <row r="1053" spans="12:21">
      <c r="L1053" s="31">
        <v>80813</v>
      </c>
      <c r="M1053" s="35" t="s">
        <v>10</v>
      </c>
      <c r="N1053" s="32" t="s">
        <v>38</v>
      </c>
      <c r="O1053" s="32" t="s">
        <v>32</v>
      </c>
      <c r="P1053" s="32" t="s">
        <v>13</v>
      </c>
      <c r="Q1053" s="32" t="s">
        <v>14</v>
      </c>
      <c r="R1053" s="32" t="s">
        <v>15</v>
      </c>
      <c r="S1053" s="32">
        <v>10439</v>
      </c>
      <c r="T1053" s="32">
        <v>0</v>
      </c>
      <c r="U1053" s="83">
        <v>10439</v>
      </c>
    </row>
    <row r="1054" spans="12:21">
      <c r="L1054" s="34">
        <v>249509</v>
      </c>
      <c r="M1054" s="35" t="s">
        <v>10</v>
      </c>
      <c r="N1054" s="35" t="s">
        <v>25</v>
      </c>
      <c r="O1054" s="35" t="s">
        <v>30</v>
      </c>
      <c r="P1054" s="35" t="s">
        <v>19</v>
      </c>
      <c r="Q1054" s="35" t="s">
        <v>14</v>
      </c>
      <c r="R1054" s="35" t="s">
        <v>15</v>
      </c>
      <c r="S1054" s="35">
        <v>54325</v>
      </c>
      <c r="T1054" s="35">
        <v>1121</v>
      </c>
      <c r="U1054" s="84">
        <v>53204</v>
      </c>
    </row>
    <row r="1055" spans="12:21">
      <c r="L1055" s="31">
        <v>222425</v>
      </c>
      <c r="M1055" s="35" t="s">
        <v>10</v>
      </c>
      <c r="N1055" s="32" t="s">
        <v>27</v>
      </c>
      <c r="O1055" s="32" t="s">
        <v>30</v>
      </c>
      <c r="P1055" s="32" t="s">
        <v>13</v>
      </c>
      <c r="Q1055" s="32" t="s">
        <v>28</v>
      </c>
      <c r="R1055" s="32" t="s">
        <v>15</v>
      </c>
      <c r="S1055" s="32">
        <v>79237</v>
      </c>
      <c r="T1055" s="32">
        <v>785</v>
      </c>
      <c r="U1055" s="83">
        <v>78452</v>
      </c>
    </row>
    <row r="1056" spans="12:21">
      <c r="L1056" s="34">
        <v>107732</v>
      </c>
      <c r="M1056" s="35" t="s">
        <v>10</v>
      </c>
      <c r="N1056" s="35" t="s">
        <v>22</v>
      </c>
      <c r="O1056" s="35" t="s">
        <v>12</v>
      </c>
      <c r="P1056" s="35" t="s">
        <v>13</v>
      </c>
      <c r="Q1056" s="35" t="s">
        <v>28</v>
      </c>
      <c r="R1056" s="35" t="s">
        <v>15</v>
      </c>
      <c r="S1056" s="35">
        <v>71800</v>
      </c>
      <c r="T1056" s="35">
        <v>2664</v>
      </c>
      <c r="U1056" s="84">
        <v>69136</v>
      </c>
    </row>
    <row r="1057" spans="12:21">
      <c r="L1057" s="31">
        <v>135040</v>
      </c>
      <c r="M1057" s="35" t="s">
        <v>10</v>
      </c>
      <c r="N1057" s="32" t="s">
        <v>11</v>
      </c>
      <c r="O1057" s="32" t="s">
        <v>12</v>
      </c>
      <c r="P1057" s="32" t="s">
        <v>13</v>
      </c>
      <c r="Q1057" s="32" t="s">
        <v>14</v>
      </c>
      <c r="R1057" s="32" t="s">
        <v>15</v>
      </c>
      <c r="S1057" s="32">
        <v>132544</v>
      </c>
      <c r="T1057" s="32">
        <v>21465</v>
      </c>
      <c r="U1057" s="83">
        <v>111079</v>
      </c>
    </row>
    <row r="1058" spans="12:21">
      <c r="L1058" s="34">
        <v>83231</v>
      </c>
      <c r="M1058" s="35" t="s">
        <v>10</v>
      </c>
      <c r="N1058" s="35" t="s">
        <v>34</v>
      </c>
      <c r="O1058" s="35" t="s">
        <v>36</v>
      </c>
      <c r="P1058" s="35" t="s">
        <v>13</v>
      </c>
      <c r="Q1058" s="35" t="s">
        <v>14</v>
      </c>
      <c r="R1058" s="35" t="s">
        <v>15</v>
      </c>
      <c r="S1058" s="35">
        <v>66671</v>
      </c>
      <c r="T1058" s="35">
        <v>1262</v>
      </c>
      <c r="U1058" s="84">
        <v>65409</v>
      </c>
    </row>
    <row r="1059" spans="12:21">
      <c r="L1059" s="31">
        <v>233525</v>
      </c>
      <c r="M1059" s="35" t="s">
        <v>10</v>
      </c>
      <c r="N1059" s="32" t="s">
        <v>27</v>
      </c>
      <c r="O1059" s="32" t="s">
        <v>32</v>
      </c>
      <c r="P1059" s="32" t="s">
        <v>13</v>
      </c>
      <c r="Q1059" s="32" t="s">
        <v>14</v>
      </c>
      <c r="R1059" s="32" t="s">
        <v>24</v>
      </c>
      <c r="S1059" s="32">
        <v>207850</v>
      </c>
      <c r="T1059" s="32">
        <v>0</v>
      </c>
      <c r="U1059" s="83">
        <v>207850</v>
      </c>
    </row>
    <row r="1060" spans="12:21">
      <c r="L1060" s="34">
        <v>176406</v>
      </c>
      <c r="M1060" s="35" t="s">
        <v>10</v>
      </c>
      <c r="N1060" s="35" t="s">
        <v>17</v>
      </c>
      <c r="O1060" s="35" t="s">
        <v>26</v>
      </c>
      <c r="P1060" s="35" t="s">
        <v>19</v>
      </c>
      <c r="Q1060" s="35" t="s">
        <v>28</v>
      </c>
      <c r="R1060" s="35" t="s">
        <v>24</v>
      </c>
      <c r="S1060" s="35">
        <v>34495</v>
      </c>
      <c r="T1060" s="35">
        <v>141</v>
      </c>
      <c r="U1060" s="84">
        <v>34354</v>
      </c>
    </row>
    <row r="1061" spans="12:21">
      <c r="L1061" s="31">
        <v>228625</v>
      </c>
      <c r="M1061" s="35" t="s">
        <v>10</v>
      </c>
      <c r="N1061" s="32" t="s">
        <v>22</v>
      </c>
      <c r="O1061" s="32" t="s">
        <v>23</v>
      </c>
      <c r="P1061" s="32" t="s">
        <v>19</v>
      </c>
      <c r="Q1061" s="32" t="s">
        <v>14</v>
      </c>
      <c r="R1061" s="32" t="s">
        <v>15</v>
      </c>
      <c r="S1061" s="32">
        <v>13399</v>
      </c>
      <c r="T1061" s="32">
        <v>903</v>
      </c>
      <c r="U1061" s="83">
        <v>12496</v>
      </c>
    </row>
    <row r="1062" spans="12:21">
      <c r="L1062" s="34">
        <v>226060</v>
      </c>
      <c r="M1062" s="35" t="s">
        <v>10</v>
      </c>
      <c r="N1062" s="35" t="s">
        <v>17</v>
      </c>
      <c r="O1062" s="35" t="s">
        <v>21</v>
      </c>
      <c r="P1062" s="35" t="s">
        <v>13</v>
      </c>
      <c r="Q1062" s="35" t="s">
        <v>14</v>
      </c>
      <c r="R1062" s="35" t="s">
        <v>15</v>
      </c>
      <c r="S1062" s="35">
        <v>38149</v>
      </c>
      <c r="T1062" s="35">
        <v>1366</v>
      </c>
      <c r="U1062" s="84">
        <v>36783</v>
      </c>
    </row>
    <row r="1063" spans="12:21">
      <c r="L1063" s="31">
        <v>3282</v>
      </c>
      <c r="M1063" s="35" t="s">
        <v>10</v>
      </c>
      <c r="N1063" s="32" t="s">
        <v>37</v>
      </c>
      <c r="O1063" s="32" t="s">
        <v>23</v>
      </c>
      <c r="P1063" s="32" t="s">
        <v>13</v>
      </c>
      <c r="Q1063" s="32" t="s">
        <v>14</v>
      </c>
      <c r="R1063" s="32" t="s">
        <v>15</v>
      </c>
      <c r="S1063" s="32">
        <v>65209</v>
      </c>
      <c r="T1063" s="32">
        <v>5368</v>
      </c>
      <c r="U1063" s="83">
        <v>59841</v>
      </c>
    </row>
    <row r="1064" spans="12:21">
      <c r="L1064" s="34">
        <v>256186</v>
      </c>
      <c r="M1064" s="35" t="s">
        <v>10</v>
      </c>
      <c r="N1064" s="35" t="s">
        <v>17</v>
      </c>
      <c r="O1064" s="35" t="s">
        <v>29</v>
      </c>
      <c r="P1064" s="35" t="s">
        <v>19</v>
      </c>
      <c r="Q1064" s="35" t="s">
        <v>14</v>
      </c>
      <c r="R1064" s="35" t="s">
        <v>24</v>
      </c>
      <c r="S1064" s="35">
        <v>38984</v>
      </c>
      <c r="T1064" s="35">
        <v>752</v>
      </c>
      <c r="U1064" s="84">
        <v>38232</v>
      </c>
    </row>
    <row r="1065" spans="12:21">
      <c r="L1065" s="31">
        <v>219670</v>
      </c>
      <c r="M1065" s="35" t="s">
        <v>10</v>
      </c>
      <c r="N1065" s="32" t="s">
        <v>37</v>
      </c>
      <c r="O1065" s="32" t="s">
        <v>33</v>
      </c>
      <c r="P1065" s="32" t="s">
        <v>19</v>
      </c>
      <c r="Q1065" s="32" t="s">
        <v>28</v>
      </c>
      <c r="R1065" s="32" t="s">
        <v>15</v>
      </c>
      <c r="S1065" s="32">
        <v>59711</v>
      </c>
      <c r="T1065" s="32">
        <v>0</v>
      </c>
      <c r="U1065" s="83">
        <v>59711</v>
      </c>
    </row>
    <row r="1066" spans="12:21">
      <c r="L1066" s="34">
        <v>74035</v>
      </c>
      <c r="M1066" s="35" t="s">
        <v>10</v>
      </c>
      <c r="N1066" s="35" t="s">
        <v>34</v>
      </c>
      <c r="O1066" s="35" t="s">
        <v>32</v>
      </c>
      <c r="P1066" s="35" t="s">
        <v>19</v>
      </c>
      <c r="Q1066" s="35" t="s">
        <v>14</v>
      </c>
      <c r="R1066" s="35" t="s">
        <v>15</v>
      </c>
      <c r="S1066" s="35">
        <v>26987</v>
      </c>
      <c r="T1066" s="35">
        <v>0</v>
      </c>
      <c r="U1066" s="84">
        <v>26987</v>
      </c>
    </row>
    <row r="1067" spans="12:21">
      <c r="L1067" s="31">
        <v>57323</v>
      </c>
      <c r="M1067" s="35" t="s">
        <v>10</v>
      </c>
      <c r="N1067" s="32" t="s">
        <v>35</v>
      </c>
      <c r="O1067" s="32" t="s">
        <v>32</v>
      </c>
      <c r="P1067" s="32" t="s">
        <v>19</v>
      </c>
      <c r="Q1067" s="32" t="s">
        <v>14</v>
      </c>
      <c r="R1067" s="32" t="s">
        <v>15</v>
      </c>
      <c r="S1067" s="32">
        <v>7401</v>
      </c>
      <c r="T1067" s="32">
        <v>164</v>
      </c>
      <c r="U1067" s="83">
        <v>7237</v>
      </c>
    </row>
    <row r="1068" spans="12:21">
      <c r="L1068" s="34">
        <v>83104</v>
      </c>
      <c r="M1068" s="35" t="s">
        <v>10</v>
      </c>
      <c r="N1068" s="35" t="s">
        <v>37</v>
      </c>
      <c r="O1068" s="35" t="s">
        <v>32</v>
      </c>
      <c r="P1068" s="35" t="s">
        <v>13</v>
      </c>
      <c r="Q1068" s="35" t="s">
        <v>14</v>
      </c>
      <c r="R1068" s="35" t="s">
        <v>15</v>
      </c>
      <c r="S1068" s="35">
        <v>48152</v>
      </c>
      <c r="T1068" s="35">
        <v>5730</v>
      </c>
      <c r="U1068" s="84">
        <v>42422</v>
      </c>
    </row>
    <row r="1069" spans="12:21">
      <c r="L1069" s="31">
        <v>81717</v>
      </c>
      <c r="M1069" s="35" t="s">
        <v>10</v>
      </c>
      <c r="N1069" s="32" t="s">
        <v>20</v>
      </c>
      <c r="O1069" s="32" t="s">
        <v>32</v>
      </c>
      <c r="P1069" s="32" t="s">
        <v>13</v>
      </c>
      <c r="Q1069" s="32" t="s">
        <v>14</v>
      </c>
      <c r="R1069" s="32" t="s">
        <v>15</v>
      </c>
      <c r="S1069" s="32">
        <v>73677</v>
      </c>
      <c r="T1069" s="32">
        <v>703</v>
      </c>
      <c r="U1069" s="83">
        <v>72974</v>
      </c>
    </row>
    <row r="1070" spans="12:21">
      <c r="L1070" s="34">
        <v>179326</v>
      </c>
      <c r="M1070" s="35" t="s">
        <v>10</v>
      </c>
      <c r="N1070" s="35" t="s">
        <v>17</v>
      </c>
      <c r="O1070" s="35" t="s">
        <v>36</v>
      </c>
      <c r="P1070" s="35" t="s">
        <v>19</v>
      </c>
      <c r="Q1070" s="35" t="s">
        <v>14</v>
      </c>
      <c r="R1070" s="35" t="s">
        <v>15</v>
      </c>
      <c r="S1070" s="35">
        <v>46978</v>
      </c>
      <c r="T1070" s="35">
        <v>8353</v>
      </c>
      <c r="U1070" s="84">
        <v>38625</v>
      </c>
    </row>
    <row r="1071" spans="12:21">
      <c r="L1071" s="31">
        <v>162247</v>
      </c>
      <c r="M1071" s="35" t="s">
        <v>10</v>
      </c>
      <c r="N1071" s="32" t="s">
        <v>34</v>
      </c>
      <c r="O1071" s="32" t="s">
        <v>23</v>
      </c>
      <c r="P1071" s="32" t="s">
        <v>13</v>
      </c>
      <c r="Q1071" s="32" t="s">
        <v>14</v>
      </c>
      <c r="R1071" s="32" t="s">
        <v>15</v>
      </c>
      <c r="S1071" s="32">
        <v>50419</v>
      </c>
      <c r="T1071" s="32">
        <v>1508</v>
      </c>
      <c r="U1071" s="83">
        <v>48911</v>
      </c>
    </row>
    <row r="1072" spans="12:21">
      <c r="L1072" s="34">
        <v>147418</v>
      </c>
      <c r="M1072" s="35" t="s">
        <v>10</v>
      </c>
      <c r="N1072" s="35" t="s">
        <v>31</v>
      </c>
      <c r="O1072" s="35" t="s">
        <v>33</v>
      </c>
      <c r="P1072" s="35" t="s">
        <v>19</v>
      </c>
      <c r="Q1072" s="35" t="s">
        <v>14</v>
      </c>
      <c r="R1072" s="35" t="s">
        <v>15</v>
      </c>
      <c r="S1072" s="35">
        <v>92452</v>
      </c>
      <c r="T1072" s="35">
        <v>141</v>
      </c>
      <c r="U1072" s="84">
        <v>92311</v>
      </c>
    </row>
    <row r="1073" spans="12:21">
      <c r="L1073" s="31">
        <v>2760</v>
      </c>
      <c r="M1073" s="35" t="s">
        <v>10</v>
      </c>
      <c r="N1073" s="32" t="s">
        <v>39</v>
      </c>
      <c r="O1073" s="32" t="s">
        <v>32</v>
      </c>
      <c r="P1073" s="32" t="s">
        <v>13</v>
      </c>
      <c r="Q1073" s="32" t="s">
        <v>14</v>
      </c>
      <c r="R1073" s="32" t="s">
        <v>15</v>
      </c>
      <c r="S1073" s="32">
        <v>74000</v>
      </c>
      <c r="T1073" s="32">
        <v>0</v>
      </c>
      <c r="U1073" s="83">
        <v>74000</v>
      </c>
    </row>
    <row r="1074" spans="12:21">
      <c r="L1074" s="34">
        <v>210385</v>
      </c>
      <c r="M1074" s="35" t="s">
        <v>10</v>
      </c>
      <c r="N1074" s="35" t="s">
        <v>37</v>
      </c>
      <c r="O1074" s="35" t="s">
        <v>32</v>
      </c>
      <c r="P1074" s="35" t="s">
        <v>13</v>
      </c>
      <c r="Q1074" s="35" t="s">
        <v>14</v>
      </c>
      <c r="R1074" s="35" t="s">
        <v>15</v>
      </c>
      <c r="S1074" s="35">
        <v>17707</v>
      </c>
      <c r="T1074" s="35">
        <v>0</v>
      </c>
      <c r="U1074" s="84">
        <v>17707</v>
      </c>
    </row>
    <row r="1075" spans="12:21">
      <c r="L1075" s="31">
        <v>66360</v>
      </c>
      <c r="M1075" s="35" t="s">
        <v>10</v>
      </c>
      <c r="N1075" s="32" t="s">
        <v>27</v>
      </c>
      <c r="O1075" s="32" t="s">
        <v>23</v>
      </c>
      <c r="P1075" s="32" t="s">
        <v>13</v>
      </c>
      <c r="Q1075" s="32" t="s">
        <v>14</v>
      </c>
      <c r="R1075" s="32" t="s">
        <v>24</v>
      </c>
      <c r="S1075" s="32">
        <v>88783</v>
      </c>
      <c r="T1075" s="32">
        <v>6099</v>
      </c>
      <c r="U1075" s="83">
        <v>82684</v>
      </c>
    </row>
    <row r="1076" spans="12:21">
      <c r="L1076" s="34">
        <v>29380</v>
      </c>
      <c r="M1076" s="35" t="s">
        <v>10</v>
      </c>
      <c r="N1076" s="35" t="s">
        <v>34</v>
      </c>
      <c r="O1076" s="35" t="s">
        <v>30</v>
      </c>
      <c r="P1076" s="35" t="s">
        <v>13</v>
      </c>
      <c r="Q1076" s="35" t="s">
        <v>28</v>
      </c>
      <c r="R1076" s="35" t="s">
        <v>15</v>
      </c>
      <c r="S1076" s="35">
        <v>114667</v>
      </c>
      <c r="T1076" s="35">
        <v>514</v>
      </c>
      <c r="U1076" s="84">
        <v>114153</v>
      </c>
    </row>
    <row r="1077" spans="12:21">
      <c r="L1077" s="31">
        <v>235877</v>
      </c>
      <c r="M1077" s="35" t="s">
        <v>10</v>
      </c>
      <c r="N1077" s="32" t="s">
        <v>31</v>
      </c>
      <c r="O1077" s="32" t="s">
        <v>32</v>
      </c>
      <c r="P1077" s="32" t="s">
        <v>19</v>
      </c>
      <c r="Q1077" s="32" t="s">
        <v>14</v>
      </c>
      <c r="R1077" s="32" t="s">
        <v>24</v>
      </c>
      <c r="S1077" s="32">
        <v>31943</v>
      </c>
      <c r="T1077" s="32">
        <v>174</v>
      </c>
      <c r="U1077" s="83">
        <v>31769</v>
      </c>
    </row>
    <row r="1078" spans="12:21">
      <c r="L1078" s="34">
        <v>25944</v>
      </c>
      <c r="M1078" s="35" t="s">
        <v>10</v>
      </c>
      <c r="N1078" s="35" t="s">
        <v>11</v>
      </c>
      <c r="O1078" s="35" t="s">
        <v>32</v>
      </c>
      <c r="P1078" s="35" t="s">
        <v>13</v>
      </c>
      <c r="Q1078" s="35" t="s">
        <v>14</v>
      </c>
      <c r="R1078" s="35" t="s">
        <v>15</v>
      </c>
      <c r="S1078" s="35">
        <v>47786</v>
      </c>
      <c r="T1078" s="35">
        <v>40006</v>
      </c>
      <c r="U1078" s="84">
        <v>7780</v>
      </c>
    </row>
    <row r="1079" spans="12:21">
      <c r="L1079" s="31">
        <v>1628</v>
      </c>
      <c r="M1079" s="35" t="s">
        <v>10</v>
      </c>
      <c r="N1079" s="32" t="s">
        <v>39</v>
      </c>
      <c r="O1079" s="32" t="s">
        <v>32</v>
      </c>
      <c r="P1079" s="32" t="s">
        <v>19</v>
      </c>
      <c r="Q1079" s="32" t="s">
        <v>28</v>
      </c>
      <c r="R1079" s="32" t="s">
        <v>24</v>
      </c>
      <c r="S1079" s="32">
        <v>4081</v>
      </c>
      <c r="T1079" s="32">
        <v>0</v>
      </c>
      <c r="U1079" s="83">
        <v>4081</v>
      </c>
    </row>
    <row r="1080" spans="12:21">
      <c r="L1080" s="34">
        <v>199789</v>
      </c>
      <c r="M1080" s="35" t="s">
        <v>10</v>
      </c>
      <c r="N1080" s="35" t="s">
        <v>37</v>
      </c>
      <c r="O1080" s="35" t="s">
        <v>12</v>
      </c>
      <c r="P1080" s="35" t="s">
        <v>13</v>
      </c>
      <c r="Q1080" s="35" t="s">
        <v>14</v>
      </c>
      <c r="R1080" s="35" t="s">
        <v>15</v>
      </c>
      <c r="S1080" s="35">
        <v>329444</v>
      </c>
      <c r="T1080" s="35">
        <v>56551</v>
      </c>
      <c r="U1080" s="84">
        <v>272893</v>
      </c>
    </row>
    <row r="1081" spans="12:21">
      <c r="L1081" s="31">
        <v>167674</v>
      </c>
      <c r="M1081" s="35" t="s">
        <v>10</v>
      </c>
      <c r="N1081" s="32" t="s">
        <v>25</v>
      </c>
      <c r="O1081" s="32" t="s">
        <v>33</v>
      </c>
      <c r="P1081" s="32" t="s">
        <v>19</v>
      </c>
      <c r="Q1081" s="32" t="s">
        <v>14</v>
      </c>
      <c r="R1081" s="32" t="s">
        <v>15</v>
      </c>
      <c r="S1081" s="32">
        <v>99468</v>
      </c>
      <c r="T1081" s="32">
        <v>5387</v>
      </c>
      <c r="U1081" s="83">
        <v>94081</v>
      </c>
    </row>
    <row r="1082" spans="12:21">
      <c r="L1082" s="34">
        <v>174529</v>
      </c>
      <c r="M1082" s="35" t="s">
        <v>10</v>
      </c>
      <c r="N1082" s="35" t="s">
        <v>22</v>
      </c>
      <c r="O1082" s="35" t="s">
        <v>26</v>
      </c>
      <c r="P1082" s="35" t="s">
        <v>19</v>
      </c>
      <c r="Q1082" s="35" t="s">
        <v>14</v>
      </c>
      <c r="R1082" s="35" t="s">
        <v>15</v>
      </c>
      <c r="S1082" s="35">
        <v>49288</v>
      </c>
      <c r="T1082" s="35">
        <v>1244</v>
      </c>
      <c r="U1082" s="84">
        <v>48044</v>
      </c>
    </row>
    <row r="1083" spans="12:21">
      <c r="L1083" s="31">
        <v>238912</v>
      </c>
      <c r="M1083" s="35" t="s">
        <v>10</v>
      </c>
      <c r="N1083" s="32" t="s">
        <v>17</v>
      </c>
      <c r="O1083" s="32" t="s">
        <v>18</v>
      </c>
      <c r="P1083" s="32" t="s">
        <v>19</v>
      </c>
      <c r="Q1083" s="32" t="s">
        <v>28</v>
      </c>
      <c r="R1083" s="32" t="s">
        <v>15</v>
      </c>
      <c r="S1083" s="32">
        <v>11568</v>
      </c>
      <c r="T1083" s="32">
        <v>380</v>
      </c>
      <c r="U1083" s="83">
        <v>11188</v>
      </c>
    </row>
    <row r="1084" spans="12:21">
      <c r="L1084" s="34">
        <v>195482</v>
      </c>
      <c r="M1084" s="35" t="s">
        <v>10</v>
      </c>
      <c r="N1084" s="35" t="s">
        <v>11</v>
      </c>
      <c r="O1084" s="35" t="s">
        <v>30</v>
      </c>
      <c r="P1084" s="35" t="s">
        <v>13</v>
      </c>
      <c r="Q1084" s="35" t="s">
        <v>14</v>
      </c>
      <c r="R1084" s="35" t="s">
        <v>15</v>
      </c>
      <c r="S1084" s="35">
        <v>106693</v>
      </c>
      <c r="T1084" s="35">
        <v>474</v>
      </c>
      <c r="U1084" s="84">
        <v>106219</v>
      </c>
    </row>
    <row r="1085" spans="12:21">
      <c r="L1085" s="31">
        <v>113004</v>
      </c>
      <c r="M1085" s="35" t="s">
        <v>10</v>
      </c>
      <c r="N1085" s="32" t="s">
        <v>22</v>
      </c>
      <c r="O1085" s="32" t="s">
        <v>30</v>
      </c>
      <c r="P1085" s="32" t="s">
        <v>13</v>
      </c>
      <c r="Q1085" s="32" t="s">
        <v>14</v>
      </c>
      <c r="R1085" s="32" t="s">
        <v>15</v>
      </c>
      <c r="S1085" s="32">
        <v>127211</v>
      </c>
      <c r="T1085" s="32">
        <v>4884</v>
      </c>
      <c r="U1085" s="83">
        <v>122327</v>
      </c>
    </row>
    <row r="1086" spans="12:21">
      <c r="L1086" s="34">
        <v>199354</v>
      </c>
      <c r="M1086" s="35" t="s">
        <v>10</v>
      </c>
      <c r="N1086" s="35" t="s">
        <v>38</v>
      </c>
      <c r="O1086" s="35" t="s">
        <v>32</v>
      </c>
      <c r="P1086" s="35" t="s">
        <v>13</v>
      </c>
      <c r="Q1086" s="35" t="s">
        <v>14</v>
      </c>
      <c r="R1086" s="35" t="s">
        <v>15</v>
      </c>
      <c r="S1086" s="35">
        <v>14509</v>
      </c>
      <c r="T1086" s="35">
        <v>1345</v>
      </c>
      <c r="U1086" s="84">
        <v>13164</v>
      </c>
    </row>
    <row r="1087" spans="12:21">
      <c r="L1087" s="31">
        <v>254383</v>
      </c>
      <c r="M1087" s="35" t="s">
        <v>10</v>
      </c>
      <c r="N1087" s="32" t="s">
        <v>31</v>
      </c>
      <c r="O1087" s="32" t="s">
        <v>21</v>
      </c>
      <c r="P1087" s="32" t="s">
        <v>19</v>
      </c>
      <c r="Q1087" s="32" t="s">
        <v>28</v>
      </c>
      <c r="R1087" s="32" t="s">
        <v>15</v>
      </c>
      <c r="S1087" s="32">
        <v>25281</v>
      </c>
      <c r="T1087" s="32">
        <v>196</v>
      </c>
      <c r="U1087" s="83">
        <v>25085</v>
      </c>
    </row>
    <row r="1088" spans="12:21">
      <c r="L1088" s="34">
        <v>5589</v>
      </c>
      <c r="M1088" s="35" t="s">
        <v>10</v>
      </c>
      <c r="N1088" s="35" t="s">
        <v>38</v>
      </c>
      <c r="O1088" s="35" t="s">
        <v>29</v>
      </c>
      <c r="P1088" s="35" t="s">
        <v>13</v>
      </c>
      <c r="Q1088" s="35" t="s">
        <v>14</v>
      </c>
      <c r="R1088" s="35" t="s">
        <v>15</v>
      </c>
      <c r="S1088" s="35">
        <v>4007</v>
      </c>
      <c r="T1088" s="35">
        <v>120</v>
      </c>
      <c r="U1088" s="84">
        <v>3887</v>
      </c>
    </row>
    <row r="1089" spans="12:21">
      <c r="L1089" s="31">
        <v>207016</v>
      </c>
      <c r="M1089" s="35" t="s">
        <v>10</v>
      </c>
      <c r="N1089" s="32" t="s">
        <v>37</v>
      </c>
      <c r="O1089" s="32" t="s">
        <v>32</v>
      </c>
      <c r="P1089" s="32" t="s">
        <v>13</v>
      </c>
      <c r="Q1089" s="32" t="s">
        <v>14</v>
      </c>
      <c r="R1089" s="32" t="s">
        <v>15</v>
      </c>
      <c r="S1089" s="32">
        <v>39357</v>
      </c>
      <c r="T1089" s="32">
        <v>0</v>
      </c>
      <c r="U1089" s="83">
        <v>39357</v>
      </c>
    </row>
    <row r="1090" spans="12:21">
      <c r="L1090" s="34">
        <v>117286</v>
      </c>
      <c r="M1090" s="35" t="s">
        <v>10</v>
      </c>
      <c r="N1090" s="35" t="s">
        <v>17</v>
      </c>
      <c r="O1090" s="35" t="s">
        <v>29</v>
      </c>
      <c r="P1090" s="35" t="s">
        <v>19</v>
      </c>
      <c r="Q1090" s="35" t="s">
        <v>14</v>
      </c>
      <c r="R1090" s="35" t="s">
        <v>24</v>
      </c>
      <c r="S1090" s="35">
        <v>19613</v>
      </c>
      <c r="T1090" s="35">
        <v>200</v>
      </c>
      <c r="U1090" s="84">
        <v>19413</v>
      </c>
    </row>
    <row r="1091" spans="12:21">
      <c r="L1091" s="31">
        <v>165460</v>
      </c>
      <c r="M1091" s="35" t="s">
        <v>10</v>
      </c>
      <c r="N1091" s="32" t="s">
        <v>27</v>
      </c>
      <c r="O1091" s="32" t="s">
        <v>21</v>
      </c>
      <c r="P1091" s="32" t="s">
        <v>19</v>
      </c>
      <c r="Q1091" s="32" t="s">
        <v>14</v>
      </c>
      <c r="R1091" s="32" t="s">
        <v>24</v>
      </c>
      <c r="S1091" s="32">
        <v>57090</v>
      </c>
      <c r="T1091" s="32">
        <v>378</v>
      </c>
      <c r="U1091" s="83">
        <v>56712</v>
      </c>
    </row>
    <row r="1092" spans="12:21">
      <c r="L1092" s="34">
        <v>61572</v>
      </c>
      <c r="M1092" s="35" t="s">
        <v>10</v>
      </c>
      <c r="N1092" s="35" t="s">
        <v>27</v>
      </c>
      <c r="O1092" s="35" t="s">
        <v>23</v>
      </c>
      <c r="P1092" s="35" t="s">
        <v>13</v>
      </c>
      <c r="Q1092" s="35" t="s">
        <v>14</v>
      </c>
      <c r="R1092" s="35" t="s">
        <v>15</v>
      </c>
      <c r="S1092" s="35">
        <v>111777</v>
      </c>
      <c r="T1092" s="35">
        <v>10223</v>
      </c>
      <c r="U1092" s="84">
        <v>101554</v>
      </c>
    </row>
    <row r="1093" spans="12:21">
      <c r="L1093" s="31">
        <v>62513</v>
      </c>
      <c r="M1093" s="35" t="s">
        <v>10</v>
      </c>
      <c r="N1093" s="32" t="s">
        <v>27</v>
      </c>
      <c r="O1093" s="32" t="s">
        <v>32</v>
      </c>
      <c r="P1093" s="32" t="s">
        <v>13</v>
      </c>
      <c r="Q1093" s="32" t="s">
        <v>14</v>
      </c>
      <c r="R1093" s="32" t="s">
        <v>15</v>
      </c>
      <c r="S1093" s="32">
        <v>71831</v>
      </c>
      <c r="T1093" s="32">
        <v>3041</v>
      </c>
      <c r="U1093" s="83">
        <v>68790</v>
      </c>
    </row>
    <row r="1094" spans="12:21">
      <c r="L1094" s="34">
        <v>164876</v>
      </c>
      <c r="M1094" s="35" t="s">
        <v>10</v>
      </c>
      <c r="N1094" s="35" t="s">
        <v>35</v>
      </c>
      <c r="O1094" s="35" t="s">
        <v>12</v>
      </c>
      <c r="P1094" s="35" t="s">
        <v>13</v>
      </c>
      <c r="Q1094" s="35" t="s">
        <v>14</v>
      </c>
      <c r="R1094" s="35" t="s">
        <v>15</v>
      </c>
      <c r="S1094" s="35">
        <v>63752</v>
      </c>
      <c r="T1094" s="35">
        <v>2277</v>
      </c>
      <c r="U1094" s="84">
        <v>61475</v>
      </c>
    </row>
    <row r="1095" spans="12:21">
      <c r="L1095" s="31">
        <v>166422</v>
      </c>
      <c r="M1095" s="35" t="s">
        <v>10</v>
      </c>
      <c r="N1095" s="32" t="s">
        <v>22</v>
      </c>
      <c r="O1095" s="32" t="s">
        <v>32</v>
      </c>
      <c r="P1095" s="32" t="s">
        <v>19</v>
      </c>
      <c r="Q1095" s="32" t="s">
        <v>14</v>
      </c>
      <c r="R1095" s="32" t="s">
        <v>24</v>
      </c>
      <c r="S1095" s="32">
        <v>0</v>
      </c>
      <c r="T1095" s="32">
        <v>0</v>
      </c>
      <c r="U1095" s="83">
        <v>0</v>
      </c>
    </row>
    <row r="1096" spans="12:21">
      <c r="L1096" s="34">
        <v>85654</v>
      </c>
      <c r="M1096" s="35" t="s">
        <v>10</v>
      </c>
      <c r="N1096" s="35" t="s">
        <v>11</v>
      </c>
      <c r="O1096" s="35" t="s">
        <v>26</v>
      </c>
      <c r="P1096" s="35" t="s">
        <v>13</v>
      </c>
      <c r="Q1096" s="35" t="s">
        <v>14</v>
      </c>
      <c r="R1096" s="35" t="s">
        <v>15</v>
      </c>
      <c r="S1096" s="35">
        <v>49023</v>
      </c>
      <c r="T1096" s="35">
        <v>1112</v>
      </c>
      <c r="U1096" s="84">
        <v>47911</v>
      </c>
    </row>
    <row r="1097" spans="12:21">
      <c r="L1097" s="31">
        <v>100428</v>
      </c>
      <c r="M1097" s="35" t="s">
        <v>10</v>
      </c>
      <c r="N1097" s="32" t="s">
        <v>11</v>
      </c>
      <c r="O1097" s="32" t="s">
        <v>23</v>
      </c>
      <c r="P1097" s="32" t="s">
        <v>19</v>
      </c>
      <c r="Q1097" s="32" t="s">
        <v>14</v>
      </c>
      <c r="R1097" s="32" t="s">
        <v>24</v>
      </c>
      <c r="S1097" s="32">
        <v>44018</v>
      </c>
      <c r="T1097" s="32">
        <v>805</v>
      </c>
      <c r="U1097" s="83">
        <v>43213</v>
      </c>
    </row>
    <row r="1098" spans="12:21">
      <c r="L1098" s="34">
        <v>199811</v>
      </c>
      <c r="M1098" s="35" t="s">
        <v>10</v>
      </c>
      <c r="N1098" s="35" t="s">
        <v>34</v>
      </c>
      <c r="O1098" s="35" t="s">
        <v>30</v>
      </c>
      <c r="P1098" s="35" t="s">
        <v>13</v>
      </c>
      <c r="Q1098" s="35" t="s">
        <v>14</v>
      </c>
      <c r="R1098" s="35" t="s">
        <v>15</v>
      </c>
      <c r="S1098" s="35">
        <v>153645</v>
      </c>
      <c r="T1098" s="35">
        <v>13465</v>
      </c>
      <c r="U1098" s="84">
        <v>140180</v>
      </c>
    </row>
    <row r="1099" spans="12:21">
      <c r="L1099" s="31">
        <v>89872</v>
      </c>
      <c r="M1099" s="35" t="s">
        <v>10</v>
      </c>
      <c r="N1099" s="32" t="s">
        <v>38</v>
      </c>
      <c r="O1099" s="32" t="s">
        <v>32</v>
      </c>
      <c r="P1099" s="32" t="s">
        <v>13</v>
      </c>
      <c r="Q1099" s="32" t="s">
        <v>14</v>
      </c>
      <c r="R1099" s="32" t="s">
        <v>24</v>
      </c>
      <c r="S1099" s="32">
        <v>22803</v>
      </c>
      <c r="T1099" s="32">
        <v>0</v>
      </c>
      <c r="U1099" s="83">
        <v>22803</v>
      </c>
    </row>
    <row r="1100" spans="12:21">
      <c r="L1100" s="34">
        <v>212671</v>
      </c>
      <c r="M1100" s="35" t="s">
        <v>10</v>
      </c>
      <c r="N1100" s="35" t="s">
        <v>34</v>
      </c>
      <c r="O1100" s="35" t="s">
        <v>32</v>
      </c>
      <c r="P1100" s="35" t="s">
        <v>13</v>
      </c>
      <c r="Q1100" s="35" t="s">
        <v>14</v>
      </c>
      <c r="R1100" s="35" t="s">
        <v>15</v>
      </c>
      <c r="S1100" s="35">
        <v>20410</v>
      </c>
      <c r="T1100" s="35">
        <v>400</v>
      </c>
      <c r="U1100" s="84">
        <v>20010</v>
      </c>
    </row>
    <row r="1101" spans="12:21">
      <c r="L1101" s="31">
        <v>114266</v>
      </c>
      <c r="M1101" s="35" t="s">
        <v>10</v>
      </c>
      <c r="N1101" s="32" t="s">
        <v>22</v>
      </c>
      <c r="O1101" s="32" t="s">
        <v>23</v>
      </c>
      <c r="P1101" s="32" t="s">
        <v>19</v>
      </c>
      <c r="Q1101" s="32" t="s">
        <v>14</v>
      </c>
      <c r="R1101" s="32" t="s">
        <v>15</v>
      </c>
      <c r="S1101" s="32">
        <v>103899</v>
      </c>
      <c r="T1101" s="32">
        <v>4277</v>
      </c>
      <c r="U1101" s="83">
        <v>99622</v>
      </c>
    </row>
    <row r="1102" spans="12:21">
      <c r="L1102" s="34">
        <v>170658</v>
      </c>
      <c r="M1102" s="35" t="s">
        <v>10</v>
      </c>
      <c r="N1102" s="35" t="s">
        <v>17</v>
      </c>
      <c r="O1102" s="35" t="s">
        <v>36</v>
      </c>
      <c r="P1102" s="35" t="s">
        <v>19</v>
      </c>
      <c r="Q1102" s="35" t="s">
        <v>14</v>
      </c>
      <c r="R1102" s="35" t="s">
        <v>15</v>
      </c>
      <c r="S1102" s="35">
        <v>15506</v>
      </c>
      <c r="T1102" s="35">
        <v>0</v>
      </c>
      <c r="U1102" s="84">
        <v>15506</v>
      </c>
    </row>
    <row r="1103" spans="12:21">
      <c r="L1103" s="31">
        <v>145732</v>
      </c>
      <c r="M1103" s="35" t="s">
        <v>10</v>
      </c>
      <c r="N1103" s="32" t="s">
        <v>25</v>
      </c>
      <c r="O1103" s="32" t="s">
        <v>30</v>
      </c>
      <c r="P1103" s="32" t="s">
        <v>13</v>
      </c>
      <c r="Q1103" s="32" t="s">
        <v>14</v>
      </c>
      <c r="R1103" s="32" t="s">
        <v>24</v>
      </c>
      <c r="S1103" s="32">
        <v>67930</v>
      </c>
      <c r="T1103" s="32">
        <v>468</v>
      </c>
      <c r="U1103" s="83">
        <v>67462</v>
      </c>
    </row>
    <row r="1104" spans="12:21">
      <c r="L1104" s="34">
        <v>256564</v>
      </c>
      <c r="M1104" s="35" t="s">
        <v>10</v>
      </c>
      <c r="N1104" s="35" t="s">
        <v>27</v>
      </c>
      <c r="O1104" s="35" t="s">
        <v>29</v>
      </c>
      <c r="P1104" s="35" t="s">
        <v>19</v>
      </c>
      <c r="Q1104" s="35" t="s">
        <v>14</v>
      </c>
      <c r="R1104" s="35" t="s">
        <v>24</v>
      </c>
      <c r="S1104" s="35">
        <v>44214</v>
      </c>
      <c r="T1104" s="35">
        <v>387</v>
      </c>
      <c r="U1104" s="84">
        <v>43827</v>
      </c>
    </row>
    <row r="1105" spans="12:21">
      <c r="L1105" s="31">
        <v>103659</v>
      </c>
      <c r="M1105" s="35" t="s">
        <v>10</v>
      </c>
      <c r="N1105" s="32" t="s">
        <v>11</v>
      </c>
      <c r="O1105" s="32" t="s">
        <v>32</v>
      </c>
      <c r="P1105" s="32" t="s">
        <v>13</v>
      </c>
      <c r="Q1105" s="32" t="s">
        <v>14</v>
      </c>
      <c r="R1105" s="32" t="s">
        <v>15</v>
      </c>
      <c r="S1105" s="32">
        <v>162588</v>
      </c>
      <c r="T1105" s="32">
        <v>1874</v>
      </c>
      <c r="U1105" s="83">
        <v>160714</v>
      </c>
    </row>
    <row r="1106" spans="12:21">
      <c r="L1106" s="34">
        <v>10357</v>
      </c>
      <c r="M1106" s="35" t="s">
        <v>10</v>
      </c>
      <c r="N1106" s="35" t="s">
        <v>11</v>
      </c>
      <c r="O1106" s="35" t="s">
        <v>23</v>
      </c>
      <c r="P1106" s="35" t="s">
        <v>19</v>
      </c>
      <c r="Q1106" s="35" t="s">
        <v>14</v>
      </c>
      <c r="R1106" s="35" t="s">
        <v>15</v>
      </c>
      <c r="S1106" s="35">
        <v>81088</v>
      </c>
      <c r="T1106" s="35">
        <v>1995</v>
      </c>
      <c r="U1106" s="84">
        <v>79093</v>
      </c>
    </row>
    <row r="1107" spans="12:21">
      <c r="L1107" s="31">
        <v>158471</v>
      </c>
      <c r="M1107" s="35" t="s">
        <v>10</v>
      </c>
      <c r="N1107" s="32" t="s">
        <v>22</v>
      </c>
      <c r="O1107" s="32" t="s">
        <v>32</v>
      </c>
      <c r="P1107" s="32" t="s">
        <v>19</v>
      </c>
      <c r="Q1107" s="32" t="s">
        <v>14</v>
      </c>
      <c r="R1107" s="32" t="s">
        <v>24</v>
      </c>
      <c r="S1107" s="32">
        <v>21138</v>
      </c>
      <c r="T1107" s="32">
        <v>0</v>
      </c>
      <c r="U1107" s="83">
        <v>21138</v>
      </c>
    </row>
    <row r="1108" spans="12:21">
      <c r="L1108" s="34">
        <v>220027</v>
      </c>
      <c r="M1108" s="35" t="s">
        <v>10</v>
      </c>
      <c r="N1108" s="35" t="s">
        <v>11</v>
      </c>
      <c r="O1108" s="35" t="s">
        <v>32</v>
      </c>
      <c r="P1108" s="35" t="s">
        <v>19</v>
      </c>
      <c r="Q1108" s="35" t="s">
        <v>14</v>
      </c>
      <c r="R1108" s="35" t="s">
        <v>24</v>
      </c>
      <c r="S1108" s="35">
        <v>130660</v>
      </c>
      <c r="T1108" s="35">
        <v>1452</v>
      </c>
      <c r="U1108" s="84">
        <v>129208</v>
      </c>
    </row>
    <row r="1109" spans="12:21">
      <c r="L1109" s="31">
        <v>84392</v>
      </c>
      <c r="M1109" s="35" t="s">
        <v>10</v>
      </c>
      <c r="N1109" s="32" t="s">
        <v>34</v>
      </c>
      <c r="O1109" s="32" t="s">
        <v>12</v>
      </c>
      <c r="P1109" s="32" t="s">
        <v>13</v>
      </c>
      <c r="Q1109" s="32" t="s">
        <v>28</v>
      </c>
      <c r="R1109" s="32" t="s">
        <v>24</v>
      </c>
      <c r="S1109" s="32">
        <v>83643</v>
      </c>
      <c r="T1109" s="32">
        <v>2200</v>
      </c>
      <c r="U1109" s="83">
        <v>81443</v>
      </c>
    </row>
    <row r="1110" spans="12:21">
      <c r="L1110" s="34">
        <v>164984</v>
      </c>
      <c r="M1110" s="35" t="s">
        <v>10</v>
      </c>
      <c r="N1110" s="35" t="s">
        <v>17</v>
      </c>
      <c r="O1110" s="35" t="s">
        <v>26</v>
      </c>
      <c r="P1110" s="35" t="s">
        <v>19</v>
      </c>
      <c r="Q1110" s="35" t="s">
        <v>14</v>
      </c>
      <c r="R1110" s="35" t="s">
        <v>24</v>
      </c>
      <c r="S1110" s="35">
        <v>70284</v>
      </c>
      <c r="T1110" s="35">
        <v>320</v>
      </c>
      <c r="U1110" s="84">
        <v>69964</v>
      </c>
    </row>
    <row r="1111" spans="12:21">
      <c r="L1111" s="31">
        <v>15121</v>
      </c>
      <c r="M1111" s="35" t="s">
        <v>10</v>
      </c>
      <c r="N1111" s="32" t="s">
        <v>34</v>
      </c>
      <c r="O1111" s="32" t="s">
        <v>26</v>
      </c>
      <c r="P1111" s="32" t="s">
        <v>19</v>
      </c>
      <c r="Q1111" s="32" t="s">
        <v>14</v>
      </c>
      <c r="R1111" s="32" t="s">
        <v>24</v>
      </c>
      <c r="S1111" s="32">
        <v>74516</v>
      </c>
      <c r="T1111" s="32">
        <v>4620</v>
      </c>
      <c r="U1111" s="83">
        <v>69896</v>
      </c>
    </row>
    <row r="1112" spans="12:21">
      <c r="L1112" s="34">
        <v>246468</v>
      </c>
      <c r="M1112" s="35" t="s">
        <v>10</v>
      </c>
      <c r="N1112" s="35" t="s">
        <v>11</v>
      </c>
      <c r="O1112" s="35" t="s">
        <v>12</v>
      </c>
      <c r="P1112" s="35" t="s">
        <v>13</v>
      </c>
      <c r="Q1112" s="35" t="s">
        <v>14</v>
      </c>
      <c r="R1112" s="35" t="s">
        <v>24</v>
      </c>
      <c r="S1112" s="35">
        <v>100363</v>
      </c>
      <c r="T1112" s="35">
        <v>772</v>
      </c>
      <c r="U1112" s="84">
        <v>99591</v>
      </c>
    </row>
    <row r="1113" spans="12:21">
      <c r="L1113" s="31">
        <v>25227</v>
      </c>
      <c r="M1113" s="35" t="s">
        <v>10</v>
      </c>
      <c r="N1113" s="32" t="s">
        <v>35</v>
      </c>
      <c r="O1113" s="32" t="s">
        <v>23</v>
      </c>
      <c r="P1113" s="32" t="s">
        <v>13</v>
      </c>
      <c r="Q1113" s="32" t="s">
        <v>14</v>
      </c>
      <c r="R1113" s="32" t="s">
        <v>15</v>
      </c>
      <c r="S1113" s="32">
        <v>81360</v>
      </c>
      <c r="T1113" s="32">
        <v>2869</v>
      </c>
      <c r="U1113" s="83">
        <v>78491</v>
      </c>
    </row>
    <row r="1114" spans="12:21">
      <c r="L1114" s="34">
        <v>12174</v>
      </c>
      <c r="M1114" s="35" t="s">
        <v>10</v>
      </c>
      <c r="N1114" s="35" t="s">
        <v>34</v>
      </c>
      <c r="O1114" s="35" t="s">
        <v>29</v>
      </c>
      <c r="P1114" s="35" t="s">
        <v>19</v>
      </c>
      <c r="Q1114" s="35" t="s">
        <v>14</v>
      </c>
      <c r="R1114" s="35" t="s">
        <v>15</v>
      </c>
      <c r="S1114" s="35">
        <v>105632</v>
      </c>
      <c r="T1114" s="35">
        <v>703</v>
      </c>
      <c r="U1114" s="84">
        <v>104929</v>
      </c>
    </row>
    <row r="1115" spans="12:21">
      <c r="L1115" s="31">
        <v>108698</v>
      </c>
      <c r="M1115" s="35" t="s">
        <v>10</v>
      </c>
      <c r="N1115" s="32" t="s">
        <v>39</v>
      </c>
      <c r="O1115" s="32" t="s">
        <v>23</v>
      </c>
      <c r="P1115" s="32" t="s">
        <v>13</v>
      </c>
      <c r="Q1115" s="32" t="s">
        <v>14</v>
      </c>
      <c r="R1115" s="32" t="s">
        <v>24</v>
      </c>
      <c r="S1115" s="32">
        <v>81081</v>
      </c>
      <c r="T1115" s="32">
        <v>5429</v>
      </c>
      <c r="U1115" s="83">
        <v>75652</v>
      </c>
    </row>
    <row r="1116" spans="12:21">
      <c r="L1116" s="34">
        <v>91254</v>
      </c>
      <c r="M1116" s="35" t="s">
        <v>10</v>
      </c>
      <c r="N1116" s="35" t="s">
        <v>20</v>
      </c>
      <c r="O1116" s="35" t="s">
        <v>32</v>
      </c>
      <c r="P1116" s="35" t="s">
        <v>13</v>
      </c>
      <c r="Q1116" s="35" t="s">
        <v>28</v>
      </c>
      <c r="R1116" s="35" t="s">
        <v>15</v>
      </c>
      <c r="S1116" s="35">
        <v>39656</v>
      </c>
      <c r="T1116" s="35">
        <v>3692</v>
      </c>
      <c r="U1116" s="84">
        <v>35964</v>
      </c>
    </row>
    <row r="1117" spans="12:21">
      <c r="L1117" s="31">
        <v>191118</v>
      </c>
      <c r="M1117" s="35" t="s">
        <v>10</v>
      </c>
      <c r="N1117" s="32" t="s">
        <v>38</v>
      </c>
      <c r="O1117" s="32" t="s">
        <v>30</v>
      </c>
      <c r="P1117" s="32" t="s">
        <v>13</v>
      </c>
      <c r="Q1117" s="32" t="s">
        <v>28</v>
      </c>
      <c r="R1117" s="32" t="s">
        <v>24</v>
      </c>
      <c r="S1117" s="32">
        <v>123215</v>
      </c>
      <c r="T1117" s="32">
        <v>1695</v>
      </c>
      <c r="U1117" s="83">
        <v>121520</v>
      </c>
    </row>
    <row r="1118" spans="12:21">
      <c r="L1118" s="34">
        <v>201925</v>
      </c>
      <c r="M1118" s="35" t="s">
        <v>10</v>
      </c>
      <c r="N1118" s="35" t="s">
        <v>38</v>
      </c>
      <c r="O1118" s="35" t="s">
        <v>32</v>
      </c>
      <c r="P1118" s="35" t="s">
        <v>19</v>
      </c>
      <c r="Q1118" s="35" t="s">
        <v>14</v>
      </c>
      <c r="R1118" s="35" t="s">
        <v>24</v>
      </c>
      <c r="S1118" s="35">
        <v>60741</v>
      </c>
      <c r="T1118" s="35">
        <v>148</v>
      </c>
      <c r="U1118" s="84">
        <v>60593</v>
      </c>
    </row>
    <row r="1119" spans="12:21">
      <c r="L1119" s="31">
        <v>92139</v>
      </c>
      <c r="M1119" s="35" t="s">
        <v>10</v>
      </c>
      <c r="N1119" s="32" t="s">
        <v>34</v>
      </c>
      <c r="O1119" s="32" t="s">
        <v>23</v>
      </c>
      <c r="P1119" s="32" t="s">
        <v>13</v>
      </c>
      <c r="Q1119" s="32" t="s">
        <v>14</v>
      </c>
      <c r="R1119" s="32" t="s">
        <v>15</v>
      </c>
      <c r="S1119" s="32">
        <v>204950</v>
      </c>
      <c r="T1119" s="32">
        <v>1470</v>
      </c>
      <c r="U1119" s="83">
        <v>203480</v>
      </c>
    </row>
    <row r="1120" spans="12:21">
      <c r="L1120" s="34">
        <v>50675</v>
      </c>
      <c r="M1120" s="35" t="s">
        <v>10</v>
      </c>
      <c r="N1120" s="35" t="s">
        <v>35</v>
      </c>
      <c r="O1120" s="35" t="s">
        <v>26</v>
      </c>
      <c r="P1120" s="35" t="s">
        <v>19</v>
      </c>
      <c r="Q1120" s="35" t="s">
        <v>28</v>
      </c>
      <c r="R1120" s="35" t="s">
        <v>24</v>
      </c>
      <c r="S1120" s="35">
        <v>14683</v>
      </c>
      <c r="T1120" s="35">
        <v>0</v>
      </c>
      <c r="U1120" s="84">
        <v>14683</v>
      </c>
    </row>
    <row r="1121" spans="12:21">
      <c r="L1121" s="31">
        <v>51149</v>
      </c>
      <c r="M1121" s="35" t="s">
        <v>10</v>
      </c>
      <c r="N1121" s="32" t="s">
        <v>35</v>
      </c>
      <c r="O1121" s="32" t="s">
        <v>26</v>
      </c>
      <c r="P1121" s="32" t="s">
        <v>19</v>
      </c>
      <c r="Q1121" s="32" t="s">
        <v>14</v>
      </c>
      <c r="R1121" s="32" t="s">
        <v>24</v>
      </c>
      <c r="S1121" s="32">
        <v>34270</v>
      </c>
      <c r="T1121" s="32">
        <v>309</v>
      </c>
      <c r="U1121" s="83">
        <v>33961</v>
      </c>
    </row>
    <row r="1122" spans="12:21">
      <c r="L1122" s="34">
        <v>75483</v>
      </c>
      <c r="M1122" s="35" t="s">
        <v>10</v>
      </c>
      <c r="N1122" s="35" t="s">
        <v>35</v>
      </c>
      <c r="O1122" s="35" t="s">
        <v>32</v>
      </c>
      <c r="P1122" s="35" t="s">
        <v>19</v>
      </c>
      <c r="Q1122" s="35" t="s">
        <v>14</v>
      </c>
      <c r="R1122" s="35" t="s">
        <v>24</v>
      </c>
      <c r="S1122" s="35">
        <v>56512</v>
      </c>
      <c r="T1122" s="35">
        <v>0</v>
      </c>
      <c r="U1122" s="84">
        <v>56512</v>
      </c>
    </row>
    <row r="1123" spans="12:21">
      <c r="L1123" s="31">
        <v>124344</v>
      </c>
      <c r="M1123" s="35" t="s">
        <v>10</v>
      </c>
      <c r="N1123" s="32" t="s">
        <v>35</v>
      </c>
      <c r="O1123" s="32" t="s">
        <v>23</v>
      </c>
      <c r="P1123" s="32" t="s">
        <v>13</v>
      </c>
      <c r="Q1123" s="32" t="s">
        <v>14</v>
      </c>
      <c r="R1123" s="32" t="s">
        <v>24</v>
      </c>
      <c r="S1123" s="32">
        <v>99883</v>
      </c>
      <c r="T1123" s="32">
        <v>10904</v>
      </c>
      <c r="U1123" s="83">
        <v>88979</v>
      </c>
    </row>
    <row r="1124" spans="12:21">
      <c r="L1124" s="34">
        <v>198744</v>
      </c>
      <c r="M1124" s="35" t="s">
        <v>10</v>
      </c>
      <c r="N1124" s="35" t="s">
        <v>34</v>
      </c>
      <c r="O1124" s="35" t="s">
        <v>12</v>
      </c>
      <c r="P1124" s="35" t="s">
        <v>13</v>
      </c>
      <c r="Q1124" s="35" t="s">
        <v>14</v>
      </c>
      <c r="R1124" s="35" t="s">
        <v>15</v>
      </c>
      <c r="S1124" s="35">
        <v>57610</v>
      </c>
      <c r="T1124" s="35">
        <v>465</v>
      </c>
      <c r="U1124" s="84">
        <v>57145</v>
      </c>
    </row>
    <row r="1125" spans="12:21">
      <c r="L1125" s="31">
        <v>68346</v>
      </c>
      <c r="M1125" s="35" t="s">
        <v>10</v>
      </c>
      <c r="N1125" s="32" t="s">
        <v>27</v>
      </c>
      <c r="O1125" s="32" t="s">
        <v>26</v>
      </c>
      <c r="P1125" s="32" t="s">
        <v>13</v>
      </c>
      <c r="Q1125" s="32" t="s">
        <v>28</v>
      </c>
      <c r="R1125" s="32" t="s">
        <v>24</v>
      </c>
      <c r="S1125" s="32">
        <v>41335</v>
      </c>
      <c r="T1125" s="32">
        <v>325</v>
      </c>
      <c r="U1125" s="83">
        <v>41010</v>
      </c>
    </row>
    <row r="1126" spans="12:21">
      <c r="L1126" s="34">
        <v>215374</v>
      </c>
      <c r="M1126" s="35" t="s">
        <v>10</v>
      </c>
      <c r="N1126" s="35" t="s">
        <v>39</v>
      </c>
      <c r="O1126" s="35" t="s">
        <v>32</v>
      </c>
      <c r="P1126" s="35" t="s">
        <v>13</v>
      </c>
      <c r="Q1126" s="35" t="s">
        <v>14</v>
      </c>
      <c r="R1126" s="35" t="s">
        <v>15</v>
      </c>
      <c r="S1126" s="35">
        <v>15211</v>
      </c>
      <c r="T1126" s="35">
        <v>0</v>
      </c>
      <c r="U1126" s="84">
        <v>15211</v>
      </c>
    </row>
    <row r="1127" spans="12:21">
      <c r="L1127" s="31">
        <v>90368</v>
      </c>
      <c r="M1127" s="35" t="s">
        <v>10</v>
      </c>
      <c r="N1127" s="32" t="s">
        <v>38</v>
      </c>
      <c r="O1127" s="32" t="s">
        <v>30</v>
      </c>
      <c r="P1127" s="32" t="s">
        <v>13</v>
      </c>
      <c r="Q1127" s="32" t="s">
        <v>28</v>
      </c>
      <c r="R1127" s="32" t="s">
        <v>24</v>
      </c>
      <c r="S1127" s="32">
        <v>23959</v>
      </c>
      <c r="T1127" s="32">
        <v>875</v>
      </c>
      <c r="U1127" s="83">
        <v>23084</v>
      </c>
    </row>
    <row r="1128" spans="12:21">
      <c r="L1128" s="34">
        <v>197070</v>
      </c>
      <c r="M1128" s="35" t="s">
        <v>10</v>
      </c>
      <c r="N1128" s="35" t="s">
        <v>35</v>
      </c>
      <c r="O1128" s="35" t="s">
        <v>23</v>
      </c>
      <c r="P1128" s="35" t="s">
        <v>13</v>
      </c>
      <c r="Q1128" s="35" t="s">
        <v>14</v>
      </c>
      <c r="R1128" s="35" t="s">
        <v>15</v>
      </c>
      <c r="S1128" s="35">
        <v>67726</v>
      </c>
      <c r="T1128" s="35">
        <v>3212</v>
      </c>
      <c r="U1128" s="84">
        <v>64514</v>
      </c>
    </row>
    <row r="1129" spans="12:21">
      <c r="L1129" s="31">
        <v>148606</v>
      </c>
      <c r="M1129" s="35" t="s">
        <v>10</v>
      </c>
      <c r="N1129" s="32" t="s">
        <v>31</v>
      </c>
      <c r="O1129" s="32" t="s">
        <v>18</v>
      </c>
      <c r="P1129" s="32" t="s">
        <v>19</v>
      </c>
      <c r="Q1129" s="32" t="s">
        <v>14</v>
      </c>
      <c r="R1129" s="32" t="s">
        <v>24</v>
      </c>
      <c r="S1129" s="32">
        <v>8948</v>
      </c>
      <c r="T1129" s="32">
        <v>205</v>
      </c>
      <c r="U1129" s="83">
        <v>8743</v>
      </c>
    </row>
    <row r="1130" spans="12:21">
      <c r="L1130" s="34">
        <v>230492</v>
      </c>
      <c r="M1130" s="35" t="s">
        <v>10</v>
      </c>
      <c r="N1130" s="35" t="s">
        <v>22</v>
      </c>
      <c r="O1130" s="35" t="s">
        <v>23</v>
      </c>
      <c r="P1130" s="35" t="s">
        <v>13</v>
      </c>
      <c r="Q1130" s="35" t="s">
        <v>14</v>
      </c>
      <c r="R1130" s="35" t="s">
        <v>24</v>
      </c>
      <c r="S1130" s="35">
        <v>44467</v>
      </c>
      <c r="T1130" s="35">
        <v>4635</v>
      </c>
      <c r="U1130" s="84">
        <v>39832</v>
      </c>
    </row>
    <row r="1131" spans="12:21">
      <c r="L1131" s="31">
        <v>118908</v>
      </c>
      <c r="M1131" s="35" t="s">
        <v>10</v>
      </c>
      <c r="N1131" s="32" t="s">
        <v>27</v>
      </c>
      <c r="O1131" s="32" t="s">
        <v>12</v>
      </c>
      <c r="P1131" s="32" t="s">
        <v>13</v>
      </c>
      <c r="Q1131" s="32" t="s">
        <v>14</v>
      </c>
      <c r="R1131" s="32" t="s">
        <v>15</v>
      </c>
      <c r="S1131" s="32">
        <v>73607</v>
      </c>
      <c r="T1131" s="32">
        <v>4883</v>
      </c>
      <c r="U1131" s="83">
        <v>68724</v>
      </c>
    </row>
    <row r="1132" spans="12:21">
      <c r="L1132" s="34">
        <v>64352</v>
      </c>
      <c r="M1132" s="35" t="s">
        <v>10</v>
      </c>
      <c r="N1132" s="35" t="s">
        <v>27</v>
      </c>
      <c r="O1132" s="35" t="s">
        <v>12</v>
      </c>
      <c r="P1132" s="35" t="s">
        <v>13</v>
      </c>
      <c r="Q1132" s="35" t="s">
        <v>28</v>
      </c>
      <c r="R1132" s="35" t="s">
        <v>15</v>
      </c>
      <c r="S1132" s="35">
        <v>67294</v>
      </c>
      <c r="T1132" s="35">
        <v>2081</v>
      </c>
      <c r="U1132" s="84">
        <v>65213</v>
      </c>
    </row>
    <row r="1133" spans="12:21">
      <c r="L1133" s="31">
        <v>129487</v>
      </c>
      <c r="M1133" s="35" t="s">
        <v>10</v>
      </c>
      <c r="N1133" s="32" t="s">
        <v>22</v>
      </c>
      <c r="O1133" s="32" t="s">
        <v>23</v>
      </c>
      <c r="P1133" s="32" t="s">
        <v>13</v>
      </c>
      <c r="Q1133" s="32" t="s">
        <v>14</v>
      </c>
      <c r="R1133" s="32" t="s">
        <v>24</v>
      </c>
      <c r="S1133" s="32">
        <v>75608</v>
      </c>
      <c r="T1133" s="32">
        <v>0</v>
      </c>
      <c r="U1133" s="83">
        <v>75608</v>
      </c>
    </row>
    <row r="1134" spans="12:21">
      <c r="L1134" s="34">
        <v>152928</v>
      </c>
      <c r="M1134" s="35" t="s">
        <v>10</v>
      </c>
      <c r="N1134" s="35" t="s">
        <v>27</v>
      </c>
      <c r="O1134" s="35" t="s">
        <v>21</v>
      </c>
      <c r="P1134" s="35" t="s">
        <v>19</v>
      </c>
      <c r="Q1134" s="35" t="s">
        <v>14</v>
      </c>
      <c r="R1134" s="35" t="s">
        <v>24</v>
      </c>
      <c r="S1134" s="35">
        <v>36783</v>
      </c>
      <c r="T1134" s="35">
        <v>1746</v>
      </c>
      <c r="U1134" s="84">
        <v>35037</v>
      </c>
    </row>
    <row r="1135" spans="12:21">
      <c r="L1135" s="31">
        <v>172630</v>
      </c>
      <c r="M1135" s="35" t="s">
        <v>10</v>
      </c>
      <c r="N1135" s="32" t="s">
        <v>17</v>
      </c>
      <c r="O1135" s="32" t="s">
        <v>26</v>
      </c>
      <c r="P1135" s="32" t="s">
        <v>19</v>
      </c>
      <c r="Q1135" s="32" t="s">
        <v>14</v>
      </c>
      <c r="R1135" s="32" t="s">
        <v>24</v>
      </c>
      <c r="S1135" s="32">
        <v>24423</v>
      </c>
      <c r="T1135" s="32">
        <v>324</v>
      </c>
      <c r="U1135" s="83">
        <v>24099</v>
      </c>
    </row>
    <row r="1136" spans="12:21">
      <c r="L1136" s="34">
        <v>59619</v>
      </c>
      <c r="M1136" s="35" t="s">
        <v>10</v>
      </c>
      <c r="N1136" s="35" t="s">
        <v>27</v>
      </c>
      <c r="O1136" s="35" t="s">
        <v>23</v>
      </c>
      <c r="P1136" s="35" t="s">
        <v>13</v>
      </c>
      <c r="Q1136" s="35" t="s">
        <v>28</v>
      </c>
      <c r="R1136" s="35" t="s">
        <v>15</v>
      </c>
      <c r="S1136" s="35">
        <v>31422</v>
      </c>
      <c r="T1136" s="35">
        <v>3236</v>
      </c>
      <c r="U1136" s="84">
        <v>28186</v>
      </c>
    </row>
    <row r="1137" spans="12:21">
      <c r="L1137" s="31">
        <v>170732</v>
      </c>
      <c r="M1137" s="35" t="s">
        <v>10</v>
      </c>
      <c r="N1137" s="32" t="s">
        <v>22</v>
      </c>
      <c r="O1137" s="32" t="s">
        <v>26</v>
      </c>
      <c r="P1137" s="32" t="s">
        <v>19</v>
      </c>
      <c r="Q1137" s="32" t="s">
        <v>14</v>
      </c>
      <c r="R1137" s="32" t="s">
        <v>24</v>
      </c>
      <c r="S1137" s="32">
        <v>24596</v>
      </c>
      <c r="T1137" s="32">
        <v>591</v>
      </c>
      <c r="U1137" s="83">
        <v>24005</v>
      </c>
    </row>
    <row r="1138" spans="12:21">
      <c r="L1138" s="34">
        <v>100854</v>
      </c>
      <c r="M1138" s="35" t="s">
        <v>10</v>
      </c>
      <c r="N1138" s="35" t="s">
        <v>11</v>
      </c>
      <c r="O1138" s="35" t="s">
        <v>26</v>
      </c>
      <c r="P1138" s="35" t="s">
        <v>13</v>
      </c>
      <c r="Q1138" s="35" t="s">
        <v>28</v>
      </c>
      <c r="R1138" s="35" t="s">
        <v>24</v>
      </c>
      <c r="S1138" s="35">
        <v>117377</v>
      </c>
      <c r="T1138" s="35">
        <v>14157</v>
      </c>
      <c r="U1138" s="84">
        <v>103220</v>
      </c>
    </row>
    <row r="1139" spans="12:21">
      <c r="L1139" s="31">
        <v>221288</v>
      </c>
      <c r="M1139" s="35" t="s">
        <v>10</v>
      </c>
      <c r="N1139" s="32" t="s">
        <v>25</v>
      </c>
      <c r="O1139" s="32" t="s">
        <v>32</v>
      </c>
      <c r="P1139" s="32" t="s">
        <v>19</v>
      </c>
      <c r="Q1139" s="32" t="s">
        <v>14</v>
      </c>
      <c r="R1139" s="32" t="s">
        <v>24</v>
      </c>
      <c r="S1139" s="32">
        <v>61329</v>
      </c>
      <c r="T1139" s="32">
        <v>0</v>
      </c>
      <c r="U1139" s="83">
        <v>61329</v>
      </c>
    </row>
    <row r="1140" spans="12:21">
      <c r="L1140" s="34">
        <v>84313</v>
      </c>
      <c r="M1140" s="35" t="s">
        <v>10</v>
      </c>
      <c r="N1140" s="35" t="s">
        <v>34</v>
      </c>
      <c r="O1140" s="35" t="s">
        <v>30</v>
      </c>
      <c r="P1140" s="35" t="s">
        <v>13</v>
      </c>
      <c r="Q1140" s="35" t="s">
        <v>28</v>
      </c>
      <c r="R1140" s="35" t="s">
        <v>24</v>
      </c>
      <c r="S1140" s="35">
        <v>53672</v>
      </c>
      <c r="T1140" s="35">
        <v>1883</v>
      </c>
      <c r="U1140" s="84">
        <v>51789</v>
      </c>
    </row>
    <row r="1141" spans="12:21">
      <c r="L1141" s="31">
        <v>129080</v>
      </c>
      <c r="M1141" s="35" t="s">
        <v>10</v>
      </c>
      <c r="N1141" s="32" t="s">
        <v>22</v>
      </c>
      <c r="O1141" s="32" t="s">
        <v>12</v>
      </c>
      <c r="P1141" s="32" t="s">
        <v>19</v>
      </c>
      <c r="Q1141" s="32" t="s">
        <v>14</v>
      </c>
      <c r="R1141" s="32" t="s">
        <v>24</v>
      </c>
      <c r="S1141" s="32">
        <v>65113</v>
      </c>
      <c r="T1141" s="32">
        <v>1011</v>
      </c>
      <c r="U1141" s="83">
        <v>64102</v>
      </c>
    </row>
    <row r="1142" spans="12:21">
      <c r="L1142" s="34">
        <v>72566</v>
      </c>
      <c r="M1142" s="35" t="s">
        <v>10</v>
      </c>
      <c r="N1142" s="35" t="s">
        <v>27</v>
      </c>
      <c r="O1142" s="35" t="s">
        <v>12</v>
      </c>
      <c r="P1142" s="35" t="s">
        <v>13</v>
      </c>
      <c r="Q1142" s="35" t="s">
        <v>14</v>
      </c>
      <c r="R1142" s="35" t="s">
        <v>15</v>
      </c>
      <c r="S1142" s="35">
        <v>112561</v>
      </c>
      <c r="T1142" s="35">
        <v>16892</v>
      </c>
      <c r="U1142" s="84">
        <v>95669</v>
      </c>
    </row>
    <row r="1143" spans="12:21">
      <c r="L1143" s="31">
        <v>181976</v>
      </c>
      <c r="M1143" s="35" t="s">
        <v>10</v>
      </c>
      <c r="N1143" s="32" t="s">
        <v>38</v>
      </c>
      <c r="O1143" s="32" t="s">
        <v>23</v>
      </c>
      <c r="P1143" s="32" t="s">
        <v>13</v>
      </c>
      <c r="Q1143" s="32" t="s">
        <v>14</v>
      </c>
      <c r="R1143" s="32" t="s">
        <v>15</v>
      </c>
      <c r="S1143" s="32">
        <v>108891</v>
      </c>
      <c r="T1143" s="32">
        <v>323</v>
      </c>
      <c r="U1143" s="83">
        <v>108568</v>
      </c>
    </row>
    <row r="1144" spans="12:21">
      <c r="L1144" s="34">
        <v>225301</v>
      </c>
      <c r="M1144" s="35" t="s">
        <v>10</v>
      </c>
      <c r="N1144" s="35" t="s">
        <v>17</v>
      </c>
      <c r="O1144" s="35" t="s">
        <v>23</v>
      </c>
      <c r="P1144" s="35" t="s">
        <v>19</v>
      </c>
      <c r="Q1144" s="35" t="s">
        <v>14</v>
      </c>
      <c r="R1144" s="35" t="s">
        <v>24</v>
      </c>
      <c r="S1144" s="35">
        <v>58779</v>
      </c>
      <c r="T1144" s="35">
        <v>6053</v>
      </c>
      <c r="U1144" s="84">
        <v>52726</v>
      </c>
    </row>
    <row r="1145" spans="12:21">
      <c r="L1145" s="31">
        <v>246298</v>
      </c>
      <c r="M1145" s="35" t="s">
        <v>10</v>
      </c>
      <c r="N1145" s="32" t="s">
        <v>17</v>
      </c>
      <c r="O1145" s="32" t="s">
        <v>36</v>
      </c>
      <c r="P1145" s="32" t="s">
        <v>19</v>
      </c>
      <c r="Q1145" s="32" t="s">
        <v>14</v>
      </c>
      <c r="R1145" s="32" t="s">
        <v>24</v>
      </c>
      <c r="S1145" s="32">
        <v>63738</v>
      </c>
      <c r="T1145" s="32">
        <v>277</v>
      </c>
      <c r="U1145" s="83">
        <v>63461</v>
      </c>
    </row>
    <row r="1146" spans="12:21">
      <c r="L1146" s="34">
        <v>199986</v>
      </c>
      <c r="M1146" s="35" t="s">
        <v>10</v>
      </c>
      <c r="N1146" s="35" t="s">
        <v>39</v>
      </c>
      <c r="O1146" s="35" t="s">
        <v>12</v>
      </c>
      <c r="P1146" s="35" t="s">
        <v>13</v>
      </c>
      <c r="Q1146" s="35" t="s">
        <v>14</v>
      </c>
      <c r="R1146" s="35" t="s">
        <v>15</v>
      </c>
      <c r="S1146" s="35">
        <v>41728</v>
      </c>
      <c r="T1146" s="35">
        <v>4823</v>
      </c>
      <c r="U1146" s="84">
        <v>36905</v>
      </c>
    </row>
    <row r="1147" spans="12:21">
      <c r="L1147" s="31">
        <v>124361</v>
      </c>
      <c r="M1147" s="35" t="s">
        <v>10</v>
      </c>
      <c r="N1147" s="32" t="s">
        <v>35</v>
      </c>
      <c r="O1147" s="32" t="s">
        <v>30</v>
      </c>
      <c r="P1147" s="32" t="s">
        <v>13</v>
      </c>
      <c r="Q1147" s="32" t="s">
        <v>28</v>
      </c>
      <c r="R1147" s="32" t="s">
        <v>24</v>
      </c>
      <c r="S1147" s="32">
        <v>3053</v>
      </c>
      <c r="T1147" s="32">
        <v>0</v>
      </c>
      <c r="U1147" s="83">
        <v>3053</v>
      </c>
    </row>
    <row r="1148" spans="12:21">
      <c r="L1148" s="34">
        <v>126252</v>
      </c>
      <c r="M1148" s="35" t="s">
        <v>10</v>
      </c>
      <c r="N1148" s="35" t="s">
        <v>27</v>
      </c>
      <c r="O1148" s="35" t="s">
        <v>29</v>
      </c>
      <c r="P1148" s="35" t="s">
        <v>19</v>
      </c>
      <c r="Q1148" s="35" t="s">
        <v>14</v>
      </c>
      <c r="R1148" s="35" t="s">
        <v>24</v>
      </c>
      <c r="S1148" s="35">
        <v>63393</v>
      </c>
      <c r="T1148" s="35">
        <v>322</v>
      </c>
      <c r="U1148" s="84">
        <v>63071</v>
      </c>
    </row>
    <row r="1149" spans="12:21">
      <c r="L1149" s="31">
        <v>129168</v>
      </c>
      <c r="M1149" s="35" t="s">
        <v>10</v>
      </c>
      <c r="N1149" s="32" t="s">
        <v>22</v>
      </c>
      <c r="O1149" s="32" t="s">
        <v>29</v>
      </c>
      <c r="P1149" s="32" t="s">
        <v>13</v>
      </c>
      <c r="Q1149" s="32" t="s">
        <v>14</v>
      </c>
      <c r="R1149" s="32" t="s">
        <v>15</v>
      </c>
      <c r="S1149" s="32">
        <v>103123</v>
      </c>
      <c r="T1149" s="32">
        <v>2704</v>
      </c>
      <c r="U1149" s="83">
        <v>100419</v>
      </c>
    </row>
    <row r="1150" spans="12:21">
      <c r="L1150" s="34">
        <v>97558</v>
      </c>
      <c r="M1150" s="35" t="s">
        <v>10</v>
      </c>
      <c r="N1150" s="35" t="s">
        <v>38</v>
      </c>
      <c r="O1150" s="35" t="s">
        <v>29</v>
      </c>
      <c r="P1150" s="35" t="s">
        <v>13</v>
      </c>
      <c r="Q1150" s="35" t="s">
        <v>14</v>
      </c>
      <c r="R1150" s="35" t="s">
        <v>15</v>
      </c>
      <c r="S1150" s="35">
        <v>74064</v>
      </c>
      <c r="T1150" s="35">
        <v>833</v>
      </c>
      <c r="U1150" s="84">
        <v>73231</v>
      </c>
    </row>
    <row r="1151" spans="12:21">
      <c r="L1151" s="31">
        <v>170803</v>
      </c>
      <c r="M1151" s="35" t="s">
        <v>10</v>
      </c>
      <c r="N1151" s="32" t="s">
        <v>17</v>
      </c>
      <c r="O1151" s="32" t="s">
        <v>26</v>
      </c>
      <c r="P1151" s="32" t="s">
        <v>19</v>
      </c>
      <c r="Q1151" s="32" t="s">
        <v>14</v>
      </c>
      <c r="R1151" s="32" t="s">
        <v>24</v>
      </c>
      <c r="S1151" s="32">
        <v>8702</v>
      </c>
      <c r="T1151" s="32">
        <v>0</v>
      </c>
      <c r="U1151" s="83">
        <v>8702</v>
      </c>
    </row>
    <row r="1152" spans="12:21">
      <c r="L1152" s="34">
        <v>89982</v>
      </c>
      <c r="M1152" s="35" t="s">
        <v>10</v>
      </c>
      <c r="N1152" s="35" t="s">
        <v>37</v>
      </c>
      <c r="O1152" s="35" t="s">
        <v>29</v>
      </c>
      <c r="P1152" s="35" t="s">
        <v>13</v>
      </c>
      <c r="Q1152" s="35" t="s">
        <v>28</v>
      </c>
      <c r="R1152" s="35" t="s">
        <v>15</v>
      </c>
      <c r="S1152" s="35">
        <v>41147</v>
      </c>
      <c r="T1152" s="35">
        <v>500</v>
      </c>
      <c r="U1152" s="84">
        <v>40647</v>
      </c>
    </row>
    <row r="1153" spans="12:21">
      <c r="L1153" s="31">
        <v>255464</v>
      </c>
      <c r="M1153" s="35" t="s">
        <v>10</v>
      </c>
      <c r="N1153" s="32" t="s">
        <v>25</v>
      </c>
      <c r="O1153" s="32" t="s">
        <v>23</v>
      </c>
      <c r="P1153" s="32" t="s">
        <v>19</v>
      </c>
      <c r="Q1153" s="32" t="s">
        <v>14</v>
      </c>
      <c r="R1153" s="32" t="s">
        <v>24</v>
      </c>
      <c r="S1153" s="32">
        <v>53378</v>
      </c>
      <c r="T1153" s="32">
        <v>1391</v>
      </c>
      <c r="U1153" s="83">
        <v>51987</v>
      </c>
    </row>
    <row r="1154" spans="12:21">
      <c r="L1154" s="34">
        <v>55612</v>
      </c>
      <c r="M1154" s="35" t="s">
        <v>10</v>
      </c>
      <c r="N1154" s="35" t="s">
        <v>11</v>
      </c>
      <c r="O1154" s="35" t="s">
        <v>26</v>
      </c>
      <c r="P1154" s="35" t="s">
        <v>19</v>
      </c>
      <c r="Q1154" s="35" t="s">
        <v>14</v>
      </c>
      <c r="R1154" s="35" t="s">
        <v>24</v>
      </c>
      <c r="S1154" s="35">
        <v>36553</v>
      </c>
      <c r="T1154" s="35">
        <v>327</v>
      </c>
      <c r="U1154" s="84">
        <v>36226</v>
      </c>
    </row>
    <row r="1155" spans="12:21">
      <c r="L1155" s="31">
        <v>106980</v>
      </c>
      <c r="M1155" s="35" t="s">
        <v>10</v>
      </c>
      <c r="N1155" s="32" t="s">
        <v>25</v>
      </c>
      <c r="O1155" s="32" t="s">
        <v>23</v>
      </c>
      <c r="P1155" s="32" t="s">
        <v>13</v>
      </c>
      <c r="Q1155" s="32" t="s">
        <v>14</v>
      </c>
      <c r="R1155" s="32" t="s">
        <v>24</v>
      </c>
      <c r="S1155" s="32">
        <v>92204</v>
      </c>
      <c r="T1155" s="32">
        <v>0</v>
      </c>
      <c r="U1155" s="83">
        <v>92204</v>
      </c>
    </row>
    <row r="1156" spans="12:21">
      <c r="L1156" s="34">
        <v>108475</v>
      </c>
      <c r="M1156" s="35" t="s">
        <v>10</v>
      </c>
      <c r="N1156" s="35" t="s">
        <v>25</v>
      </c>
      <c r="O1156" s="35" t="s">
        <v>29</v>
      </c>
      <c r="P1156" s="35" t="s">
        <v>19</v>
      </c>
      <c r="Q1156" s="35" t="s">
        <v>28</v>
      </c>
      <c r="R1156" s="35" t="s">
        <v>24</v>
      </c>
      <c r="S1156" s="35">
        <v>20390</v>
      </c>
      <c r="T1156" s="35">
        <v>3838</v>
      </c>
      <c r="U1156" s="84">
        <v>16552</v>
      </c>
    </row>
    <row r="1157" spans="12:21">
      <c r="L1157" s="31">
        <v>190176</v>
      </c>
      <c r="M1157" s="35" t="s">
        <v>10</v>
      </c>
      <c r="N1157" s="32" t="s">
        <v>20</v>
      </c>
      <c r="O1157" s="32" t="s">
        <v>32</v>
      </c>
      <c r="P1157" s="32" t="s">
        <v>19</v>
      </c>
      <c r="Q1157" s="32" t="s">
        <v>28</v>
      </c>
      <c r="R1157" s="32" t="s">
        <v>24</v>
      </c>
      <c r="S1157" s="32">
        <v>411</v>
      </c>
      <c r="T1157" s="32">
        <v>0</v>
      </c>
      <c r="U1157" s="83">
        <v>411</v>
      </c>
    </row>
    <row r="1158" spans="12:21">
      <c r="L1158" s="34">
        <v>52074</v>
      </c>
      <c r="M1158" s="35" t="s">
        <v>10</v>
      </c>
      <c r="N1158" s="35" t="s">
        <v>35</v>
      </c>
      <c r="O1158" s="35" t="s">
        <v>12</v>
      </c>
      <c r="P1158" s="35" t="s">
        <v>13</v>
      </c>
      <c r="Q1158" s="35" t="s">
        <v>14</v>
      </c>
      <c r="R1158" s="35" t="s">
        <v>15</v>
      </c>
      <c r="S1158" s="35">
        <v>362528</v>
      </c>
      <c r="T1158" s="35">
        <v>8664</v>
      </c>
      <c r="U1158" s="84">
        <v>353864</v>
      </c>
    </row>
    <row r="1159" spans="12:21">
      <c r="L1159" s="31">
        <v>119636</v>
      </c>
      <c r="M1159" s="35" t="s">
        <v>10</v>
      </c>
      <c r="N1159" s="32" t="s">
        <v>27</v>
      </c>
      <c r="O1159" s="32" t="s">
        <v>23</v>
      </c>
      <c r="P1159" s="32" t="s">
        <v>19</v>
      </c>
      <c r="Q1159" s="32" t="s">
        <v>28</v>
      </c>
      <c r="R1159" s="32" t="s">
        <v>15</v>
      </c>
      <c r="S1159" s="32">
        <v>87820</v>
      </c>
      <c r="T1159" s="32">
        <v>0</v>
      </c>
      <c r="U1159" s="83">
        <v>87820</v>
      </c>
    </row>
    <row r="1160" spans="12:21">
      <c r="L1160" s="34">
        <v>167884</v>
      </c>
      <c r="M1160" s="35" t="s">
        <v>10</v>
      </c>
      <c r="N1160" s="35" t="s">
        <v>27</v>
      </c>
      <c r="O1160" s="35" t="s">
        <v>12</v>
      </c>
      <c r="P1160" s="35" t="s">
        <v>13</v>
      </c>
      <c r="Q1160" s="35" t="s">
        <v>14</v>
      </c>
      <c r="R1160" s="35" t="s">
        <v>24</v>
      </c>
      <c r="S1160" s="35">
        <v>63677</v>
      </c>
      <c r="T1160" s="35">
        <v>2524</v>
      </c>
      <c r="U1160" s="84">
        <v>61153</v>
      </c>
    </row>
    <row r="1161" spans="12:21">
      <c r="L1161" s="31">
        <v>197204</v>
      </c>
      <c r="M1161" s="35" t="s">
        <v>10</v>
      </c>
      <c r="N1161" s="32" t="s">
        <v>34</v>
      </c>
      <c r="O1161" s="32" t="s">
        <v>29</v>
      </c>
      <c r="P1161" s="32" t="s">
        <v>13</v>
      </c>
      <c r="Q1161" s="32" t="s">
        <v>28</v>
      </c>
      <c r="R1161" s="32" t="s">
        <v>24</v>
      </c>
      <c r="S1161" s="32">
        <v>41408</v>
      </c>
      <c r="T1161" s="32">
        <v>403</v>
      </c>
      <c r="U1161" s="83">
        <v>41005</v>
      </c>
    </row>
    <row r="1162" spans="12:21">
      <c r="L1162" s="34">
        <v>109440</v>
      </c>
      <c r="M1162" s="35" t="s">
        <v>10</v>
      </c>
      <c r="N1162" s="35" t="s">
        <v>22</v>
      </c>
      <c r="O1162" s="35" t="s">
        <v>36</v>
      </c>
      <c r="P1162" s="35" t="s">
        <v>19</v>
      </c>
      <c r="Q1162" s="35" t="s">
        <v>28</v>
      </c>
      <c r="R1162" s="35" t="s">
        <v>24</v>
      </c>
      <c r="S1162" s="35">
        <v>687</v>
      </c>
      <c r="T1162" s="35">
        <v>0</v>
      </c>
      <c r="U1162" s="84">
        <v>687</v>
      </c>
    </row>
    <row r="1163" spans="12:21">
      <c r="L1163" s="31">
        <v>86176</v>
      </c>
      <c r="M1163" s="35" t="s">
        <v>10</v>
      </c>
      <c r="N1163" s="32" t="s">
        <v>20</v>
      </c>
      <c r="O1163" s="32" t="s">
        <v>32</v>
      </c>
      <c r="P1163" s="32" t="s">
        <v>13</v>
      </c>
      <c r="Q1163" s="32" t="s">
        <v>14</v>
      </c>
      <c r="R1163" s="32" t="s">
        <v>15</v>
      </c>
      <c r="S1163" s="32">
        <v>24043</v>
      </c>
      <c r="T1163" s="32">
        <v>344</v>
      </c>
      <c r="U1163" s="83">
        <v>23699</v>
      </c>
    </row>
    <row r="1164" spans="12:21">
      <c r="L1164" s="34">
        <v>208917</v>
      </c>
      <c r="M1164" s="35" t="s">
        <v>10</v>
      </c>
      <c r="N1164" s="35" t="s">
        <v>20</v>
      </c>
      <c r="O1164" s="35" t="s">
        <v>32</v>
      </c>
      <c r="P1164" s="35" t="s">
        <v>13</v>
      </c>
      <c r="Q1164" s="35" t="s">
        <v>14</v>
      </c>
      <c r="R1164" s="35" t="s">
        <v>15</v>
      </c>
      <c r="S1164" s="35">
        <v>18083</v>
      </c>
      <c r="T1164" s="35">
        <v>0</v>
      </c>
      <c r="U1164" s="84">
        <v>18083</v>
      </c>
    </row>
    <row r="1165" spans="12:21">
      <c r="L1165" s="31">
        <v>118722</v>
      </c>
      <c r="M1165" s="35" t="s">
        <v>10</v>
      </c>
      <c r="N1165" s="32" t="s">
        <v>31</v>
      </c>
      <c r="O1165" s="32" t="s">
        <v>26</v>
      </c>
      <c r="P1165" s="32" t="s">
        <v>19</v>
      </c>
      <c r="Q1165" s="32" t="s">
        <v>14</v>
      </c>
      <c r="R1165" s="32" t="s">
        <v>24</v>
      </c>
      <c r="S1165" s="32">
        <v>21621</v>
      </c>
      <c r="T1165" s="32">
        <v>388</v>
      </c>
      <c r="U1165" s="83">
        <v>21233</v>
      </c>
    </row>
    <row r="1166" spans="12:21">
      <c r="L1166" s="34">
        <v>93846</v>
      </c>
      <c r="M1166" s="35" t="s">
        <v>10</v>
      </c>
      <c r="N1166" s="35" t="s">
        <v>39</v>
      </c>
      <c r="O1166" s="35" t="s">
        <v>23</v>
      </c>
      <c r="P1166" s="35" t="s">
        <v>13</v>
      </c>
      <c r="Q1166" s="35" t="s">
        <v>14</v>
      </c>
      <c r="R1166" s="35" t="s">
        <v>15</v>
      </c>
      <c r="S1166" s="35">
        <v>45731</v>
      </c>
      <c r="T1166" s="35">
        <v>243</v>
      </c>
      <c r="U1166" s="84">
        <v>45488</v>
      </c>
    </row>
    <row r="1167" spans="12:21">
      <c r="L1167" s="31">
        <v>28219</v>
      </c>
      <c r="M1167" s="35" t="s">
        <v>10</v>
      </c>
      <c r="N1167" s="32" t="s">
        <v>35</v>
      </c>
      <c r="O1167" s="32" t="s">
        <v>36</v>
      </c>
      <c r="P1167" s="32" t="s">
        <v>13</v>
      </c>
      <c r="Q1167" s="32" t="s">
        <v>14</v>
      </c>
      <c r="R1167" s="32" t="s">
        <v>24</v>
      </c>
      <c r="S1167" s="32">
        <v>66338</v>
      </c>
      <c r="T1167" s="32">
        <v>883</v>
      </c>
      <c r="U1167" s="83">
        <v>65455</v>
      </c>
    </row>
    <row r="1168" spans="12:21">
      <c r="L1168" s="34">
        <v>151465</v>
      </c>
      <c r="M1168" s="35" t="s">
        <v>10</v>
      </c>
      <c r="N1168" s="35" t="s">
        <v>11</v>
      </c>
      <c r="O1168" s="35" t="s">
        <v>26</v>
      </c>
      <c r="P1168" s="35" t="s">
        <v>13</v>
      </c>
      <c r="Q1168" s="35" t="s">
        <v>14</v>
      </c>
      <c r="R1168" s="35" t="s">
        <v>24</v>
      </c>
      <c r="S1168" s="35">
        <v>63322</v>
      </c>
      <c r="T1168" s="35">
        <v>252</v>
      </c>
      <c r="U1168" s="84">
        <v>63070</v>
      </c>
    </row>
    <row r="1169" spans="12:21">
      <c r="L1169" s="31">
        <v>63809</v>
      </c>
      <c r="M1169" s="35" t="s">
        <v>10</v>
      </c>
      <c r="N1169" s="32" t="s">
        <v>27</v>
      </c>
      <c r="O1169" s="32" t="s">
        <v>26</v>
      </c>
      <c r="P1169" s="32" t="s">
        <v>19</v>
      </c>
      <c r="Q1169" s="32" t="s">
        <v>14</v>
      </c>
      <c r="R1169" s="32" t="s">
        <v>24</v>
      </c>
      <c r="S1169" s="32">
        <v>19786</v>
      </c>
      <c r="T1169" s="32">
        <v>338</v>
      </c>
      <c r="U1169" s="83">
        <v>19448</v>
      </c>
    </row>
    <row r="1170" spans="12:21">
      <c r="L1170" s="34">
        <v>57607</v>
      </c>
      <c r="M1170" s="35" t="s">
        <v>10</v>
      </c>
      <c r="N1170" s="35" t="s">
        <v>34</v>
      </c>
      <c r="O1170" s="35" t="s">
        <v>32</v>
      </c>
      <c r="P1170" s="35" t="s">
        <v>13</v>
      </c>
      <c r="Q1170" s="35" t="s">
        <v>28</v>
      </c>
      <c r="R1170" s="35" t="s">
        <v>15</v>
      </c>
      <c r="S1170" s="35">
        <v>115874</v>
      </c>
      <c r="T1170" s="35">
        <v>1715</v>
      </c>
      <c r="U1170" s="84">
        <v>114159</v>
      </c>
    </row>
    <row r="1171" spans="12:21">
      <c r="L1171" s="31">
        <v>252311</v>
      </c>
      <c r="M1171" s="35" t="s">
        <v>10</v>
      </c>
      <c r="N1171" s="32" t="s">
        <v>17</v>
      </c>
      <c r="O1171" s="32" t="s">
        <v>30</v>
      </c>
      <c r="P1171" s="32" t="s">
        <v>19</v>
      </c>
      <c r="Q1171" s="32" t="s">
        <v>14</v>
      </c>
      <c r="R1171" s="32" t="s">
        <v>15</v>
      </c>
      <c r="S1171" s="32">
        <v>23868</v>
      </c>
      <c r="T1171" s="32">
        <v>0</v>
      </c>
      <c r="U1171" s="83">
        <v>23868</v>
      </c>
    </row>
    <row r="1172" spans="12:21">
      <c r="L1172" s="34">
        <v>208936</v>
      </c>
      <c r="M1172" s="35" t="s">
        <v>10</v>
      </c>
      <c r="N1172" s="35" t="s">
        <v>38</v>
      </c>
      <c r="O1172" s="35" t="s">
        <v>12</v>
      </c>
      <c r="P1172" s="35" t="s">
        <v>13</v>
      </c>
      <c r="Q1172" s="35" t="s">
        <v>14</v>
      </c>
      <c r="R1172" s="35" t="s">
        <v>15</v>
      </c>
      <c r="S1172" s="35">
        <v>76777</v>
      </c>
      <c r="T1172" s="35">
        <v>877</v>
      </c>
      <c r="U1172" s="84">
        <v>75900</v>
      </c>
    </row>
    <row r="1173" spans="12:21">
      <c r="L1173" s="31">
        <v>255004</v>
      </c>
      <c r="M1173" s="35" t="s">
        <v>10</v>
      </c>
      <c r="N1173" s="32" t="s">
        <v>17</v>
      </c>
      <c r="O1173" s="32" t="s">
        <v>21</v>
      </c>
      <c r="P1173" s="32" t="s">
        <v>19</v>
      </c>
      <c r="Q1173" s="32" t="s">
        <v>14</v>
      </c>
      <c r="R1173" s="32" t="s">
        <v>24</v>
      </c>
      <c r="S1173" s="32">
        <v>22825</v>
      </c>
      <c r="T1173" s="32">
        <v>269</v>
      </c>
      <c r="U1173" s="83">
        <v>22556</v>
      </c>
    </row>
    <row r="1174" spans="12:21">
      <c r="L1174" s="34">
        <v>15439</v>
      </c>
      <c r="M1174" s="35" t="s">
        <v>10</v>
      </c>
      <c r="N1174" s="35" t="s">
        <v>11</v>
      </c>
      <c r="O1174" s="35" t="s">
        <v>23</v>
      </c>
      <c r="P1174" s="35" t="s">
        <v>13</v>
      </c>
      <c r="Q1174" s="35" t="s">
        <v>14</v>
      </c>
      <c r="R1174" s="35" t="s">
        <v>24</v>
      </c>
      <c r="S1174" s="35">
        <v>68022</v>
      </c>
      <c r="T1174" s="35">
        <v>553</v>
      </c>
      <c r="U1174" s="84">
        <v>67469</v>
      </c>
    </row>
    <row r="1175" spans="12:21">
      <c r="L1175" s="31">
        <v>30618</v>
      </c>
      <c r="M1175" s="35" t="s">
        <v>10</v>
      </c>
      <c r="N1175" s="32" t="s">
        <v>11</v>
      </c>
      <c r="O1175" s="32" t="s">
        <v>29</v>
      </c>
      <c r="P1175" s="32" t="s">
        <v>19</v>
      </c>
      <c r="Q1175" s="32" t="s">
        <v>28</v>
      </c>
      <c r="R1175" s="32" t="s">
        <v>24</v>
      </c>
      <c r="S1175" s="32">
        <v>14902</v>
      </c>
      <c r="T1175" s="32">
        <v>71</v>
      </c>
      <c r="U1175" s="83">
        <v>14831</v>
      </c>
    </row>
    <row r="1176" spans="12:21">
      <c r="L1176" s="34">
        <v>93869</v>
      </c>
      <c r="M1176" s="35" t="s">
        <v>10</v>
      </c>
      <c r="N1176" s="35" t="s">
        <v>20</v>
      </c>
      <c r="O1176" s="35" t="s">
        <v>32</v>
      </c>
      <c r="P1176" s="35" t="s">
        <v>13</v>
      </c>
      <c r="Q1176" s="35" t="s">
        <v>14</v>
      </c>
      <c r="R1176" s="35" t="s">
        <v>15</v>
      </c>
      <c r="S1176" s="35">
        <v>1530</v>
      </c>
      <c r="T1176" s="35">
        <v>0</v>
      </c>
      <c r="U1176" s="84">
        <v>1530</v>
      </c>
    </row>
    <row r="1177" spans="12:21">
      <c r="L1177" s="31">
        <v>138196</v>
      </c>
      <c r="M1177" s="35" t="s">
        <v>10</v>
      </c>
      <c r="N1177" s="32" t="s">
        <v>22</v>
      </c>
      <c r="O1177" s="32" t="s">
        <v>32</v>
      </c>
      <c r="P1177" s="32" t="s">
        <v>13</v>
      </c>
      <c r="Q1177" s="32" t="s">
        <v>14</v>
      </c>
      <c r="R1177" s="32" t="s">
        <v>24</v>
      </c>
      <c r="S1177" s="32">
        <v>48598</v>
      </c>
      <c r="T1177" s="32">
        <v>89</v>
      </c>
      <c r="U1177" s="83">
        <v>48509</v>
      </c>
    </row>
    <row r="1178" spans="12:21">
      <c r="L1178" s="34">
        <v>197142</v>
      </c>
      <c r="M1178" s="35" t="s">
        <v>10</v>
      </c>
      <c r="N1178" s="35" t="s">
        <v>11</v>
      </c>
      <c r="O1178" s="35" t="s">
        <v>29</v>
      </c>
      <c r="P1178" s="35" t="s">
        <v>13</v>
      </c>
      <c r="Q1178" s="35" t="s">
        <v>14</v>
      </c>
      <c r="R1178" s="35" t="s">
        <v>15</v>
      </c>
      <c r="S1178" s="35">
        <v>64041</v>
      </c>
      <c r="T1178" s="35">
        <v>479</v>
      </c>
      <c r="U1178" s="84">
        <v>63562</v>
      </c>
    </row>
    <row r="1179" spans="12:21">
      <c r="L1179" s="31">
        <v>195385</v>
      </c>
      <c r="M1179" s="35" t="s">
        <v>10</v>
      </c>
      <c r="N1179" s="32" t="s">
        <v>11</v>
      </c>
      <c r="O1179" s="32" t="s">
        <v>29</v>
      </c>
      <c r="P1179" s="32" t="s">
        <v>13</v>
      </c>
      <c r="Q1179" s="32" t="s">
        <v>14</v>
      </c>
      <c r="R1179" s="32" t="s">
        <v>15</v>
      </c>
      <c r="S1179" s="32">
        <v>107092</v>
      </c>
      <c r="T1179" s="32">
        <v>9015</v>
      </c>
      <c r="U1179" s="83">
        <v>98077</v>
      </c>
    </row>
    <row r="1180" spans="12:21">
      <c r="L1180" s="34">
        <v>96643</v>
      </c>
      <c r="M1180" s="35" t="s">
        <v>10</v>
      </c>
      <c r="N1180" s="35" t="s">
        <v>34</v>
      </c>
      <c r="O1180" s="35" t="s">
        <v>32</v>
      </c>
      <c r="P1180" s="35" t="s">
        <v>13</v>
      </c>
      <c r="Q1180" s="35" t="s">
        <v>14</v>
      </c>
      <c r="R1180" s="35" t="s">
        <v>15</v>
      </c>
      <c r="S1180" s="35">
        <v>68615</v>
      </c>
      <c r="T1180" s="35">
        <v>129</v>
      </c>
      <c r="U1180" s="84">
        <v>68486</v>
      </c>
    </row>
    <row r="1181" spans="12:21">
      <c r="L1181" s="31">
        <v>257573</v>
      </c>
      <c r="M1181" s="35" t="s">
        <v>10</v>
      </c>
      <c r="N1181" s="32" t="s">
        <v>35</v>
      </c>
      <c r="O1181" s="32" t="s">
        <v>33</v>
      </c>
      <c r="P1181" s="32" t="s">
        <v>19</v>
      </c>
      <c r="Q1181" s="32" t="s">
        <v>14</v>
      </c>
      <c r="R1181" s="32" t="s">
        <v>24</v>
      </c>
      <c r="S1181" s="32">
        <v>38450</v>
      </c>
      <c r="T1181" s="32">
        <v>3238</v>
      </c>
      <c r="U1181" s="83">
        <v>35212</v>
      </c>
    </row>
    <row r="1182" spans="12:21">
      <c r="L1182" s="34">
        <v>178658</v>
      </c>
      <c r="M1182" s="35" t="s">
        <v>10</v>
      </c>
      <c r="N1182" s="35" t="s">
        <v>17</v>
      </c>
      <c r="O1182" s="35" t="s">
        <v>18</v>
      </c>
      <c r="P1182" s="35" t="s">
        <v>19</v>
      </c>
      <c r="Q1182" s="35" t="s">
        <v>14</v>
      </c>
      <c r="R1182" s="35" t="s">
        <v>24</v>
      </c>
      <c r="S1182" s="35">
        <v>41728</v>
      </c>
      <c r="T1182" s="35">
        <v>1119</v>
      </c>
      <c r="U1182" s="84">
        <v>40609</v>
      </c>
    </row>
    <row r="1183" spans="12:21">
      <c r="L1183" s="31">
        <v>225363</v>
      </c>
      <c r="M1183" s="35" t="s">
        <v>10</v>
      </c>
      <c r="N1183" s="32" t="s">
        <v>25</v>
      </c>
      <c r="O1183" s="32" t="s">
        <v>23</v>
      </c>
      <c r="P1183" s="32" t="s">
        <v>13</v>
      </c>
      <c r="Q1183" s="32" t="s">
        <v>28</v>
      </c>
      <c r="R1183" s="32" t="s">
        <v>24</v>
      </c>
      <c r="S1183" s="32">
        <v>52404</v>
      </c>
      <c r="T1183" s="32">
        <v>2907</v>
      </c>
      <c r="U1183" s="83">
        <v>49497</v>
      </c>
    </row>
    <row r="1184" spans="12:21">
      <c r="L1184" s="34">
        <v>54288</v>
      </c>
      <c r="M1184" s="35" t="s">
        <v>10</v>
      </c>
      <c r="N1184" s="35" t="s">
        <v>35</v>
      </c>
      <c r="O1184" s="35" t="s">
        <v>30</v>
      </c>
      <c r="P1184" s="35" t="s">
        <v>13</v>
      </c>
      <c r="Q1184" s="35" t="s">
        <v>14</v>
      </c>
      <c r="R1184" s="35" t="s">
        <v>15</v>
      </c>
      <c r="S1184" s="35">
        <v>80271</v>
      </c>
      <c r="T1184" s="35">
        <v>1491</v>
      </c>
      <c r="U1184" s="84">
        <v>78780</v>
      </c>
    </row>
    <row r="1185" spans="12:21">
      <c r="L1185" s="31">
        <v>7022</v>
      </c>
      <c r="M1185" s="35" t="s">
        <v>10</v>
      </c>
      <c r="N1185" s="32" t="s">
        <v>20</v>
      </c>
      <c r="O1185" s="32" t="s">
        <v>32</v>
      </c>
      <c r="P1185" s="32" t="s">
        <v>13</v>
      </c>
      <c r="Q1185" s="32" t="s">
        <v>14</v>
      </c>
      <c r="R1185" s="32" t="s">
        <v>15</v>
      </c>
      <c r="S1185" s="32">
        <v>130322</v>
      </c>
      <c r="T1185" s="32">
        <v>211</v>
      </c>
      <c r="U1185" s="83">
        <v>130111</v>
      </c>
    </row>
    <row r="1186" spans="12:21">
      <c r="L1186" s="34">
        <v>191306</v>
      </c>
      <c r="M1186" s="35" t="s">
        <v>10</v>
      </c>
      <c r="N1186" s="35" t="s">
        <v>34</v>
      </c>
      <c r="O1186" s="35" t="s">
        <v>29</v>
      </c>
      <c r="P1186" s="35" t="s">
        <v>13</v>
      </c>
      <c r="Q1186" s="35" t="s">
        <v>28</v>
      </c>
      <c r="R1186" s="35" t="s">
        <v>24</v>
      </c>
      <c r="S1186" s="35">
        <v>116709</v>
      </c>
      <c r="T1186" s="35">
        <v>25855</v>
      </c>
      <c r="U1186" s="84">
        <v>90854</v>
      </c>
    </row>
    <row r="1187" spans="12:21">
      <c r="L1187" s="31">
        <v>228842</v>
      </c>
      <c r="M1187" s="35" t="s">
        <v>10</v>
      </c>
      <c r="N1187" s="32" t="s">
        <v>22</v>
      </c>
      <c r="O1187" s="32" t="s">
        <v>23</v>
      </c>
      <c r="P1187" s="32" t="s">
        <v>19</v>
      </c>
      <c r="Q1187" s="32" t="s">
        <v>14</v>
      </c>
      <c r="R1187" s="32" t="s">
        <v>24</v>
      </c>
      <c r="S1187" s="32">
        <v>76166</v>
      </c>
      <c r="T1187" s="32">
        <v>1318</v>
      </c>
      <c r="U1187" s="83">
        <v>74848</v>
      </c>
    </row>
    <row r="1188" spans="12:21">
      <c r="L1188" s="34">
        <v>236644</v>
      </c>
      <c r="M1188" s="35" t="s">
        <v>10</v>
      </c>
      <c r="N1188" s="35" t="s">
        <v>17</v>
      </c>
      <c r="O1188" s="35" t="s">
        <v>33</v>
      </c>
      <c r="P1188" s="35" t="s">
        <v>19</v>
      </c>
      <c r="Q1188" s="35" t="s">
        <v>28</v>
      </c>
      <c r="R1188" s="35" t="s">
        <v>15</v>
      </c>
      <c r="S1188" s="35">
        <v>45633</v>
      </c>
      <c r="T1188" s="35">
        <v>378</v>
      </c>
      <c r="U1188" s="84">
        <v>45255</v>
      </c>
    </row>
    <row r="1189" spans="12:21">
      <c r="L1189" s="31">
        <v>25262</v>
      </c>
      <c r="M1189" s="35" t="s">
        <v>10</v>
      </c>
      <c r="N1189" s="32" t="s">
        <v>35</v>
      </c>
      <c r="O1189" s="32" t="s">
        <v>18</v>
      </c>
      <c r="P1189" s="32" t="s">
        <v>19</v>
      </c>
      <c r="Q1189" s="32" t="s">
        <v>14</v>
      </c>
      <c r="R1189" s="32" t="s">
        <v>24</v>
      </c>
      <c r="S1189" s="32">
        <v>75128</v>
      </c>
      <c r="T1189" s="32">
        <v>5039</v>
      </c>
      <c r="U1189" s="83">
        <v>70089</v>
      </c>
    </row>
    <row r="1190" spans="12:21">
      <c r="L1190" s="34">
        <v>51196</v>
      </c>
      <c r="M1190" s="35" t="s">
        <v>10</v>
      </c>
      <c r="N1190" s="35" t="s">
        <v>35</v>
      </c>
      <c r="O1190" s="35" t="s">
        <v>18</v>
      </c>
      <c r="P1190" s="35" t="s">
        <v>13</v>
      </c>
      <c r="Q1190" s="35" t="s">
        <v>14</v>
      </c>
      <c r="R1190" s="35" t="s">
        <v>24</v>
      </c>
      <c r="S1190" s="35">
        <v>78897</v>
      </c>
      <c r="T1190" s="35">
        <v>27267</v>
      </c>
      <c r="U1190" s="84">
        <v>51630</v>
      </c>
    </row>
    <row r="1191" spans="12:21">
      <c r="L1191" s="31">
        <v>215569</v>
      </c>
      <c r="M1191" s="35" t="s">
        <v>10</v>
      </c>
      <c r="N1191" s="32" t="s">
        <v>38</v>
      </c>
      <c r="O1191" s="32" t="s">
        <v>26</v>
      </c>
      <c r="P1191" s="32" t="s">
        <v>13</v>
      </c>
      <c r="Q1191" s="32" t="s">
        <v>14</v>
      </c>
      <c r="R1191" s="32" t="s">
        <v>24</v>
      </c>
      <c r="S1191" s="32">
        <v>43561</v>
      </c>
      <c r="T1191" s="32">
        <v>1110</v>
      </c>
      <c r="U1191" s="83">
        <v>42451</v>
      </c>
    </row>
    <row r="1192" spans="12:21">
      <c r="L1192" s="34">
        <v>57702</v>
      </c>
      <c r="M1192" s="35" t="s">
        <v>10</v>
      </c>
      <c r="N1192" s="35" t="s">
        <v>27</v>
      </c>
      <c r="O1192" s="35" t="s">
        <v>12</v>
      </c>
      <c r="P1192" s="35" t="s">
        <v>13</v>
      </c>
      <c r="Q1192" s="35" t="s">
        <v>14</v>
      </c>
      <c r="R1192" s="35" t="s">
        <v>15</v>
      </c>
      <c r="S1192" s="35">
        <v>49108</v>
      </c>
      <c r="T1192" s="35">
        <v>526</v>
      </c>
      <c r="U1192" s="84">
        <v>48582</v>
      </c>
    </row>
    <row r="1193" spans="12:21">
      <c r="L1193" s="31">
        <v>55923</v>
      </c>
      <c r="M1193" s="35" t="s">
        <v>10</v>
      </c>
      <c r="N1193" s="32" t="s">
        <v>11</v>
      </c>
      <c r="O1193" s="32" t="s">
        <v>30</v>
      </c>
      <c r="P1193" s="32" t="s">
        <v>13</v>
      </c>
      <c r="Q1193" s="32" t="s">
        <v>28</v>
      </c>
      <c r="R1193" s="32" t="s">
        <v>24</v>
      </c>
      <c r="S1193" s="32">
        <v>37481</v>
      </c>
      <c r="T1193" s="32">
        <v>6022</v>
      </c>
      <c r="U1193" s="83">
        <v>31459</v>
      </c>
    </row>
    <row r="1194" spans="12:21">
      <c r="L1194" s="34">
        <v>5092</v>
      </c>
      <c r="M1194" s="35" t="s">
        <v>10</v>
      </c>
      <c r="N1194" s="35" t="s">
        <v>37</v>
      </c>
      <c r="O1194" s="35" t="s">
        <v>33</v>
      </c>
      <c r="P1194" s="35" t="s">
        <v>13</v>
      </c>
      <c r="Q1194" s="35" t="s">
        <v>28</v>
      </c>
      <c r="R1194" s="35" t="s">
        <v>15</v>
      </c>
      <c r="S1194" s="35">
        <v>65253</v>
      </c>
      <c r="T1194" s="35">
        <v>756</v>
      </c>
      <c r="U1194" s="84">
        <v>64497</v>
      </c>
    </row>
    <row r="1195" spans="12:21">
      <c r="L1195" s="31">
        <v>29172</v>
      </c>
      <c r="M1195" s="35" t="s">
        <v>10</v>
      </c>
      <c r="N1195" s="32" t="s">
        <v>11</v>
      </c>
      <c r="O1195" s="32" t="s">
        <v>23</v>
      </c>
      <c r="P1195" s="32" t="s">
        <v>13</v>
      </c>
      <c r="Q1195" s="32" t="s">
        <v>14</v>
      </c>
      <c r="R1195" s="32" t="s">
        <v>15</v>
      </c>
      <c r="S1195" s="32">
        <v>59928</v>
      </c>
      <c r="T1195" s="32">
        <v>8756</v>
      </c>
      <c r="U1195" s="83">
        <v>51172</v>
      </c>
    </row>
    <row r="1196" spans="12:21">
      <c r="L1196" s="34">
        <v>169428</v>
      </c>
      <c r="M1196" s="35" t="s">
        <v>10</v>
      </c>
      <c r="N1196" s="35" t="s">
        <v>25</v>
      </c>
      <c r="O1196" s="35" t="s">
        <v>30</v>
      </c>
      <c r="P1196" s="35" t="s">
        <v>13</v>
      </c>
      <c r="Q1196" s="35" t="s">
        <v>14</v>
      </c>
      <c r="R1196" s="35" t="s">
        <v>15</v>
      </c>
      <c r="S1196" s="35">
        <v>91953</v>
      </c>
      <c r="T1196" s="35">
        <v>7294</v>
      </c>
      <c r="U1196" s="84">
        <v>84659</v>
      </c>
    </row>
    <row r="1197" spans="12:21">
      <c r="L1197" s="31">
        <v>10903</v>
      </c>
      <c r="M1197" s="35" t="s">
        <v>10</v>
      </c>
      <c r="N1197" s="32" t="s">
        <v>34</v>
      </c>
      <c r="O1197" s="32" t="s">
        <v>29</v>
      </c>
      <c r="P1197" s="32" t="s">
        <v>19</v>
      </c>
      <c r="Q1197" s="32" t="s">
        <v>14</v>
      </c>
      <c r="R1197" s="32" t="s">
        <v>15</v>
      </c>
      <c r="S1197" s="32">
        <v>106104</v>
      </c>
      <c r="T1197" s="32">
        <v>6908</v>
      </c>
      <c r="U1197" s="83">
        <v>99196</v>
      </c>
    </row>
    <row r="1198" spans="12:21">
      <c r="L1198" s="34">
        <v>84842</v>
      </c>
      <c r="M1198" s="35" t="s">
        <v>10</v>
      </c>
      <c r="N1198" s="35" t="s">
        <v>11</v>
      </c>
      <c r="O1198" s="35" t="s">
        <v>33</v>
      </c>
      <c r="P1198" s="35" t="s">
        <v>19</v>
      </c>
      <c r="Q1198" s="35" t="s">
        <v>14</v>
      </c>
      <c r="R1198" s="35" t="s">
        <v>24</v>
      </c>
      <c r="S1198" s="35">
        <v>64042</v>
      </c>
      <c r="T1198" s="35">
        <v>454</v>
      </c>
      <c r="U1198" s="84">
        <v>63588</v>
      </c>
    </row>
    <row r="1199" spans="12:21">
      <c r="L1199" s="31">
        <v>22716</v>
      </c>
      <c r="M1199" s="35" t="s">
        <v>10</v>
      </c>
      <c r="N1199" s="32" t="s">
        <v>11</v>
      </c>
      <c r="O1199" s="32" t="s">
        <v>26</v>
      </c>
      <c r="P1199" s="32" t="s">
        <v>19</v>
      </c>
      <c r="Q1199" s="32" t="s">
        <v>14</v>
      </c>
      <c r="R1199" s="32" t="s">
        <v>24</v>
      </c>
      <c r="S1199" s="32">
        <v>94643</v>
      </c>
      <c r="T1199" s="32">
        <v>799</v>
      </c>
      <c r="U1199" s="83">
        <v>93844</v>
      </c>
    </row>
    <row r="1200" spans="12:21">
      <c r="L1200" s="34">
        <v>191020</v>
      </c>
      <c r="M1200" s="35" t="s">
        <v>10</v>
      </c>
      <c r="N1200" s="35" t="s">
        <v>39</v>
      </c>
      <c r="O1200" s="35" t="s">
        <v>32</v>
      </c>
      <c r="P1200" s="35" t="s">
        <v>13</v>
      </c>
      <c r="Q1200" s="35" t="s">
        <v>14</v>
      </c>
      <c r="R1200" s="35" t="s">
        <v>15</v>
      </c>
      <c r="S1200" s="35">
        <v>14091</v>
      </c>
      <c r="T1200" s="35">
        <v>0</v>
      </c>
      <c r="U1200" s="84">
        <v>14091</v>
      </c>
    </row>
    <row r="1201" spans="12:21">
      <c r="L1201" s="31">
        <v>216782</v>
      </c>
      <c r="M1201" s="35" t="s">
        <v>10</v>
      </c>
      <c r="N1201" s="32" t="s">
        <v>34</v>
      </c>
      <c r="O1201" s="32" t="s">
        <v>23</v>
      </c>
      <c r="P1201" s="32" t="s">
        <v>19</v>
      </c>
      <c r="Q1201" s="32" t="s">
        <v>14</v>
      </c>
      <c r="R1201" s="32" t="s">
        <v>15</v>
      </c>
      <c r="S1201" s="32">
        <v>37766</v>
      </c>
      <c r="T1201" s="32">
        <v>2634</v>
      </c>
      <c r="U1201" s="83">
        <v>35132</v>
      </c>
    </row>
    <row r="1202" spans="12:21">
      <c r="L1202" s="34">
        <v>189241</v>
      </c>
      <c r="M1202" s="35" t="s">
        <v>10</v>
      </c>
      <c r="N1202" s="35" t="s">
        <v>37</v>
      </c>
      <c r="O1202" s="35" t="s">
        <v>29</v>
      </c>
      <c r="P1202" s="35" t="s">
        <v>13</v>
      </c>
      <c r="Q1202" s="35" t="s">
        <v>14</v>
      </c>
      <c r="R1202" s="35" t="s">
        <v>15</v>
      </c>
      <c r="S1202" s="35">
        <v>91854</v>
      </c>
      <c r="T1202" s="35">
        <v>573</v>
      </c>
      <c r="U1202" s="84">
        <v>91281</v>
      </c>
    </row>
    <row r="1203" spans="12:21">
      <c r="L1203" s="31">
        <v>47904</v>
      </c>
      <c r="M1203" s="35" t="s">
        <v>10</v>
      </c>
      <c r="N1203" s="32" t="s">
        <v>35</v>
      </c>
      <c r="O1203" s="32" t="s">
        <v>21</v>
      </c>
      <c r="P1203" s="32" t="s">
        <v>13</v>
      </c>
      <c r="Q1203" s="32" t="s">
        <v>28</v>
      </c>
      <c r="R1203" s="32" t="s">
        <v>24</v>
      </c>
      <c r="S1203" s="32">
        <v>14003</v>
      </c>
      <c r="T1203" s="32">
        <v>0</v>
      </c>
      <c r="U1203" s="83">
        <v>14003</v>
      </c>
    </row>
    <row r="1204" spans="12:21">
      <c r="L1204" s="34">
        <v>197479</v>
      </c>
      <c r="M1204" s="35" t="s">
        <v>10</v>
      </c>
      <c r="N1204" s="35" t="s">
        <v>37</v>
      </c>
      <c r="O1204" s="35" t="s">
        <v>32</v>
      </c>
      <c r="P1204" s="35" t="s">
        <v>19</v>
      </c>
      <c r="Q1204" s="35" t="s">
        <v>14</v>
      </c>
      <c r="R1204" s="35" t="s">
        <v>24</v>
      </c>
      <c r="S1204" s="35">
        <v>23655</v>
      </c>
      <c r="T1204" s="35">
        <v>4700</v>
      </c>
      <c r="U1204" s="84">
        <v>18955</v>
      </c>
    </row>
    <row r="1205" spans="12:21">
      <c r="L1205" s="31">
        <v>32705</v>
      </c>
      <c r="M1205" s="35" t="s">
        <v>10</v>
      </c>
      <c r="N1205" s="32" t="s">
        <v>11</v>
      </c>
      <c r="O1205" s="32" t="s">
        <v>12</v>
      </c>
      <c r="P1205" s="32" t="s">
        <v>13</v>
      </c>
      <c r="Q1205" s="32" t="s">
        <v>14</v>
      </c>
      <c r="R1205" s="32" t="s">
        <v>15</v>
      </c>
      <c r="S1205" s="32">
        <v>488320</v>
      </c>
      <c r="T1205" s="32">
        <v>1768</v>
      </c>
      <c r="U1205" s="83">
        <v>486552</v>
      </c>
    </row>
    <row r="1206" spans="12:21">
      <c r="L1206" s="34">
        <v>142772</v>
      </c>
      <c r="M1206" s="35" t="s">
        <v>10</v>
      </c>
      <c r="N1206" s="35" t="s">
        <v>27</v>
      </c>
      <c r="O1206" s="35" t="s">
        <v>21</v>
      </c>
      <c r="P1206" s="35" t="s">
        <v>19</v>
      </c>
      <c r="Q1206" s="35" t="s">
        <v>14</v>
      </c>
      <c r="R1206" s="35" t="s">
        <v>24</v>
      </c>
      <c r="S1206" s="35">
        <v>39860</v>
      </c>
      <c r="T1206" s="35">
        <v>182</v>
      </c>
      <c r="U1206" s="84">
        <v>39678</v>
      </c>
    </row>
    <row r="1207" spans="12:21">
      <c r="L1207" s="31">
        <v>185174</v>
      </c>
      <c r="M1207" s="35" t="s">
        <v>10</v>
      </c>
      <c r="N1207" s="32" t="s">
        <v>34</v>
      </c>
      <c r="O1207" s="32" t="s">
        <v>30</v>
      </c>
      <c r="P1207" s="32" t="s">
        <v>13</v>
      </c>
      <c r="Q1207" s="32" t="s">
        <v>14</v>
      </c>
      <c r="R1207" s="32" t="s">
        <v>15</v>
      </c>
      <c r="S1207" s="32">
        <v>151110</v>
      </c>
      <c r="T1207" s="32">
        <v>2173</v>
      </c>
      <c r="U1207" s="83">
        <v>148937</v>
      </c>
    </row>
    <row r="1208" spans="12:21">
      <c r="L1208" s="34">
        <v>147525</v>
      </c>
      <c r="M1208" s="35" t="s">
        <v>10</v>
      </c>
      <c r="N1208" s="35" t="s">
        <v>34</v>
      </c>
      <c r="O1208" s="35" t="s">
        <v>12</v>
      </c>
      <c r="P1208" s="35" t="s">
        <v>13</v>
      </c>
      <c r="Q1208" s="35" t="s">
        <v>14</v>
      </c>
      <c r="R1208" s="35" t="s">
        <v>15</v>
      </c>
      <c r="S1208" s="35">
        <v>308194</v>
      </c>
      <c r="T1208" s="35">
        <v>1506</v>
      </c>
      <c r="U1208" s="84">
        <v>306688</v>
      </c>
    </row>
    <row r="1209" spans="12:21">
      <c r="L1209" s="31">
        <v>39222</v>
      </c>
      <c r="M1209" s="35" t="s">
        <v>10</v>
      </c>
      <c r="N1209" s="32" t="s">
        <v>35</v>
      </c>
      <c r="O1209" s="32" t="s">
        <v>23</v>
      </c>
      <c r="P1209" s="32" t="s">
        <v>19</v>
      </c>
      <c r="Q1209" s="32" t="s">
        <v>14</v>
      </c>
      <c r="R1209" s="32" t="s">
        <v>15</v>
      </c>
      <c r="S1209" s="32">
        <v>181275</v>
      </c>
      <c r="T1209" s="32">
        <v>25183</v>
      </c>
      <c r="U1209" s="83">
        <v>156092</v>
      </c>
    </row>
    <row r="1210" spans="12:21">
      <c r="L1210" s="34">
        <v>136594</v>
      </c>
      <c r="M1210" s="35" t="s">
        <v>10</v>
      </c>
      <c r="N1210" s="35" t="s">
        <v>34</v>
      </c>
      <c r="O1210" s="35" t="s">
        <v>23</v>
      </c>
      <c r="P1210" s="35" t="s">
        <v>13</v>
      </c>
      <c r="Q1210" s="35" t="s">
        <v>14</v>
      </c>
      <c r="R1210" s="35" t="s">
        <v>15</v>
      </c>
      <c r="S1210" s="35">
        <v>41389</v>
      </c>
      <c r="T1210" s="35">
        <v>2307</v>
      </c>
      <c r="U1210" s="84">
        <v>39082</v>
      </c>
    </row>
    <row r="1211" spans="12:21">
      <c r="L1211" s="31">
        <v>173364</v>
      </c>
      <c r="M1211" s="35" t="s">
        <v>10</v>
      </c>
      <c r="N1211" s="32" t="s">
        <v>27</v>
      </c>
      <c r="O1211" s="32" t="s">
        <v>30</v>
      </c>
      <c r="P1211" s="32" t="s">
        <v>13</v>
      </c>
      <c r="Q1211" s="32" t="s">
        <v>14</v>
      </c>
      <c r="R1211" s="32" t="s">
        <v>24</v>
      </c>
      <c r="S1211" s="32">
        <v>108263</v>
      </c>
      <c r="T1211" s="32">
        <v>967</v>
      </c>
      <c r="U1211" s="83">
        <v>107296</v>
      </c>
    </row>
    <row r="1212" spans="12:21">
      <c r="L1212" s="34">
        <v>194486</v>
      </c>
      <c r="M1212" s="35" t="s">
        <v>10</v>
      </c>
      <c r="N1212" s="35" t="s">
        <v>34</v>
      </c>
      <c r="O1212" s="35" t="s">
        <v>29</v>
      </c>
      <c r="P1212" s="35" t="s">
        <v>13</v>
      </c>
      <c r="Q1212" s="35" t="s">
        <v>28</v>
      </c>
      <c r="R1212" s="35" t="s">
        <v>15</v>
      </c>
      <c r="S1212" s="35">
        <v>164958</v>
      </c>
      <c r="T1212" s="35">
        <v>1024</v>
      </c>
      <c r="U1212" s="84">
        <v>163934</v>
      </c>
    </row>
    <row r="1213" spans="12:21">
      <c r="L1213" s="31">
        <v>49303</v>
      </c>
      <c r="M1213" s="35" t="s">
        <v>10</v>
      </c>
      <c r="N1213" s="32" t="s">
        <v>35</v>
      </c>
      <c r="O1213" s="32" t="s">
        <v>36</v>
      </c>
      <c r="P1213" s="32" t="s">
        <v>13</v>
      </c>
      <c r="Q1213" s="32" t="s">
        <v>14</v>
      </c>
      <c r="R1213" s="32" t="s">
        <v>15</v>
      </c>
      <c r="S1213" s="32">
        <v>69036</v>
      </c>
      <c r="T1213" s="32">
        <v>25466</v>
      </c>
      <c r="U1213" s="83">
        <v>43570</v>
      </c>
    </row>
    <row r="1214" spans="12:21">
      <c r="L1214" s="34">
        <v>96878</v>
      </c>
      <c r="M1214" s="35" t="s">
        <v>10</v>
      </c>
      <c r="N1214" s="35" t="s">
        <v>37</v>
      </c>
      <c r="O1214" s="35" t="s">
        <v>12</v>
      </c>
      <c r="P1214" s="35" t="s">
        <v>13</v>
      </c>
      <c r="Q1214" s="35" t="s">
        <v>14</v>
      </c>
      <c r="R1214" s="35" t="s">
        <v>15</v>
      </c>
      <c r="S1214" s="35">
        <v>74892</v>
      </c>
      <c r="T1214" s="35">
        <v>495</v>
      </c>
      <c r="U1214" s="84">
        <v>74397</v>
      </c>
    </row>
    <row r="1215" spans="12:21">
      <c r="L1215" s="31">
        <v>228761</v>
      </c>
      <c r="M1215" s="35" t="s">
        <v>10</v>
      </c>
      <c r="N1215" s="32" t="s">
        <v>17</v>
      </c>
      <c r="O1215" s="32" t="s">
        <v>18</v>
      </c>
      <c r="P1215" s="32" t="s">
        <v>19</v>
      </c>
      <c r="Q1215" s="32" t="s">
        <v>14</v>
      </c>
      <c r="R1215" s="32" t="s">
        <v>15</v>
      </c>
      <c r="S1215" s="32">
        <v>96112</v>
      </c>
      <c r="T1215" s="32">
        <v>5788</v>
      </c>
      <c r="U1215" s="83">
        <v>90324</v>
      </c>
    </row>
    <row r="1216" spans="12:21">
      <c r="L1216" s="34">
        <v>117040</v>
      </c>
      <c r="M1216" s="35" t="s">
        <v>10</v>
      </c>
      <c r="N1216" s="35" t="s">
        <v>31</v>
      </c>
      <c r="O1216" s="35" t="s">
        <v>21</v>
      </c>
      <c r="P1216" s="35" t="s">
        <v>19</v>
      </c>
      <c r="Q1216" s="35" t="s">
        <v>28</v>
      </c>
      <c r="R1216" s="35" t="s">
        <v>24</v>
      </c>
      <c r="S1216" s="35">
        <v>30087</v>
      </c>
      <c r="T1216" s="35">
        <v>783</v>
      </c>
      <c r="U1216" s="84">
        <v>29304</v>
      </c>
    </row>
    <row r="1217" spans="12:21">
      <c r="L1217" s="31">
        <v>2128</v>
      </c>
      <c r="M1217" s="35" t="s">
        <v>10</v>
      </c>
      <c r="N1217" s="32" t="s">
        <v>39</v>
      </c>
      <c r="O1217" s="32" t="s">
        <v>12</v>
      </c>
      <c r="P1217" s="32" t="s">
        <v>13</v>
      </c>
      <c r="Q1217" s="32" t="s">
        <v>14</v>
      </c>
      <c r="R1217" s="32" t="s">
        <v>15</v>
      </c>
      <c r="S1217" s="32">
        <v>28828</v>
      </c>
      <c r="T1217" s="32">
        <v>352</v>
      </c>
      <c r="U1217" s="83">
        <v>28476</v>
      </c>
    </row>
    <row r="1218" spans="12:21">
      <c r="L1218" s="34">
        <v>89037</v>
      </c>
      <c r="M1218" s="35" t="s">
        <v>10</v>
      </c>
      <c r="N1218" s="35" t="s">
        <v>37</v>
      </c>
      <c r="O1218" s="35" t="s">
        <v>30</v>
      </c>
      <c r="P1218" s="35" t="s">
        <v>13</v>
      </c>
      <c r="Q1218" s="35" t="s">
        <v>14</v>
      </c>
      <c r="R1218" s="35" t="s">
        <v>15</v>
      </c>
      <c r="S1218" s="35">
        <v>64806</v>
      </c>
      <c r="T1218" s="35">
        <v>1159</v>
      </c>
      <c r="U1218" s="84">
        <v>63647</v>
      </c>
    </row>
    <row r="1219" spans="12:21">
      <c r="L1219" s="31">
        <v>67588</v>
      </c>
      <c r="M1219" s="35" t="s">
        <v>10</v>
      </c>
      <c r="N1219" s="32" t="s">
        <v>27</v>
      </c>
      <c r="O1219" s="32" t="s">
        <v>29</v>
      </c>
      <c r="P1219" s="32" t="s">
        <v>13</v>
      </c>
      <c r="Q1219" s="32" t="s">
        <v>28</v>
      </c>
      <c r="R1219" s="32" t="s">
        <v>24</v>
      </c>
      <c r="S1219" s="32">
        <v>79835</v>
      </c>
      <c r="T1219" s="32">
        <v>1357</v>
      </c>
      <c r="U1219" s="83">
        <v>78478</v>
      </c>
    </row>
    <row r="1220" spans="12:21">
      <c r="L1220" s="34">
        <v>105731</v>
      </c>
      <c r="M1220" s="35" t="s">
        <v>10</v>
      </c>
      <c r="N1220" s="35" t="s">
        <v>22</v>
      </c>
      <c r="O1220" s="35" t="s">
        <v>23</v>
      </c>
      <c r="P1220" s="35" t="s">
        <v>13</v>
      </c>
      <c r="Q1220" s="35" t="s">
        <v>14</v>
      </c>
      <c r="R1220" s="35" t="s">
        <v>15</v>
      </c>
      <c r="S1220" s="35">
        <v>85896</v>
      </c>
      <c r="T1220" s="35">
        <v>6278</v>
      </c>
      <c r="U1220" s="84">
        <v>79618</v>
      </c>
    </row>
    <row r="1221" spans="12:21">
      <c r="L1221" s="31">
        <v>185676</v>
      </c>
      <c r="M1221" s="35" t="s">
        <v>10</v>
      </c>
      <c r="N1221" s="32" t="s">
        <v>37</v>
      </c>
      <c r="O1221" s="32" t="s">
        <v>12</v>
      </c>
      <c r="P1221" s="32" t="s">
        <v>13</v>
      </c>
      <c r="Q1221" s="32" t="s">
        <v>14</v>
      </c>
      <c r="R1221" s="32" t="s">
        <v>15</v>
      </c>
      <c r="S1221" s="32">
        <v>51113</v>
      </c>
      <c r="T1221" s="32">
        <v>1575</v>
      </c>
      <c r="U1221" s="83">
        <v>49538</v>
      </c>
    </row>
    <row r="1222" spans="12:21">
      <c r="L1222" s="34">
        <v>150676</v>
      </c>
      <c r="M1222" s="35" t="s">
        <v>10</v>
      </c>
      <c r="N1222" s="35" t="s">
        <v>27</v>
      </c>
      <c r="O1222" s="35" t="s">
        <v>23</v>
      </c>
      <c r="P1222" s="35" t="s">
        <v>13</v>
      </c>
      <c r="Q1222" s="35" t="s">
        <v>14</v>
      </c>
      <c r="R1222" s="35" t="s">
        <v>24</v>
      </c>
      <c r="S1222" s="35">
        <v>50304</v>
      </c>
      <c r="T1222" s="35">
        <v>8420</v>
      </c>
      <c r="U1222" s="84">
        <v>41884</v>
      </c>
    </row>
    <row r="1223" spans="12:21">
      <c r="L1223" s="31">
        <v>209389</v>
      </c>
      <c r="M1223" s="35" t="s">
        <v>10</v>
      </c>
      <c r="N1223" s="32" t="s">
        <v>38</v>
      </c>
      <c r="O1223" s="32" t="s">
        <v>32</v>
      </c>
      <c r="P1223" s="32" t="s">
        <v>13</v>
      </c>
      <c r="Q1223" s="32" t="s">
        <v>14</v>
      </c>
      <c r="R1223" s="32" t="s">
        <v>15</v>
      </c>
      <c r="S1223" s="32">
        <v>15571</v>
      </c>
      <c r="T1223" s="32">
        <v>1705</v>
      </c>
      <c r="U1223" s="83">
        <v>13866</v>
      </c>
    </row>
    <row r="1224" spans="12:21">
      <c r="L1224" s="34">
        <v>143332</v>
      </c>
      <c r="M1224" s="35" t="s">
        <v>10</v>
      </c>
      <c r="N1224" s="35" t="s">
        <v>22</v>
      </c>
      <c r="O1224" s="35" t="s">
        <v>12</v>
      </c>
      <c r="P1224" s="35" t="s">
        <v>13</v>
      </c>
      <c r="Q1224" s="35" t="s">
        <v>14</v>
      </c>
      <c r="R1224" s="35" t="s">
        <v>15</v>
      </c>
      <c r="S1224" s="35">
        <v>81769</v>
      </c>
      <c r="T1224" s="35">
        <v>2726</v>
      </c>
      <c r="U1224" s="84">
        <v>79043</v>
      </c>
    </row>
    <row r="1225" spans="12:21">
      <c r="L1225" s="31">
        <v>251900</v>
      </c>
      <c r="M1225" s="35" t="s">
        <v>10</v>
      </c>
      <c r="N1225" s="32" t="s">
        <v>25</v>
      </c>
      <c r="O1225" s="32" t="s">
        <v>26</v>
      </c>
      <c r="P1225" s="32" t="s">
        <v>19</v>
      </c>
      <c r="Q1225" s="32" t="s">
        <v>28</v>
      </c>
      <c r="R1225" s="32" t="s">
        <v>24</v>
      </c>
      <c r="S1225" s="32">
        <v>34940</v>
      </c>
      <c r="T1225" s="32">
        <v>225</v>
      </c>
      <c r="U1225" s="83">
        <v>34715</v>
      </c>
    </row>
    <row r="1226" spans="12:21">
      <c r="L1226" s="34">
        <v>143187</v>
      </c>
      <c r="M1226" s="35" t="s">
        <v>10</v>
      </c>
      <c r="N1226" s="35" t="s">
        <v>38</v>
      </c>
      <c r="O1226" s="35" t="s">
        <v>21</v>
      </c>
      <c r="P1226" s="35" t="s">
        <v>13</v>
      </c>
      <c r="Q1226" s="35" t="s">
        <v>28</v>
      </c>
      <c r="R1226" s="35" t="s">
        <v>15</v>
      </c>
      <c r="S1226" s="35">
        <v>14743</v>
      </c>
      <c r="T1226" s="35">
        <v>0</v>
      </c>
      <c r="U1226" s="84">
        <v>14743</v>
      </c>
    </row>
    <row r="1227" spans="12:21">
      <c r="L1227" s="31">
        <v>237902</v>
      </c>
      <c r="M1227" s="35" t="s">
        <v>10</v>
      </c>
      <c r="N1227" s="32" t="s">
        <v>22</v>
      </c>
      <c r="O1227" s="32" t="s">
        <v>29</v>
      </c>
      <c r="P1227" s="32" t="s">
        <v>13</v>
      </c>
      <c r="Q1227" s="32" t="s">
        <v>14</v>
      </c>
      <c r="R1227" s="32" t="s">
        <v>24</v>
      </c>
      <c r="S1227" s="32">
        <v>59661</v>
      </c>
      <c r="T1227" s="32">
        <v>1843</v>
      </c>
      <c r="U1227" s="83">
        <v>57818</v>
      </c>
    </row>
    <row r="1228" spans="12:21">
      <c r="L1228" s="34">
        <v>123013</v>
      </c>
      <c r="M1228" s="35" t="s">
        <v>10</v>
      </c>
      <c r="N1228" s="35" t="s">
        <v>25</v>
      </c>
      <c r="O1228" s="35" t="s">
        <v>26</v>
      </c>
      <c r="P1228" s="35" t="s">
        <v>19</v>
      </c>
      <c r="Q1228" s="35" t="s">
        <v>14</v>
      </c>
      <c r="R1228" s="35" t="s">
        <v>24</v>
      </c>
      <c r="S1228" s="35">
        <v>73390</v>
      </c>
      <c r="T1228" s="35">
        <v>7469</v>
      </c>
      <c r="U1228" s="84">
        <v>65921</v>
      </c>
    </row>
    <row r="1229" spans="12:21">
      <c r="L1229" s="31">
        <v>84840</v>
      </c>
      <c r="M1229" s="35" t="s">
        <v>10</v>
      </c>
      <c r="N1229" s="32" t="s">
        <v>11</v>
      </c>
      <c r="O1229" s="32" t="s">
        <v>12</v>
      </c>
      <c r="P1229" s="32" t="s">
        <v>13</v>
      </c>
      <c r="Q1229" s="32" t="s">
        <v>14</v>
      </c>
      <c r="R1229" s="32" t="s">
        <v>15</v>
      </c>
      <c r="S1229" s="32">
        <v>215808</v>
      </c>
      <c r="T1229" s="32">
        <v>1447</v>
      </c>
      <c r="U1229" s="83">
        <v>214361</v>
      </c>
    </row>
    <row r="1230" spans="12:21">
      <c r="L1230" s="34">
        <v>116627</v>
      </c>
      <c r="M1230" s="35" t="s">
        <v>10</v>
      </c>
      <c r="N1230" s="35" t="s">
        <v>27</v>
      </c>
      <c r="O1230" s="35" t="s">
        <v>36</v>
      </c>
      <c r="P1230" s="35" t="s">
        <v>13</v>
      </c>
      <c r="Q1230" s="35" t="s">
        <v>14</v>
      </c>
      <c r="R1230" s="35" t="s">
        <v>24</v>
      </c>
      <c r="S1230" s="35">
        <v>45100</v>
      </c>
      <c r="T1230" s="35">
        <v>1343</v>
      </c>
      <c r="U1230" s="84">
        <v>43757</v>
      </c>
    </row>
    <row r="1231" spans="12:21">
      <c r="L1231" s="31">
        <v>130432</v>
      </c>
      <c r="M1231" s="35" t="s">
        <v>10</v>
      </c>
      <c r="N1231" s="32" t="s">
        <v>25</v>
      </c>
      <c r="O1231" s="32" t="s">
        <v>23</v>
      </c>
      <c r="P1231" s="32" t="s">
        <v>19</v>
      </c>
      <c r="Q1231" s="32" t="s">
        <v>28</v>
      </c>
      <c r="R1231" s="32" t="s">
        <v>15</v>
      </c>
      <c r="S1231" s="32">
        <v>57408</v>
      </c>
      <c r="T1231" s="32">
        <v>2133</v>
      </c>
      <c r="U1231" s="83">
        <v>55275</v>
      </c>
    </row>
    <row r="1232" spans="12:21">
      <c r="L1232" s="34">
        <v>16946</v>
      </c>
      <c r="M1232" s="35" t="s">
        <v>10</v>
      </c>
      <c r="N1232" s="35" t="s">
        <v>11</v>
      </c>
      <c r="O1232" s="35" t="s">
        <v>33</v>
      </c>
      <c r="P1232" s="35" t="s">
        <v>13</v>
      </c>
      <c r="Q1232" s="35" t="s">
        <v>14</v>
      </c>
      <c r="R1232" s="35" t="s">
        <v>15</v>
      </c>
      <c r="S1232" s="35">
        <v>72575</v>
      </c>
      <c r="T1232" s="35">
        <v>2319</v>
      </c>
      <c r="U1232" s="84">
        <v>70256</v>
      </c>
    </row>
    <row r="1233" spans="12:21">
      <c r="L1233" s="31">
        <v>246133</v>
      </c>
      <c r="M1233" s="35" t="s">
        <v>10</v>
      </c>
      <c r="N1233" s="32" t="s">
        <v>22</v>
      </c>
      <c r="O1233" s="32" t="s">
        <v>12</v>
      </c>
      <c r="P1233" s="32" t="s">
        <v>19</v>
      </c>
      <c r="Q1233" s="32" t="s">
        <v>14</v>
      </c>
      <c r="R1233" s="32" t="s">
        <v>24</v>
      </c>
      <c r="S1233" s="32">
        <v>65324</v>
      </c>
      <c r="T1233" s="32">
        <v>3664</v>
      </c>
      <c r="U1233" s="83">
        <v>61660</v>
      </c>
    </row>
    <row r="1234" spans="12:21">
      <c r="L1234" s="34">
        <v>8786</v>
      </c>
      <c r="M1234" s="35" t="s">
        <v>10</v>
      </c>
      <c r="N1234" s="35" t="s">
        <v>37</v>
      </c>
      <c r="O1234" s="35" t="s">
        <v>12</v>
      </c>
      <c r="P1234" s="35" t="s">
        <v>13</v>
      </c>
      <c r="Q1234" s="35" t="s">
        <v>14</v>
      </c>
      <c r="R1234" s="35" t="s">
        <v>24</v>
      </c>
      <c r="S1234" s="35">
        <v>84938</v>
      </c>
      <c r="T1234" s="35">
        <v>3891</v>
      </c>
      <c r="U1234" s="84">
        <v>81047</v>
      </c>
    </row>
    <row r="1235" spans="12:21">
      <c r="L1235" s="31">
        <v>17240</v>
      </c>
      <c r="M1235" s="35" t="s">
        <v>10</v>
      </c>
      <c r="N1235" s="32" t="s">
        <v>34</v>
      </c>
      <c r="O1235" s="32" t="s">
        <v>23</v>
      </c>
      <c r="P1235" s="32" t="s">
        <v>19</v>
      </c>
      <c r="Q1235" s="32" t="s">
        <v>14</v>
      </c>
      <c r="R1235" s="32" t="s">
        <v>15</v>
      </c>
      <c r="S1235" s="32">
        <v>19372</v>
      </c>
      <c r="T1235" s="32">
        <v>285</v>
      </c>
      <c r="U1235" s="83">
        <v>19087</v>
      </c>
    </row>
    <row r="1236" spans="12:21">
      <c r="L1236" s="34">
        <v>190387</v>
      </c>
      <c r="M1236" s="35" t="s">
        <v>10</v>
      </c>
      <c r="N1236" s="35" t="s">
        <v>38</v>
      </c>
      <c r="O1236" s="35" t="s">
        <v>30</v>
      </c>
      <c r="P1236" s="35" t="s">
        <v>13</v>
      </c>
      <c r="Q1236" s="35" t="s">
        <v>14</v>
      </c>
      <c r="R1236" s="35" t="s">
        <v>15</v>
      </c>
      <c r="S1236" s="35">
        <v>177360</v>
      </c>
      <c r="T1236" s="35">
        <v>521</v>
      </c>
      <c r="U1236" s="84">
        <v>176839</v>
      </c>
    </row>
    <row r="1237" spans="12:21">
      <c r="L1237" s="31">
        <v>257043</v>
      </c>
      <c r="M1237" s="35" t="s">
        <v>10</v>
      </c>
      <c r="N1237" s="32" t="s">
        <v>17</v>
      </c>
      <c r="O1237" s="32" t="s">
        <v>18</v>
      </c>
      <c r="P1237" s="32" t="s">
        <v>19</v>
      </c>
      <c r="Q1237" s="32" t="s">
        <v>14</v>
      </c>
      <c r="R1237" s="32" t="s">
        <v>15</v>
      </c>
      <c r="S1237" s="32">
        <v>23269</v>
      </c>
      <c r="T1237" s="32">
        <v>0</v>
      </c>
      <c r="U1237" s="83">
        <v>23269</v>
      </c>
    </row>
    <row r="1238" spans="12:21">
      <c r="L1238" s="34">
        <v>129521</v>
      </c>
      <c r="M1238" s="35" t="s">
        <v>10</v>
      </c>
      <c r="N1238" s="35" t="s">
        <v>22</v>
      </c>
      <c r="O1238" s="35" t="s">
        <v>12</v>
      </c>
      <c r="P1238" s="35" t="s">
        <v>13</v>
      </c>
      <c r="Q1238" s="35" t="s">
        <v>14</v>
      </c>
      <c r="R1238" s="35" t="s">
        <v>15</v>
      </c>
      <c r="S1238" s="35">
        <v>87487</v>
      </c>
      <c r="T1238" s="35">
        <v>159</v>
      </c>
      <c r="U1238" s="84">
        <v>87328</v>
      </c>
    </row>
    <row r="1239" spans="12:21">
      <c r="L1239" s="31">
        <v>135983</v>
      </c>
      <c r="M1239" s="35" t="s">
        <v>10</v>
      </c>
      <c r="N1239" s="32" t="s">
        <v>22</v>
      </c>
      <c r="O1239" s="32" t="s">
        <v>26</v>
      </c>
      <c r="P1239" s="32" t="s">
        <v>13</v>
      </c>
      <c r="Q1239" s="32" t="s">
        <v>14</v>
      </c>
      <c r="R1239" s="32" t="s">
        <v>15</v>
      </c>
      <c r="S1239" s="32">
        <v>84164</v>
      </c>
      <c r="T1239" s="32">
        <v>2486</v>
      </c>
      <c r="U1239" s="83">
        <v>81678</v>
      </c>
    </row>
    <row r="1240" spans="12:21">
      <c r="L1240" s="34">
        <v>166089</v>
      </c>
      <c r="M1240" s="35" t="s">
        <v>10</v>
      </c>
      <c r="N1240" s="35" t="s">
        <v>27</v>
      </c>
      <c r="O1240" s="35" t="s">
        <v>23</v>
      </c>
      <c r="P1240" s="35" t="s">
        <v>19</v>
      </c>
      <c r="Q1240" s="35" t="s">
        <v>28</v>
      </c>
      <c r="R1240" s="35" t="s">
        <v>15</v>
      </c>
      <c r="S1240" s="35">
        <v>49826</v>
      </c>
      <c r="T1240" s="35">
        <v>257</v>
      </c>
      <c r="U1240" s="84">
        <v>49569</v>
      </c>
    </row>
    <row r="1241" spans="12:21">
      <c r="L1241" s="31">
        <v>94855</v>
      </c>
      <c r="M1241" s="35" t="s">
        <v>10</v>
      </c>
      <c r="N1241" s="32" t="s">
        <v>37</v>
      </c>
      <c r="O1241" s="32" t="s">
        <v>12</v>
      </c>
      <c r="P1241" s="32" t="s">
        <v>13</v>
      </c>
      <c r="Q1241" s="32" t="s">
        <v>28</v>
      </c>
      <c r="R1241" s="32" t="s">
        <v>15</v>
      </c>
      <c r="S1241" s="32">
        <v>196896</v>
      </c>
      <c r="T1241" s="32">
        <v>2282</v>
      </c>
      <c r="U1241" s="83">
        <v>194614</v>
      </c>
    </row>
    <row r="1242" spans="12:21">
      <c r="L1242" s="34">
        <v>72779</v>
      </c>
      <c r="M1242" s="35" t="s">
        <v>10</v>
      </c>
      <c r="N1242" s="35" t="s">
        <v>27</v>
      </c>
      <c r="O1242" s="35" t="s">
        <v>23</v>
      </c>
      <c r="P1242" s="35" t="s">
        <v>13</v>
      </c>
      <c r="Q1242" s="35" t="s">
        <v>14</v>
      </c>
      <c r="R1242" s="35" t="s">
        <v>15</v>
      </c>
      <c r="S1242" s="35">
        <v>68475</v>
      </c>
      <c r="T1242" s="35">
        <v>1263</v>
      </c>
      <c r="U1242" s="84">
        <v>67212</v>
      </c>
    </row>
    <row r="1243" spans="12:21">
      <c r="L1243" s="31">
        <v>127595</v>
      </c>
      <c r="M1243" s="35" t="s">
        <v>10</v>
      </c>
      <c r="N1243" s="32" t="s">
        <v>34</v>
      </c>
      <c r="O1243" s="32" t="s">
        <v>30</v>
      </c>
      <c r="P1243" s="32" t="s">
        <v>13</v>
      </c>
      <c r="Q1243" s="32" t="s">
        <v>28</v>
      </c>
      <c r="R1243" s="32" t="s">
        <v>15</v>
      </c>
      <c r="S1243" s="32">
        <v>112532</v>
      </c>
      <c r="T1243" s="32">
        <v>2038</v>
      </c>
      <c r="U1243" s="83">
        <v>110494</v>
      </c>
    </row>
    <row r="1244" spans="12:21">
      <c r="L1244" s="34">
        <v>183779</v>
      </c>
      <c r="M1244" s="35" t="s">
        <v>10</v>
      </c>
      <c r="N1244" s="35" t="s">
        <v>37</v>
      </c>
      <c r="O1244" s="35" t="s">
        <v>36</v>
      </c>
      <c r="P1244" s="35" t="s">
        <v>19</v>
      </c>
      <c r="Q1244" s="35" t="s">
        <v>14</v>
      </c>
      <c r="R1244" s="35" t="s">
        <v>24</v>
      </c>
      <c r="S1244" s="35">
        <v>70096</v>
      </c>
      <c r="T1244" s="35">
        <v>1626</v>
      </c>
      <c r="U1244" s="84">
        <v>68470</v>
      </c>
    </row>
    <row r="1245" spans="12:21">
      <c r="L1245" s="31">
        <v>236263</v>
      </c>
      <c r="M1245" s="35" t="s">
        <v>10</v>
      </c>
      <c r="N1245" s="32" t="s">
        <v>17</v>
      </c>
      <c r="O1245" s="32" t="s">
        <v>36</v>
      </c>
      <c r="P1245" s="32" t="s">
        <v>19</v>
      </c>
      <c r="Q1245" s="32" t="s">
        <v>28</v>
      </c>
      <c r="R1245" s="32" t="s">
        <v>24</v>
      </c>
      <c r="S1245" s="32">
        <v>51388</v>
      </c>
      <c r="T1245" s="32">
        <v>0</v>
      </c>
      <c r="U1245" s="83">
        <v>51388</v>
      </c>
    </row>
    <row r="1246" spans="12:21">
      <c r="L1246" s="34">
        <v>218730</v>
      </c>
      <c r="M1246" s="35" t="s">
        <v>10</v>
      </c>
      <c r="N1246" s="35" t="s">
        <v>34</v>
      </c>
      <c r="O1246" s="35" t="s">
        <v>33</v>
      </c>
      <c r="P1246" s="35" t="s">
        <v>13</v>
      </c>
      <c r="Q1246" s="35" t="s">
        <v>14</v>
      </c>
      <c r="R1246" s="35" t="s">
        <v>24</v>
      </c>
      <c r="S1246" s="35">
        <v>80691</v>
      </c>
      <c r="T1246" s="35">
        <v>1091</v>
      </c>
      <c r="U1246" s="84">
        <v>79600</v>
      </c>
    </row>
    <row r="1247" spans="12:21">
      <c r="L1247" s="31">
        <v>169547</v>
      </c>
      <c r="M1247" s="35" t="s">
        <v>10</v>
      </c>
      <c r="N1247" s="32" t="s">
        <v>35</v>
      </c>
      <c r="O1247" s="32" t="s">
        <v>29</v>
      </c>
      <c r="P1247" s="32" t="s">
        <v>13</v>
      </c>
      <c r="Q1247" s="32" t="s">
        <v>28</v>
      </c>
      <c r="R1247" s="32" t="s">
        <v>15</v>
      </c>
      <c r="S1247" s="32">
        <v>60159</v>
      </c>
      <c r="T1247" s="32">
        <v>0</v>
      </c>
      <c r="U1247" s="83">
        <v>60159</v>
      </c>
    </row>
    <row r="1248" spans="12:21">
      <c r="L1248" s="34">
        <v>149381</v>
      </c>
      <c r="M1248" s="35" t="s">
        <v>10</v>
      </c>
      <c r="N1248" s="35" t="s">
        <v>25</v>
      </c>
      <c r="O1248" s="35" t="s">
        <v>18</v>
      </c>
      <c r="P1248" s="35" t="s">
        <v>19</v>
      </c>
      <c r="Q1248" s="35" t="s">
        <v>14</v>
      </c>
      <c r="R1248" s="35" t="s">
        <v>24</v>
      </c>
      <c r="S1248" s="35">
        <v>2731</v>
      </c>
      <c r="T1248" s="35">
        <v>0</v>
      </c>
      <c r="U1248" s="84">
        <v>2731</v>
      </c>
    </row>
    <row r="1249" spans="12:21">
      <c r="L1249" s="31">
        <v>31266</v>
      </c>
      <c r="M1249" s="35" t="s">
        <v>10</v>
      </c>
      <c r="N1249" s="32" t="s">
        <v>11</v>
      </c>
      <c r="O1249" s="32" t="s">
        <v>30</v>
      </c>
      <c r="P1249" s="32" t="s">
        <v>19</v>
      </c>
      <c r="Q1249" s="32" t="s">
        <v>28</v>
      </c>
      <c r="R1249" s="32" t="s">
        <v>15</v>
      </c>
      <c r="S1249" s="32">
        <v>45622</v>
      </c>
      <c r="T1249" s="32">
        <v>19379</v>
      </c>
      <c r="U1249" s="83">
        <v>26243</v>
      </c>
    </row>
    <row r="1250" spans="12:21">
      <c r="L1250" s="34">
        <v>73894</v>
      </c>
      <c r="M1250" s="35" t="s">
        <v>10</v>
      </c>
      <c r="N1250" s="35" t="s">
        <v>27</v>
      </c>
      <c r="O1250" s="35" t="s">
        <v>36</v>
      </c>
      <c r="P1250" s="35" t="s">
        <v>19</v>
      </c>
      <c r="Q1250" s="35" t="s">
        <v>14</v>
      </c>
      <c r="R1250" s="35" t="s">
        <v>24</v>
      </c>
      <c r="S1250" s="35">
        <v>77295</v>
      </c>
      <c r="T1250" s="35">
        <v>2441</v>
      </c>
      <c r="U1250" s="84">
        <v>74854</v>
      </c>
    </row>
    <row r="1251" spans="12:21">
      <c r="L1251" s="31">
        <v>249048</v>
      </c>
      <c r="M1251" s="35" t="s">
        <v>10</v>
      </c>
      <c r="N1251" s="32" t="s">
        <v>17</v>
      </c>
      <c r="O1251" s="32" t="s">
        <v>26</v>
      </c>
      <c r="P1251" s="32" t="s">
        <v>19</v>
      </c>
      <c r="Q1251" s="32" t="s">
        <v>28</v>
      </c>
      <c r="R1251" s="32" t="s">
        <v>15</v>
      </c>
      <c r="S1251" s="32">
        <v>57962</v>
      </c>
      <c r="T1251" s="32">
        <v>4307</v>
      </c>
      <c r="U1251" s="83">
        <v>53655</v>
      </c>
    </row>
    <row r="1252" spans="12:21">
      <c r="L1252" s="34">
        <v>37325</v>
      </c>
      <c r="M1252" s="35" t="s">
        <v>10</v>
      </c>
      <c r="N1252" s="35" t="s">
        <v>35</v>
      </c>
      <c r="O1252" s="35" t="s">
        <v>23</v>
      </c>
      <c r="P1252" s="35" t="s">
        <v>13</v>
      </c>
      <c r="Q1252" s="35" t="s">
        <v>14</v>
      </c>
      <c r="R1252" s="35" t="s">
        <v>15</v>
      </c>
      <c r="S1252" s="35">
        <v>81639</v>
      </c>
      <c r="T1252" s="35">
        <v>3385</v>
      </c>
      <c r="U1252" s="84">
        <v>78254</v>
      </c>
    </row>
    <row r="1253" spans="12:21">
      <c r="L1253" s="31">
        <v>187821</v>
      </c>
      <c r="M1253" s="35" t="s">
        <v>10</v>
      </c>
      <c r="N1253" s="32" t="s">
        <v>20</v>
      </c>
      <c r="O1253" s="32" t="s">
        <v>32</v>
      </c>
      <c r="P1253" s="32" t="s">
        <v>13</v>
      </c>
      <c r="Q1253" s="32" t="s">
        <v>14</v>
      </c>
      <c r="R1253" s="32" t="s">
        <v>15</v>
      </c>
      <c r="S1253" s="32">
        <v>8764</v>
      </c>
      <c r="T1253" s="32">
        <v>0</v>
      </c>
      <c r="U1253" s="83">
        <v>8764</v>
      </c>
    </row>
    <row r="1254" spans="12:21">
      <c r="L1254" s="34">
        <v>15987</v>
      </c>
      <c r="M1254" s="35" t="s">
        <v>10</v>
      </c>
      <c r="N1254" s="35" t="s">
        <v>11</v>
      </c>
      <c r="O1254" s="35" t="s">
        <v>36</v>
      </c>
      <c r="P1254" s="35" t="s">
        <v>13</v>
      </c>
      <c r="Q1254" s="35" t="s">
        <v>14</v>
      </c>
      <c r="R1254" s="35" t="s">
        <v>15</v>
      </c>
      <c r="S1254" s="35">
        <v>144106</v>
      </c>
      <c r="T1254" s="35">
        <v>7641</v>
      </c>
      <c r="U1254" s="84">
        <v>136465</v>
      </c>
    </row>
    <row r="1255" spans="12:21">
      <c r="L1255" s="31">
        <v>6290</v>
      </c>
      <c r="M1255" s="35" t="s">
        <v>10</v>
      </c>
      <c r="N1255" s="32" t="s">
        <v>38</v>
      </c>
      <c r="O1255" s="32" t="s">
        <v>32</v>
      </c>
      <c r="P1255" s="32" t="s">
        <v>19</v>
      </c>
      <c r="Q1255" s="32" t="s">
        <v>14</v>
      </c>
      <c r="R1255" s="32" t="s">
        <v>15</v>
      </c>
      <c r="S1255" s="32">
        <v>21902</v>
      </c>
      <c r="T1255" s="32">
        <v>0</v>
      </c>
      <c r="U1255" s="83">
        <v>21902</v>
      </c>
    </row>
    <row r="1256" spans="12:21">
      <c r="L1256" s="34">
        <v>40281</v>
      </c>
      <c r="M1256" s="35" t="s">
        <v>10</v>
      </c>
      <c r="N1256" s="35" t="s">
        <v>35</v>
      </c>
      <c r="O1256" s="35" t="s">
        <v>12</v>
      </c>
      <c r="P1256" s="35" t="s">
        <v>13</v>
      </c>
      <c r="Q1256" s="35" t="s">
        <v>14</v>
      </c>
      <c r="R1256" s="35" t="s">
        <v>24</v>
      </c>
      <c r="S1256" s="35">
        <v>67891</v>
      </c>
      <c r="T1256" s="35">
        <v>2932</v>
      </c>
      <c r="U1256" s="84">
        <v>64959</v>
      </c>
    </row>
    <row r="1257" spans="12:21">
      <c r="L1257" s="31">
        <v>139387</v>
      </c>
      <c r="M1257" s="35" t="s">
        <v>10</v>
      </c>
      <c r="N1257" s="32" t="s">
        <v>25</v>
      </c>
      <c r="O1257" s="32" t="s">
        <v>23</v>
      </c>
      <c r="P1257" s="32" t="s">
        <v>19</v>
      </c>
      <c r="Q1257" s="32" t="s">
        <v>28</v>
      </c>
      <c r="R1257" s="32" t="s">
        <v>15</v>
      </c>
      <c r="S1257" s="32">
        <v>97853</v>
      </c>
      <c r="T1257" s="32">
        <v>576</v>
      </c>
      <c r="U1257" s="83">
        <v>97277</v>
      </c>
    </row>
    <row r="1258" spans="12:21">
      <c r="L1258" s="34">
        <v>99351</v>
      </c>
      <c r="M1258" s="35" t="s">
        <v>10</v>
      </c>
      <c r="N1258" s="35" t="s">
        <v>34</v>
      </c>
      <c r="O1258" s="35" t="s">
        <v>29</v>
      </c>
      <c r="P1258" s="35" t="s">
        <v>13</v>
      </c>
      <c r="Q1258" s="35" t="s">
        <v>14</v>
      </c>
      <c r="R1258" s="35" t="s">
        <v>24</v>
      </c>
      <c r="S1258" s="35">
        <v>60979</v>
      </c>
      <c r="T1258" s="35">
        <v>1805</v>
      </c>
      <c r="U1258" s="84">
        <v>59174</v>
      </c>
    </row>
    <row r="1259" spans="12:21">
      <c r="L1259" s="31">
        <v>79595</v>
      </c>
      <c r="M1259" s="35" t="s">
        <v>10</v>
      </c>
      <c r="N1259" s="32" t="s">
        <v>39</v>
      </c>
      <c r="O1259" s="32" t="s">
        <v>26</v>
      </c>
      <c r="P1259" s="32" t="s">
        <v>13</v>
      </c>
      <c r="Q1259" s="32" t="s">
        <v>14</v>
      </c>
      <c r="R1259" s="32" t="s">
        <v>15</v>
      </c>
      <c r="S1259" s="32">
        <v>87680</v>
      </c>
      <c r="T1259" s="32">
        <v>750</v>
      </c>
      <c r="U1259" s="83">
        <v>86930</v>
      </c>
    </row>
    <row r="1260" spans="12:21">
      <c r="L1260" s="34">
        <v>206957</v>
      </c>
      <c r="M1260" s="35" t="s">
        <v>10</v>
      </c>
      <c r="N1260" s="35" t="s">
        <v>38</v>
      </c>
      <c r="O1260" s="35" t="s">
        <v>12</v>
      </c>
      <c r="P1260" s="35" t="s">
        <v>13</v>
      </c>
      <c r="Q1260" s="35" t="s">
        <v>14</v>
      </c>
      <c r="R1260" s="35" t="s">
        <v>15</v>
      </c>
      <c r="S1260" s="35">
        <v>92333</v>
      </c>
      <c r="T1260" s="35">
        <v>6486</v>
      </c>
      <c r="U1260" s="84">
        <v>85847</v>
      </c>
    </row>
    <row r="1261" spans="12:21">
      <c r="L1261" s="31">
        <v>29576</v>
      </c>
      <c r="M1261" s="35" t="s">
        <v>10</v>
      </c>
      <c r="N1261" s="32" t="s">
        <v>35</v>
      </c>
      <c r="O1261" s="32" t="s">
        <v>23</v>
      </c>
      <c r="P1261" s="32" t="s">
        <v>13</v>
      </c>
      <c r="Q1261" s="32" t="s">
        <v>28</v>
      </c>
      <c r="R1261" s="32" t="s">
        <v>24</v>
      </c>
      <c r="S1261" s="32">
        <v>72324</v>
      </c>
      <c r="T1261" s="32">
        <v>5444</v>
      </c>
      <c r="U1261" s="83">
        <v>66880</v>
      </c>
    </row>
    <row r="1262" spans="12:21">
      <c r="L1262" s="34">
        <v>114135</v>
      </c>
      <c r="M1262" s="35" t="s">
        <v>10</v>
      </c>
      <c r="N1262" s="35" t="s">
        <v>22</v>
      </c>
      <c r="O1262" s="35" t="s">
        <v>26</v>
      </c>
      <c r="P1262" s="35" t="s">
        <v>19</v>
      </c>
      <c r="Q1262" s="35" t="s">
        <v>28</v>
      </c>
      <c r="R1262" s="35" t="s">
        <v>24</v>
      </c>
      <c r="S1262" s="35">
        <v>34884</v>
      </c>
      <c r="T1262" s="35">
        <v>999</v>
      </c>
      <c r="U1262" s="84">
        <v>33885</v>
      </c>
    </row>
    <row r="1263" spans="12:21">
      <c r="L1263" s="31">
        <v>223583</v>
      </c>
      <c r="M1263" s="35" t="s">
        <v>10</v>
      </c>
      <c r="N1263" s="32" t="s">
        <v>25</v>
      </c>
      <c r="O1263" s="32" t="s">
        <v>30</v>
      </c>
      <c r="P1263" s="32" t="s">
        <v>19</v>
      </c>
      <c r="Q1263" s="32" t="s">
        <v>14</v>
      </c>
      <c r="R1263" s="32" t="s">
        <v>15</v>
      </c>
      <c r="S1263" s="32">
        <v>78906</v>
      </c>
      <c r="T1263" s="32">
        <v>244</v>
      </c>
      <c r="U1263" s="83">
        <v>78662</v>
      </c>
    </row>
    <row r="1264" spans="12:21">
      <c r="L1264" s="34">
        <v>86248</v>
      </c>
      <c r="M1264" s="35" t="s">
        <v>10</v>
      </c>
      <c r="N1264" s="35" t="s">
        <v>39</v>
      </c>
      <c r="O1264" s="35" t="s">
        <v>12</v>
      </c>
      <c r="P1264" s="35" t="s">
        <v>13</v>
      </c>
      <c r="Q1264" s="35" t="s">
        <v>14</v>
      </c>
      <c r="R1264" s="35" t="s">
        <v>24</v>
      </c>
      <c r="S1264" s="35">
        <v>43261</v>
      </c>
      <c r="T1264" s="35">
        <v>0</v>
      </c>
      <c r="U1264" s="84">
        <v>43261</v>
      </c>
    </row>
    <row r="1265" spans="12:21">
      <c r="L1265" s="31">
        <v>117780</v>
      </c>
      <c r="M1265" s="35" t="s">
        <v>10</v>
      </c>
      <c r="N1265" s="32" t="s">
        <v>27</v>
      </c>
      <c r="O1265" s="32" t="s">
        <v>30</v>
      </c>
      <c r="P1265" s="32" t="s">
        <v>13</v>
      </c>
      <c r="Q1265" s="32" t="s">
        <v>14</v>
      </c>
      <c r="R1265" s="32" t="s">
        <v>15</v>
      </c>
      <c r="S1265" s="32">
        <v>133661</v>
      </c>
      <c r="T1265" s="32">
        <v>6493</v>
      </c>
      <c r="U1265" s="83">
        <v>127168</v>
      </c>
    </row>
    <row r="1266" spans="12:21">
      <c r="L1266" s="34">
        <v>39078</v>
      </c>
      <c r="M1266" s="35" t="s">
        <v>10</v>
      </c>
      <c r="N1266" s="35" t="s">
        <v>35</v>
      </c>
      <c r="O1266" s="35" t="s">
        <v>23</v>
      </c>
      <c r="P1266" s="35" t="s">
        <v>13</v>
      </c>
      <c r="Q1266" s="35" t="s">
        <v>28</v>
      </c>
      <c r="R1266" s="35" t="s">
        <v>15</v>
      </c>
      <c r="S1266" s="35">
        <v>130740</v>
      </c>
      <c r="T1266" s="35">
        <v>893</v>
      </c>
      <c r="U1266" s="84">
        <v>129847</v>
      </c>
    </row>
    <row r="1267" spans="12:21">
      <c r="L1267" s="31">
        <v>22419</v>
      </c>
      <c r="M1267" s="35" t="s">
        <v>10</v>
      </c>
      <c r="N1267" s="32" t="s">
        <v>11</v>
      </c>
      <c r="O1267" s="32" t="s">
        <v>32</v>
      </c>
      <c r="P1267" s="32" t="s">
        <v>13</v>
      </c>
      <c r="Q1267" s="32" t="s">
        <v>14</v>
      </c>
      <c r="R1267" s="32" t="s">
        <v>15</v>
      </c>
      <c r="S1267" s="32">
        <v>110728</v>
      </c>
      <c r="T1267" s="32">
        <v>0</v>
      </c>
      <c r="U1267" s="83">
        <v>110728</v>
      </c>
    </row>
    <row r="1268" spans="12:21">
      <c r="L1268" s="34">
        <v>82244</v>
      </c>
      <c r="M1268" s="35" t="s">
        <v>10</v>
      </c>
      <c r="N1268" s="35" t="s">
        <v>37</v>
      </c>
      <c r="O1268" s="35" t="s">
        <v>32</v>
      </c>
      <c r="P1268" s="35" t="s">
        <v>19</v>
      </c>
      <c r="Q1268" s="35" t="s">
        <v>14</v>
      </c>
      <c r="R1268" s="35" t="s">
        <v>24</v>
      </c>
      <c r="S1268" s="35">
        <v>2364</v>
      </c>
      <c r="T1268" s="35">
        <v>201</v>
      </c>
      <c r="U1268" s="84">
        <v>2163</v>
      </c>
    </row>
    <row r="1269" spans="12:21">
      <c r="L1269" s="31">
        <v>217563</v>
      </c>
      <c r="M1269" s="35" t="s">
        <v>10</v>
      </c>
      <c r="N1269" s="32" t="s">
        <v>38</v>
      </c>
      <c r="O1269" s="32" t="s">
        <v>33</v>
      </c>
      <c r="P1269" s="32" t="s">
        <v>13</v>
      </c>
      <c r="Q1269" s="32" t="s">
        <v>14</v>
      </c>
      <c r="R1269" s="32" t="s">
        <v>15</v>
      </c>
      <c r="S1269" s="32">
        <v>45100</v>
      </c>
      <c r="T1269" s="32">
        <v>273</v>
      </c>
      <c r="U1269" s="83">
        <v>44827</v>
      </c>
    </row>
    <row r="1270" spans="12:21">
      <c r="L1270" s="34">
        <v>40627</v>
      </c>
      <c r="M1270" s="35" t="s">
        <v>10</v>
      </c>
      <c r="N1270" s="35" t="s">
        <v>35</v>
      </c>
      <c r="O1270" s="35" t="s">
        <v>29</v>
      </c>
      <c r="P1270" s="35" t="s">
        <v>13</v>
      </c>
      <c r="Q1270" s="35" t="s">
        <v>14</v>
      </c>
      <c r="R1270" s="35" t="s">
        <v>15</v>
      </c>
      <c r="S1270" s="35">
        <v>111011</v>
      </c>
      <c r="T1270" s="35">
        <v>160</v>
      </c>
      <c r="U1270" s="84">
        <v>110851</v>
      </c>
    </row>
    <row r="1271" spans="12:21">
      <c r="L1271" s="31">
        <v>198644</v>
      </c>
      <c r="M1271" s="35" t="s">
        <v>10</v>
      </c>
      <c r="N1271" s="32" t="s">
        <v>38</v>
      </c>
      <c r="O1271" s="32" t="s">
        <v>29</v>
      </c>
      <c r="P1271" s="32" t="s">
        <v>19</v>
      </c>
      <c r="Q1271" s="32" t="s">
        <v>14</v>
      </c>
      <c r="R1271" s="32" t="s">
        <v>24</v>
      </c>
      <c r="S1271" s="32">
        <v>99465</v>
      </c>
      <c r="T1271" s="32">
        <v>15802</v>
      </c>
      <c r="U1271" s="83">
        <v>83663</v>
      </c>
    </row>
    <row r="1272" spans="12:21">
      <c r="L1272" s="34">
        <v>93695</v>
      </c>
      <c r="M1272" s="35" t="s">
        <v>10</v>
      </c>
      <c r="N1272" s="35" t="s">
        <v>20</v>
      </c>
      <c r="O1272" s="35" t="s">
        <v>32</v>
      </c>
      <c r="P1272" s="35" t="s">
        <v>13</v>
      </c>
      <c r="Q1272" s="35" t="s">
        <v>14</v>
      </c>
      <c r="R1272" s="35" t="s">
        <v>15</v>
      </c>
      <c r="S1272" s="35">
        <v>57321</v>
      </c>
      <c r="T1272" s="35">
        <v>1352</v>
      </c>
      <c r="U1272" s="84">
        <v>55969</v>
      </c>
    </row>
    <row r="1273" spans="12:21">
      <c r="L1273" s="31">
        <v>216619</v>
      </c>
      <c r="M1273" s="35" t="s">
        <v>10</v>
      </c>
      <c r="N1273" s="32" t="s">
        <v>34</v>
      </c>
      <c r="O1273" s="32" t="s">
        <v>29</v>
      </c>
      <c r="P1273" s="32" t="s">
        <v>13</v>
      </c>
      <c r="Q1273" s="32" t="s">
        <v>14</v>
      </c>
      <c r="R1273" s="32" t="s">
        <v>24</v>
      </c>
      <c r="S1273" s="32">
        <v>84918</v>
      </c>
      <c r="T1273" s="32">
        <v>4984</v>
      </c>
      <c r="U1273" s="83">
        <v>79934</v>
      </c>
    </row>
    <row r="1274" spans="12:21">
      <c r="L1274" s="34">
        <v>245866</v>
      </c>
      <c r="M1274" s="35" t="s">
        <v>10</v>
      </c>
      <c r="N1274" s="35" t="s">
        <v>17</v>
      </c>
      <c r="O1274" s="35" t="s">
        <v>29</v>
      </c>
      <c r="P1274" s="35" t="s">
        <v>19</v>
      </c>
      <c r="Q1274" s="35" t="s">
        <v>28</v>
      </c>
      <c r="R1274" s="35" t="s">
        <v>24</v>
      </c>
      <c r="S1274" s="35">
        <v>41222</v>
      </c>
      <c r="T1274" s="35">
        <v>323</v>
      </c>
      <c r="U1274" s="84">
        <v>40899</v>
      </c>
    </row>
    <row r="1275" spans="12:21">
      <c r="L1275" s="31">
        <v>206747</v>
      </c>
      <c r="M1275" s="35" t="s">
        <v>10</v>
      </c>
      <c r="N1275" s="32" t="s">
        <v>11</v>
      </c>
      <c r="O1275" s="32" t="s">
        <v>29</v>
      </c>
      <c r="P1275" s="32" t="s">
        <v>19</v>
      </c>
      <c r="Q1275" s="32" t="s">
        <v>14</v>
      </c>
      <c r="R1275" s="32" t="s">
        <v>24</v>
      </c>
      <c r="S1275" s="32">
        <v>32695</v>
      </c>
      <c r="T1275" s="32">
        <v>322</v>
      </c>
      <c r="U1275" s="83">
        <v>32373</v>
      </c>
    </row>
    <row r="1276" spans="12:21">
      <c r="L1276" s="34">
        <v>51805</v>
      </c>
      <c r="M1276" s="35" t="s">
        <v>10</v>
      </c>
      <c r="N1276" s="35" t="s">
        <v>35</v>
      </c>
      <c r="O1276" s="35" t="s">
        <v>12</v>
      </c>
      <c r="P1276" s="35" t="s">
        <v>19</v>
      </c>
      <c r="Q1276" s="35" t="s">
        <v>14</v>
      </c>
      <c r="R1276" s="35" t="s">
        <v>24</v>
      </c>
      <c r="S1276" s="35">
        <v>35588</v>
      </c>
      <c r="T1276" s="35">
        <v>1600</v>
      </c>
      <c r="U1276" s="84">
        <v>33988</v>
      </c>
    </row>
    <row r="1277" spans="12:21">
      <c r="L1277" s="31">
        <v>114901</v>
      </c>
      <c r="M1277" s="35" t="s">
        <v>10</v>
      </c>
      <c r="N1277" s="32" t="s">
        <v>22</v>
      </c>
      <c r="O1277" s="32" t="s">
        <v>32</v>
      </c>
      <c r="P1277" s="32" t="s">
        <v>19</v>
      </c>
      <c r="Q1277" s="32" t="s">
        <v>14</v>
      </c>
      <c r="R1277" s="32" t="s">
        <v>24</v>
      </c>
      <c r="S1277" s="32">
        <v>19963</v>
      </c>
      <c r="T1277" s="32">
        <v>0</v>
      </c>
      <c r="U1277" s="83">
        <v>19963</v>
      </c>
    </row>
    <row r="1278" spans="12:21">
      <c r="L1278" s="34">
        <v>210996</v>
      </c>
      <c r="M1278" s="35" t="s">
        <v>10</v>
      </c>
      <c r="N1278" s="35" t="s">
        <v>38</v>
      </c>
      <c r="O1278" s="35" t="s">
        <v>23</v>
      </c>
      <c r="P1278" s="35" t="s">
        <v>13</v>
      </c>
      <c r="Q1278" s="35" t="s">
        <v>14</v>
      </c>
      <c r="R1278" s="35" t="s">
        <v>15</v>
      </c>
      <c r="S1278" s="35">
        <v>87649</v>
      </c>
      <c r="T1278" s="35">
        <v>1265</v>
      </c>
      <c r="U1278" s="84">
        <v>86384</v>
      </c>
    </row>
    <row r="1279" spans="12:21">
      <c r="L1279" s="31">
        <v>173575</v>
      </c>
      <c r="M1279" s="35" t="s">
        <v>10</v>
      </c>
      <c r="N1279" s="32" t="s">
        <v>27</v>
      </c>
      <c r="O1279" s="32" t="s">
        <v>32</v>
      </c>
      <c r="P1279" s="32" t="s">
        <v>13</v>
      </c>
      <c r="Q1279" s="32" t="s">
        <v>14</v>
      </c>
      <c r="R1279" s="32" t="s">
        <v>15</v>
      </c>
      <c r="S1279" s="32">
        <v>74993</v>
      </c>
      <c r="T1279" s="32">
        <v>69</v>
      </c>
      <c r="U1279" s="83">
        <v>74924</v>
      </c>
    </row>
    <row r="1280" spans="12:21">
      <c r="L1280" s="34">
        <v>185786</v>
      </c>
      <c r="M1280" s="35" t="s">
        <v>10</v>
      </c>
      <c r="N1280" s="35" t="s">
        <v>39</v>
      </c>
      <c r="O1280" s="35" t="s">
        <v>33</v>
      </c>
      <c r="P1280" s="35" t="s">
        <v>13</v>
      </c>
      <c r="Q1280" s="35" t="s">
        <v>14</v>
      </c>
      <c r="R1280" s="35" t="s">
        <v>15</v>
      </c>
      <c r="S1280" s="35">
        <v>39656</v>
      </c>
      <c r="T1280" s="35">
        <v>344</v>
      </c>
      <c r="U1280" s="84">
        <v>39312</v>
      </c>
    </row>
    <row r="1281" spans="12:21">
      <c r="L1281" s="31">
        <v>224088</v>
      </c>
      <c r="M1281" s="35" t="s">
        <v>10</v>
      </c>
      <c r="N1281" s="32" t="s">
        <v>25</v>
      </c>
      <c r="O1281" s="32" t="s">
        <v>23</v>
      </c>
      <c r="P1281" s="32" t="s">
        <v>13</v>
      </c>
      <c r="Q1281" s="32" t="s">
        <v>14</v>
      </c>
      <c r="R1281" s="32" t="s">
        <v>15</v>
      </c>
      <c r="S1281" s="32">
        <v>75178</v>
      </c>
      <c r="T1281" s="32">
        <v>902</v>
      </c>
      <c r="U1281" s="83">
        <v>74276</v>
      </c>
    </row>
    <row r="1282" spans="12:21">
      <c r="L1282" s="34">
        <v>93720</v>
      </c>
      <c r="M1282" s="35" t="s">
        <v>10</v>
      </c>
      <c r="N1282" s="35" t="s">
        <v>20</v>
      </c>
      <c r="O1282" s="35" t="s">
        <v>32</v>
      </c>
      <c r="P1282" s="35" t="s">
        <v>13</v>
      </c>
      <c r="Q1282" s="35" t="s">
        <v>14</v>
      </c>
      <c r="R1282" s="35" t="s">
        <v>15</v>
      </c>
      <c r="S1282" s="35">
        <v>17622</v>
      </c>
      <c r="T1282" s="35">
        <v>603</v>
      </c>
      <c r="U1282" s="84">
        <v>17019</v>
      </c>
    </row>
    <row r="1283" spans="12:21">
      <c r="L1283" s="31">
        <v>244437</v>
      </c>
      <c r="M1283" s="35" t="s">
        <v>10</v>
      </c>
      <c r="N1283" s="32" t="s">
        <v>17</v>
      </c>
      <c r="O1283" s="32" t="s">
        <v>23</v>
      </c>
      <c r="P1283" s="32" t="s">
        <v>19</v>
      </c>
      <c r="Q1283" s="32" t="s">
        <v>14</v>
      </c>
      <c r="R1283" s="32" t="s">
        <v>24</v>
      </c>
      <c r="S1283" s="32">
        <v>17979</v>
      </c>
      <c r="T1283" s="32">
        <v>759</v>
      </c>
      <c r="U1283" s="83">
        <v>17220</v>
      </c>
    </row>
    <row r="1284" spans="12:21">
      <c r="L1284" s="34">
        <v>18498</v>
      </c>
      <c r="M1284" s="35" t="s">
        <v>10</v>
      </c>
      <c r="N1284" s="35" t="s">
        <v>11</v>
      </c>
      <c r="O1284" s="35" t="s">
        <v>32</v>
      </c>
      <c r="P1284" s="35" t="s">
        <v>13</v>
      </c>
      <c r="Q1284" s="35" t="s">
        <v>14</v>
      </c>
      <c r="R1284" s="35" t="s">
        <v>15</v>
      </c>
      <c r="S1284" s="35">
        <v>23328</v>
      </c>
      <c r="T1284" s="35">
        <v>413</v>
      </c>
      <c r="U1284" s="84">
        <v>22915</v>
      </c>
    </row>
    <row r="1285" spans="12:21">
      <c r="L1285" s="31">
        <v>209392</v>
      </c>
      <c r="M1285" s="35" t="s">
        <v>10</v>
      </c>
      <c r="N1285" s="32" t="s">
        <v>38</v>
      </c>
      <c r="O1285" s="32" t="s">
        <v>30</v>
      </c>
      <c r="P1285" s="32" t="s">
        <v>13</v>
      </c>
      <c r="Q1285" s="32" t="s">
        <v>28</v>
      </c>
      <c r="R1285" s="32" t="s">
        <v>15</v>
      </c>
      <c r="S1285" s="32">
        <v>57304</v>
      </c>
      <c r="T1285" s="32">
        <v>453</v>
      </c>
      <c r="U1285" s="83">
        <v>56851</v>
      </c>
    </row>
    <row r="1286" spans="12:21">
      <c r="L1286" s="34">
        <v>88731</v>
      </c>
      <c r="M1286" s="35" t="s">
        <v>10</v>
      </c>
      <c r="N1286" s="35" t="s">
        <v>20</v>
      </c>
      <c r="O1286" s="35" t="s">
        <v>32</v>
      </c>
      <c r="P1286" s="35" t="s">
        <v>13</v>
      </c>
      <c r="Q1286" s="35" t="s">
        <v>14</v>
      </c>
      <c r="R1286" s="35" t="s">
        <v>15</v>
      </c>
      <c r="S1286" s="35">
        <v>5908</v>
      </c>
      <c r="T1286" s="35">
        <v>0</v>
      </c>
      <c r="U1286" s="84">
        <v>5908</v>
      </c>
    </row>
    <row r="1287" spans="12:21">
      <c r="L1287" s="31">
        <v>108809</v>
      </c>
      <c r="M1287" s="35" t="s">
        <v>10</v>
      </c>
      <c r="N1287" s="32" t="s">
        <v>17</v>
      </c>
      <c r="O1287" s="32" t="s">
        <v>21</v>
      </c>
      <c r="P1287" s="32" t="s">
        <v>19</v>
      </c>
      <c r="Q1287" s="32" t="s">
        <v>14</v>
      </c>
      <c r="R1287" s="32" t="s">
        <v>24</v>
      </c>
      <c r="S1287" s="32">
        <v>38875</v>
      </c>
      <c r="T1287" s="32">
        <v>0</v>
      </c>
      <c r="U1287" s="83">
        <v>38875</v>
      </c>
    </row>
    <row r="1288" spans="12:21">
      <c r="L1288" s="34">
        <v>186195</v>
      </c>
      <c r="M1288" s="35" t="s">
        <v>10</v>
      </c>
      <c r="N1288" s="35" t="s">
        <v>20</v>
      </c>
      <c r="O1288" s="35" t="s">
        <v>32</v>
      </c>
      <c r="P1288" s="35" t="s">
        <v>13</v>
      </c>
      <c r="Q1288" s="35" t="s">
        <v>14</v>
      </c>
      <c r="R1288" s="35" t="s">
        <v>15</v>
      </c>
      <c r="S1288" s="35">
        <v>32784</v>
      </c>
      <c r="T1288" s="35">
        <v>4378</v>
      </c>
      <c r="U1288" s="84">
        <v>28406</v>
      </c>
    </row>
    <row r="1289" spans="12:21">
      <c r="L1289" s="31">
        <v>180305</v>
      </c>
      <c r="M1289" s="35" t="s">
        <v>10</v>
      </c>
      <c r="N1289" s="32" t="s">
        <v>31</v>
      </c>
      <c r="O1289" s="32" t="s">
        <v>33</v>
      </c>
      <c r="P1289" s="32" t="s">
        <v>19</v>
      </c>
      <c r="Q1289" s="32" t="s">
        <v>14</v>
      </c>
      <c r="R1289" s="32" t="s">
        <v>24</v>
      </c>
      <c r="S1289" s="32">
        <v>18203</v>
      </c>
      <c r="T1289" s="32">
        <v>0</v>
      </c>
      <c r="U1289" s="83">
        <v>18203</v>
      </c>
    </row>
    <row r="1290" spans="12:21">
      <c r="L1290" s="34">
        <v>252182</v>
      </c>
      <c r="M1290" s="35" t="s">
        <v>10</v>
      </c>
      <c r="N1290" s="35" t="s">
        <v>17</v>
      </c>
      <c r="O1290" s="35" t="s">
        <v>21</v>
      </c>
      <c r="P1290" s="35" t="s">
        <v>19</v>
      </c>
      <c r="Q1290" s="35" t="s">
        <v>14</v>
      </c>
      <c r="R1290" s="35" t="s">
        <v>24</v>
      </c>
      <c r="S1290" s="35">
        <v>73807</v>
      </c>
      <c r="T1290" s="35">
        <v>4124</v>
      </c>
      <c r="U1290" s="84">
        <v>69683</v>
      </c>
    </row>
    <row r="1291" spans="12:21">
      <c r="L1291" s="31">
        <v>54439</v>
      </c>
      <c r="M1291" s="35" t="s">
        <v>10</v>
      </c>
      <c r="N1291" s="32" t="s">
        <v>35</v>
      </c>
      <c r="O1291" s="32" t="s">
        <v>36</v>
      </c>
      <c r="P1291" s="32" t="s">
        <v>13</v>
      </c>
      <c r="Q1291" s="32" t="s">
        <v>28</v>
      </c>
      <c r="R1291" s="32" t="s">
        <v>24</v>
      </c>
      <c r="S1291" s="32">
        <v>80476</v>
      </c>
      <c r="T1291" s="32">
        <v>5412</v>
      </c>
      <c r="U1291" s="83">
        <v>75064</v>
      </c>
    </row>
    <row r="1292" spans="12:21">
      <c r="L1292" s="34">
        <v>143797</v>
      </c>
      <c r="M1292" s="35" t="s">
        <v>10</v>
      </c>
      <c r="N1292" s="35" t="s">
        <v>27</v>
      </c>
      <c r="O1292" s="35" t="s">
        <v>30</v>
      </c>
      <c r="P1292" s="35" t="s">
        <v>13</v>
      </c>
      <c r="Q1292" s="35" t="s">
        <v>14</v>
      </c>
      <c r="R1292" s="35" t="s">
        <v>15</v>
      </c>
      <c r="S1292" s="35">
        <v>185032</v>
      </c>
      <c r="T1292" s="35">
        <v>14037</v>
      </c>
      <c r="U1292" s="84">
        <v>170995</v>
      </c>
    </row>
    <row r="1293" spans="12:21">
      <c r="L1293" s="31">
        <v>311</v>
      </c>
      <c r="M1293" s="35" t="s">
        <v>10</v>
      </c>
      <c r="N1293" s="32" t="s">
        <v>38</v>
      </c>
      <c r="O1293" s="32" t="s">
        <v>26</v>
      </c>
      <c r="P1293" s="32" t="s">
        <v>13</v>
      </c>
      <c r="Q1293" s="32" t="s">
        <v>14</v>
      </c>
      <c r="R1293" s="32" t="s">
        <v>24</v>
      </c>
      <c r="S1293" s="32">
        <v>17583</v>
      </c>
      <c r="T1293" s="32">
        <v>0</v>
      </c>
      <c r="U1293" s="83">
        <v>17583</v>
      </c>
    </row>
    <row r="1294" spans="12:21">
      <c r="L1294" s="34">
        <v>132251</v>
      </c>
      <c r="M1294" s="35" t="s">
        <v>10</v>
      </c>
      <c r="N1294" s="35" t="s">
        <v>17</v>
      </c>
      <c r="O1294" s="35" t="s">
        <v>21</v>
      </c>
      <c r="P1294" s="35" t="s">
        <v>19</v>
      </c>
      <c r="Q1294" s="35" t="s">
        <v>14</v>
      </c>
      <c r="R1294" s="35" t="s">
        <v>24</v>
      </c>
      <c r="S1294" s="35">
        <v>29235</v>
      </c>
      <c r="T1294" s="35">
        <v>8680</v>
      </c>
      <c r="U1294" s="84">
        <v>20555</v>
      </c>
    </row>
    <row r="1295" spans="12:21">
      <c r="L1295" s="31">
        <v>68976</v>
      </c>
      <c r="M1295" s="35" t="s">
        <v>10</v>
      </c>
      <c r="N1295" s="32" t="s">
        <v>27</v>
      </c>
      <c r="O1295" s="32" t="s">
        <v>29</v>
      </c>
      <c r="P1295" s="32" t="s">
        <v>13</v>
      </c>
      <c r="Q1295" s="32" t="s">
        <v>14</v>
      </c>
      <c r="R1295" s="32" t="s">
        <v>24</v>
      </c>
      <c r="S1295" s="32">
        <v>54436</v>
      </c>
      <c r="T1295" s="32">
        <v>541</v>
      </c>
      <c r="U1295" s="83">
        <v>53895</v>
      </c>
    </row>
    <row r="1296" spans="12:21">
      <c r="L1296" s="34">
        <v>53435</v>
      </c>
      <c r="M1296" s="35" t="s">
        <v>10</v>
      </c>
      <c r="N1296" s="35" t="s">
        <v>35</v>
      </c>
      <c r="O1296" s="35" t="s">
        <v>12</v>
      </c>
      <c r="P1296" s="35" t="s">
        <v>19</v>
      </c>
      <c r="Q1296" s="35" t="s">
        <v>14</v>
      </c>
      <c r="R1296" s="35" t="s">
        <v>24</v>
      </c>
      <c r="S1296" s="35">
        <v>72866</v>
      </c>
      <c r="T1296" s="35">
        <v>732</v>
      </c>
      <c r="U1296" s="84">
        <v>72134</v>
      </c>
    </row>
    <row r="1297" spans="12:21">
      <c r="L1297" s="31">
        <v>233092</v>
      </c>
      <c r="M1297" s="35" t="s">
        <v>10</v>
      </c>
      <c r="N1297" s="32" t="s">
        <v>22</v>
      </c>
      <c r="O1297" s="32" t="s">
        <v>32</v>
      </c>
      <c r="P1297" s="32" t="s">
        <v>13</v>
      </c>
      <c r="Q1297" s="32" t="s">
        <v>14</v>
      </c>
      <c r="R1297" s="32" t="s">
        <v>15</v>
      </c>
      <c r="S1297" s="32">
        <v>56080</v>
      </c>
      <c r="T1297" s="32">
        <v>19</v>
      </c>
      <c r="U1297" s="83">
        <v>56061</v>
      </c>
    </row>
    <row r="1298" spans="12:21">
      <c r="L1298" s="34">
        <v>89886</v>
      </c>
      <c r="M1298" s="35" t="s">
        <v>10</v>
      </c>
      <c r="N1298" s="35" t="s">
        <v>39</v>
      </c>
      <c r="O1298" s="35" t="s">
        <v>23</v>
      </c>
      <c r="P1298" s="35" t="s">
        <v>13</v>
      </c>
      <c r="Q1298" s="35" t="s">
        <v>14</v>
      </c>
      <c r="R1298" s="35" t="s">
        <v>24</v>
      </c>
      <c r="S1298" s="35">
        <v>92216</v>
      </c>
      <c r="T1298" s="35">
        <v>445</v>
      </c>
      <c r="U1298" s="84">
        <v>91771</v>
      </c>
    </row>
    <row r="1299" spans="12:21">
      <c r="L1299" s="31">
        <v>199563</v>
      </c>
      <c r="M1299" s="35" t="s">
        <v>10</v>
      </c>
      <c r="N1299" s="32" t="s">
        <v>38</v>
      </c>
      <c r="O1299" s="32" t="s">
        <v>33</v>
      </c>
      <c r="P1299" s="32" t="s">
        <v>13</v>
      </c>
      <c r="Q1299" s="32" t="s">
        <v>14</v>
      </c>
      <c r="R1299" s="32" t="s">
        <v>15</v>
      </c>
      <c r="S1299" s="32">
        <v>101435</v>
      </c>
      <c r="T1299" s="32">
        <v>582</v>
      </c>
      <c r="U1299" s="83">
        <v>100853</v>
      </c>
    </row>
    <row r="1300" spans="12:21">
      <c r="L1300" s="34">
        <v>112035</v>
      </c>
      <c r="M1300" s="35" t="s">
        <v>10</v>
      </c>
      <c r="N1300" s="35" t="s">
        <v>17</v>
      </c>
      <c r="O1300" s="35" t="s">
        <v>32</v>
      </c>
      <c r="P1300" s="35" t="s">
        <v>19</v>
      </c>
      <c r="Q1300" s="35" t="s">
        <v>14</v>
      </c>
      <c r="R1300" s="35" t="s">
        <v>24</v>
      </c>
      <c r="S1300" s="35">
        <v>41048</v>
      </c>
      <c r="T1300" s="35">
        <v>0</v>
      </c>
      <c r="U1300" s="84">
        <v>41048</v>
      </c>
    </row>
    <row r="1301" spans="12:21">
      <c r="L1301" s="31">
        <v>11311</v>
      </c>
      <c r="M1301" s="35" t="s">
        <v>10</v>
      </c>
      <c r="N1301" s="32" t="s">
        <v>20</v>
      </c>
      <c r="O1301" s="32" t="s">
        <v>32</v>
      </c>
      <c r="P1301" s="32" t="s">
        <v>13</v>
      </c>
      <c r="Q1301" s="32" t="s">
        <v>14</v>
      </c>
      <c r="R1301" s="32" t="s">
        <v>15</v>
      </c>
      <c r="S1301" s="32">
        <v>22108</v>
      </c>
      <c r="T1301" s="32">
        <v>585</v>
      </c>
      <c r="U1301" s="83">
        <v>21523</v>
      </c>
    </row>
    <row r="1302" spans="12:21">
      <c r="L1302" s="34">
        <v>131871</v>
      </c>
      <c r="M1302" s="35" t="s">
        <v>10</v>
      </c>
      <c r="N1302" s="35" t="s">
        <v>35</v>
      </c>
      <c r="O1302" s="35" t="s">
        <v>26</v>
      </c>
      <c r="P1302" s="35" t="s">
        <v>13</v>
      </c>
      <c r="Q1302" s="35" t="s">
        <v>14</v>
      </c>
      <c r="R1302" s="35" t="s">
        <v>24</v>
      </c>
      <c r="S1302" s="35">
        <v>13695</v>
      </c>
      <c r="T1302" s="35">
        <v>0</v>
      </c>
      <c r="U1302" s="84">
        <v>13695</v>
      </c>
    </row>
    <row r="1303" spans="12:21">
      <c r="L1303" s="31">
        <v>187322</v>
      </c>
      <c r="M1303" s="35" t="s">
        <v>10</v>
      </c>
      <c r="N1303" s="32" t="s">
        <v>39</v>
      </c>
      <c r="O1303" s="32" t="s">
        <v>32</v>
      </c>
      <c r="P1303" s="32" t="s">
        <v>13</v>
      </c>
      <c r="Q1303" s="32" t="s">
        <v>14</v>
      </c>
      <c r="R1303" s="32" t="s">
        <v>24</v>
      </c>
      <c r="S1303" s="32">
        <v>29608</v>
      </c>
      <c r="T1303" s="32">
        <v>1642</v>
      </c>
      <c r="U1303" s="83">
        <v>27966</v>
      </c>
    </row>
    <row r="1304" spans="12:21">
      <c r="L1304" s="34">
        <v>85203</v>
      </c>
      <c r="M1304" s="35" t="s">
        <v>10</v>
      </c>
      <c r="N1304" s="35" t="s">
        <v>34</v>
      </c>
      <c r="O1304" s="35" t="s">
        <v>12</v>
      </c>
      <c r="P1304" s="35" t="s">
        <v>13</v>
      </c>
      <c r="Q1304" s="35" t="s">
        <v>14</v>
      </c>
      <c r="R1304" s="35" t="s">
        <v>15</v>
      </c>
      <c r="S1304" s="35">
        <v>135187</v>
      </c>
      <c r="T1304" s="35">
        <v>1483</v>
      </c>
      <c r="U1304" s="84">
        <v>133704</v>
      </c>
    </row>
    <row r="1305" spans="12:21">
      <c r="L1305" s="31">
        <v>243829</v>
      </c>
      <c r="M1305" s="35" t="s">
        <v>10</v>
      </c>
      <c r="N1305" s="32" t="s">
        <v>25</v>
      </c>
      <c r="O1305" s="32" t="s">
        <v>23</v>
      </c>
      <c r="P1305" s="32" t="s">
        <v>19</v>
      </c>
      <c r="Q1305" s="32" t="s">
        <v>14</v>
      </c>
      <c r="R1305" s="32" t="s">
        <v>24</v>
      </c>
      <c r="S1305" s="32">
        <v>21353</v>
      </c>
      <c r="T1305" s="32">
        <v>318</v>
      </c>
      <c r="U1305" s="83">
        <v>21035</v>
      </c>
    </row>
    <row r="1306" spans="12:21">
      <c r="L1306" s="34">
        <v>254634</v>
      </c>
      <c r="M1306" s="35" t="s">
        <v>10</v>
      </c>
      <c r="N1306" s="35" t="s">
        <v>25</v>
      </c>
      <c r="O1306" s="35" t="s">
        <v>30</v>
      </c>
      <c r="P1306" s="35" t="s">
        <v>19</v>
      </c>
      <c r="Q1306" s="35" t="s">
        <v>14</v>
      </c>
      <c r="R1306" s="35" t="s">
        <v>24</v>
      </c>
      <c r="S1306" s="35">
        <v>42883</v>
      </c>
      <c r="T1306" s="35">
        <v>3280</v>
      </c>
      <c r="U1306" s="84">
        <v>39603</v>
      </c>
    </row>
    <row r="1307" spans="12:21">
      <c r="L1307" s="31">
        <v>122603</v>
      </c>
      <c r="M1307" s="35" t="s">
        <v>10</v>
      </c>
      <c r="N1307" s="32" t="s">
        <v>25</v>
      </c>
      <c r="O1307" s="32" t="s">
        <v>23</v>
      </c>
      <c r="P1307" s="32" t="s">
        <v>19</v>
      </c>
      <c r="Q1307" s="32" t="s">
        <v>14</v>
      </c>
      <c r="R1307" s="32" t="s">
        <v>15</v>
      </c>
      <c r="S1307" s="32">
        <v>119172</v>
      </c>
      <c r="T1307" s="32">
        <v>1221</v>
      </c>
      <c r="U1307" s="83">
        <v>117951</v>
      </c>
    </row>
    <row r="1308" spans="12:21">
      <c r="L1308" s="34">
        <v>61103</v>
      </c>
      <c r="M1308" s="35" t="s">
        <v>10</v>
      </c>
      <c r="N1308" s="35" t="s">
        <v>27</v>
      </c>
      <c r="O1308" s="35" t="s">
        <v>12</v>
      </c>
      <c r="P1308" s="35" t="s">
        <v>13</v>
      </c>
      <c r="Q1308" s="35" t="s">
        <v>14</v>
      </c>
      <c r="R1308" s="35" t="s">
        <v>15</v>
      </c>
      <c r="S1308" s="35">
        <v>137693</v>
      </c>
      <c r="T1308" s="35">
        <v>13658</v>
      </c>
      <c r="U1308" s="84">
        <v>124035</v>
      </c>
    </row>
    <row r="1309" spans="12:21">
      <c r="L1309" s="31">
        <v>205433</v>
      </c>
      <c r="M1309" s="35" t="s">
        <v>10</v>
      </c>
      <c r="N1309" s="32" t="s">
        <v>34</v>
      </c>
      <c r="O1309" s="32" t="s">
        <v>18</v>
      </c>
      <c r="P1309" s="32" t="s">
        <v>13</v>
      </c>
      <c r="Q1309" s="32" t="s">
        <v>14</v>
      </c>
      <c r="R1309" s="32" t="s">
        <v>15</v>
      </c>
      <c r="S1309" s="32">
        <v>87853</v>
      </c>
      <c r="T1309" s="32">
        <v>9952</v>
      </c>
      <c r="U1309" s="83">
        <v>77901</v>
      </c>
    </row>
    <row r="1310" spans="12:21">
      <c r="L1310" s="34">
        <v>201186</v>
      </c>
      <c r="M1310" s="35" t="s">
        <v>10</v>
      </c>
      <c r="N1310" s="35" t="s">
        <v>38</v>
      </c>
      <c r="O1310" s="35" t="s">
        <v>18</v>
      </c>
      <c r="P1310" s="35" t="s">
        <v>19</v>
      </c>
      <c r="Q1310" s="35" t="s">
        <v>14</v>
      </c>
      <c r="R1310" s="35" t="s">
        <v>15</v>
      </c>
      <c r="S1310" s="35">
        <v>9631</v>
      </c>
      <c r="T1310" s="35">
        <v>1085</v>
      </c>
      <c r="U1310" s="84">
        <v>8546</v>
      </c>
    </row>
    <row r="1311" spans="12:21">
      <c r="L1311" s="31">
        <v>193407</v>
      </c>
      <c r="M1311" s="35" t="s">
        <v>10</v>
      </c>
      <c r="N1311" s="32" t="s">
        <v>34</v>
      </c>
      <c r="O1311" s="32" t="s">
        <v>29</v>
      </c>
      <c r="P1311" s="32" t="s">
        <v>13</v>
      </c>
      <c r="Q1311" s="32" t="s">
        <v>14</v>
      </c>
      <c r="R1311" s="32" t="s">
        <v>24</v>
      </c>
      <c r="S1311" s="32">
        <v>80250</v>
      </c>
      <c r="T1311" s="32">
        <v>20903</v>
      </c>
      <c r="U1311" s="83">
        <v>59347</v>
      </c>
    </row>
    <row r="1312" spans="12:21">
      <c r="L1312" s="34">
        <v>1849</v>
      </c>
      <c r="M1312" s="35" t="s">
        <v>10</v>
      </c>
      <c r="N1312" s="35" t="s">
        <v>39</v>
      </c>
      <c r="O1312" s="35" t="s">
        <v>23</v>
      </c>
      <c r="P1312" s="35" t="s">
        <v>13</v>
      </c>
      <c r="Q1312" s="35" t="s">
        <v>14</v>
      </c>
      <c r="R1312" s="35" t="s">
        <v>15</v>
      </c>
      <c r="S1312" s="35">
        <v>34933</v>
      </c>
      <c r="T1312" s="35">
        <v>1920</v>
      </c>
      <c r="U1312" s="84">
        <v>33013</v>
      </c>
    </row>
    <row r="1313" spans="12:21">
      <c r="L1313" s="31">
        <v>184813</v>
      </c>
      <c r="M1313" s="35" t="s">
        <v>10</v>
      </c>
      <c r="N1313" s="32" t="s">
        <v>34</v>
      </c>
      <c r="O1313" s="32" t="s">
        <v>32</v>
      </c>
      <c r="P1313" s="32" t="s">
        <v>19</v>
      </c>
      <c r="Q1313" s="32" t="s">
        <v>14</v>
      </c>
      <c r="R1313" s="32" t="s">
        <v>15</v>
      </c>
      <c r="S1313" s="32">
        <v>91021</v>
      </c>
      <c r="T1313" s="32">
        <v>865</v>
      </c>
      <c r="U1313" s="83">
        <v>90156</v>
      </c>
    </row>
    <row r="1314" spans="12:21">
      <c r="L1314" s="34">
        <v>169039</v>
      </c>
      <c r="M1314" s="35" t="s">
        <v>10</v>
      </c>
      <c r="N1314" s="35" t="s">
        <v>38</v>
      </c>
      <c r="O1314" s="35" t="s">
        <v>21</v>
      </c>
      <c r="P1314" s="35" t="s">
        <v>19</v>
      </c>
      <c r="Q1314" s="35" t="s">
        <v>14</v>
      </c>
      <c r="R1314" s="35" t="s">
        <v>24</v>
      </c>
      <c r="S1314" s="35">
        <v>62292</v>
      </c>
      <c r="T1314" s="35">
        <v>896</v>
      </c>
      <c r="U1314" s="84">
        <v>61396</v>
      </c>
    </row>
    <row r="1315" spans="12:21">
      <c r="L1315" s="31">
        <v>215322</v>
      </c>
      <c r="M1315" s="35" t="s">
        <v>10</v>
      </c>
      <c r="N1315" s="32" t="s">
        <v>20</v>
      </c>
      <c r="O1315" s="32" t="s">
        <v>32</v>
      </c>
      <c r="P1315" s="32" t="s">
        <v>19</v>
      </c>
      <c r="Q1315" s="32" t="s">
        <v>28</v>
      </c>
      <c r="R1315" s="32" t="s">
        <v>24</v>
      </c>
      <c r="S1315" s="32">
        <v>821</v>
      </c>
      <c r="T1315" s="32">
        <v>0</v>
      </c>
      <c r="U1315" s="83">
        <v>821</v>
      </c>
    </row>
    <row r="1316" spans="12:21">
      <c r="L1316" s="34">
        <v>208085</v>
      </c>
      <c r="M1316" s="35" t="s">
        <v>10</v>
      </c>
      <c r="N1316" s="35" t="s">
        <v>38</v>
      </c>
      <c r="O1316" s="35" t="s">
        <v>32</v>
      </c>
      <c r="P1316" s="35" t="s">
        <v>19</v>
      </c>
      <c r="Q1316" s="35" t="s">
        <v>28</v>
      </c>
      <c r="R1316" s="35" t="s">
        <v>24</v>
      </c>
      <c r="S1316" s="35">
        <v>1681</v>
      </c>
      <c r="T1316" s="35">
        <v>0</v>
      </c>
      <c r="U1316" s="84">
        <v>1681</v>
      </c>
    </row>
    <row r="1317" spans="12:21">
      <c r="L1317" s="31">
        <v>16984</v>
      </c>
      <c r="M1317" s="35" t="s">
        <v>10</v>
      </c>
      <c r="N1317" s="32" t="s">
        <v>11</v>
      </c>
      <c r="O1317" s="32" t="s">
        <v>33</v>
      </c>
      <c r="P1317" s="32" t="s">
        <v>13</v>
      </c>
      <c r="Q1317" s="32" t="s">
        <v>14</v>
      </c>
      <c r="R1317" s="32" t="s">
        <v>15</v>
      </c>
      <c r="S1317" s="32">
        <v>145000</v>
      </c>
      <c r="T1317" s="32">
        <v>5396</v>
      </c>
      <c r="U1317" s="83">
        <v>139604</v>
      </c>
    </row>
    <row r="1318" spans="12:21">
      <c r="L1318" s="34">
        <v>237682</v>
      </c>
      <c r="M1318" s="35" t="s">
        <v>10</v>
      </c>
      <c r="N1318" s="35" t="s">
        <v>25</v>
      </c>
      <c r="O1318" s="35" t="s">
        <v>23</v>
      </c>
      <c r="P1318" s="35" t="s">
        <v>19</v>
      </c>
      <c r="Q1318" s="35" t="s">
        <v>14</v>
      </c>
      <c r="R1318" s="35" t="s">
        <v>24</v>
      </c>
      <c r="S1318" s="35">
        <v>48411</v>
      </c>
      <c r="T1318" s="35">
        <v>5010</v>
      </c>
      <c r="U1318" s="84">
        <v>43401</v>
      </c>
    </row>
    <row r="1319" spans="12:21">
      <c r="L1319" s="31">
        <v>19279</v>
      </c>
      <c r="M1319" s="35" t="s">
        <v>10</v>
      </c>
      <c r="N1319" s="32" t="s">
        <v>11</v>
      </c>
      <c r="O1319" s="32" t="s">
        <v>23</v>
      </c>
      <c r="P1319" s="32" t="s">
        <v>13</v>
      </c>
      <c r="Q1319" s="32" t="s">
        <v>14</v>
      </c>
      <c r="R1319" s="32" t="s">
        <v>24</v>
      </c>
      <c r="S1319" s="32">
        <v>105741</v>
      </c>
      <c r="T1319" s="32">
        <v>8422</v>
      </c>
      <c r="U1319" s="83">
        <v>97319</v>
      </c>
    </row>
    <row r="1320" spans="12:21">
      <c r="L1320" s="34">
        <v>133859</v>
      </c>
      <c r="M1320" s="35" t="s">
        <v>10</v>
      </c>
      <c r="N1320" s="35" t="s">
        <v>27</v>
      </c>
      <c r="O1320" s="35" t="s">
        <v>26</v>
      </c>
      <c r="P1320" s="35" t="s">
        <v>19</v>
      </c>
      <c r="Q1320" s="35" t="s">
        <v>14</v>
      </c>
      <c r="R1320" s="35" t="s">
        <v>24</v>
      </c>
      <c r="S1320" s="35">
        <v>33833</v>
      </c>
      <c r="T1320" s="35">
        <v>5360</v>
      </c>
      <c r="U1320" s="84">
        <v>28473</v>
      </c>
    </row>
    <row r="1321" spans="12:21">
      <c r="L1321" s="31">
        <v>52974</v>
      </c>
      <c r="M1321" s="35" t="s">
        <v>10</v>
      </c>
      <c r="N1321" s="32" t="s">
        <v>22</v>
      </c>
      <c r="O1321" s="32" t="s">
        <v>12</v>
      </c>
      <c r="P1321" s="32" t="s">
        <v>19</v>
      </c>
      <c r="Q1321" s="32" t="s">
        <v>14</v>
      </c>
      <c r="R1321" s="32" t="s">
        <v>15</v>
      </c>
      <c r="S1321" s="32">
        <v>39456</v>
      </c>
      <c r="T1321" s="32">
        <v>268</v>
      </c>
      <c r="U1321" s="83">
        <v>39188</v>
      </c>
    </row>
    <row r="1322" spans="12:21">
      <c r="L1322" s="34">
        <v>44024</v>
      </c>
      <c r="M1322" s="35" t="s">
        <v>10</v>
      </c>
      <c r="N1322" s="35" t="s">
        <v>35</v>
      </c>
      <c r="O1322" s="35" t="s">
        <v>30</v>
      </c>
      <c r="P1322" s="35" t="s">
        <v>13</v>
      </c>
      <c r="Q1322" s="35" t="s">
        <v>14</v>
      </c>
      <c r="R1322" s="35" t="s">
        <v>15</v>
      </c>
      <c r="S1322" s="35">
        <v>133990</v>
      </c>
      <c r="T1322" s="35">
        <v>4877</v>
      </c>
      <c r="U1322" s="84">
        <v>129113</v>
      </c>
    </row>
    <row r="1323" spans="12:21">
      <c r="L1323" s="31">
        <v>55242</v>
      </c>
      <c r="M1323" s="35" t="s">
        <v>10</v>
      </c>
      <c r="N1323" s="32" t="s">
        <v>35</v>
      </c>
      <c r="O1323" s="32" t="s">
        <v>30</v>
      </c>
      <c r="P1323" s="32" t="s">
        <v>13</v>
      </c>
      <c r="Q1323" s="32" t="s">
        <v>14</v>
      </c>
      <c r="R1323" s="32" t="s">
        <v>15</v>
      </c>
      <c r="S1323" s="32">
        <v>88399</v>
      </c>
      <c r="T1323" s="32">
        <v>4158</v>
      </c>
      <c r="U1323" s="83">
        <v>84241</v>
      </c>
    </row>
    <row r="1324" spans="12:21">
      <c r="L1324" s="34">
        <v>137262</v>
      </c>
      <c r="M1324" s="35" t="s">
        <v>10</v>
      </c>
      <c r="N1324" s="35" t="s">
        <v>22</v>
      </c>
      <c r="O1324" s="35" t="s">
        <v>30</v>
      </c>
      <c r="P1324" s="35" t="s">
        <v>19</v>
      </c>
      <c r="Q1324" s="35" t="s">
        <v>14</v>
      </c>
      <c r="R1324" s="35" t="s">
        <v>15</v>
      </c>
      <c r="S1324" s="35">
        <v>142548</v>
      </c>
      <c r="T1324" s="35">
        <v>7507</v>
      </c>
      <c r="U1324" s="84">
        <v>135041</v>
      </c>
    </row>
    <row r="1325" spans="12:21">
      <c r="L1325" s="31">
        <v>127619</v>
      </c>
      <c r="M1325" s="35" t="s">
        <v>10</v>
      </c>
      <c r="N1325" s="32" t="s">
        <v>22</v>
      </c>
      <c r="O1325" s="32" t="s">
        <v>30</v>
      </c>
      <c r="P1325" s="32" t="s">
        <v>13</v>
      </c>
      <c r="Q1325" s="32" t="s">
        <v>14</v>
      </c>
      <c r="R1325" s="32" t="s">
        <v>15</v>
      </c>
      <c r="S1325" s="32">
        <v>82428</v>
      </c>
      <c r="T1325" s="32">
        <v>3086</v>
      </c>
      <c r="U1325" s="83">
        <v>79342</v>
      </c>
    </row>
    <row r="1326" spans="12:21">
      <c r="L1326" s="34">
        <v>172619</v>
      </c>
      <c r="M1326" s="35" t="s">
        <v>10</v>
      </c>
      <c r="N1326" s="35" t="s">
        <v>31</v>
      </c>
      <c r="O1326" s="35" t="s">
        <v>36</v>
      </c>
      <c r="P1326" s="35" t="s">
        <v>19</v>
      </c>
      <c r="Q1326" s="35" t="s">
        <v>14</v>
      </c>
      <c r="R1326" s="35" t="s">
        <v>24</v>
      </c>
      <c r="S1326" s="35">
        <v>13129</v>
      </c>
      <c r="T1326" s="35">
        <v>0</v>
      </c>
      <c r="U1326" s="84">
        <v>13129</v>
      </c>
    </row>
    <row r="1327" spans="12:21">
      <c r="L1327" s="31">
        <v>28463</v>
      </c>
      <c r="M1327" s="35" t="s">
        <v>10</v>
      </c>
      <c r="N1327" s="32" t="s">
        <v>11</v>
      </c>
      <c r="O1327" s="32" t="s">
        <v>12</v>
      </c>
      <c r="P1327" s="32" t="s">
        <v>13</v>
      </c>
      <c r="Q1327" s="32" t="s">
        <v>14</v>
      </c>
      <c r="R1327" s="32" t="s">
        <v>15</v>
      </c>
      <c r="S1327" s="32">
        <v>60783</v>
      </c>
      <c r="T1327" s="32">
        <v>1813</v>
      </c>
      <c r="U1327" s="83">
        <v>58970</v>
      </c>
    </row>
    <row r="1328" spans="12:21">
      <c r="L1328" s="34">
        <v>187357</v>
      </c>
      <c r="M1328" s="35" t="s">
        <v>10</v>
      </c>
      <c r="N1328" s="35" t="s">
        <v>20</v>
      </c>
      <c r="O1328" s="35" t="s">
        <v>32</v>
      </c>
      <c r="P1328" s="35" t="s">
        <v>19</v>
      </c>
      <c r="Q1328" s="35" t="s">
        <v>28</v>
      </c>
      <c r="R1328" s="35" t="s">
        <v>24</v>
      </c>
      <c r="S1328" s="35">
        <v>21706</v>
      </c>
      <c r="T1328" s="35">
        <v>408</v>
      </c>
      <c r="U1328" s="84">
        <v>21298</v>
      </c>
    </row>
    <row r="1329" spans="12:21">
      <c r="L1329" s="31">
        <v>55997</v>
      </c>
      <c r="M1329" s="35" t="s">
        <v>10</v>
      </c>
      <c r="N1329" s="32" t="s">
        <v>35</v>
      </c>
      <c r="O1329" s="32" t="s">
        <v>12</v>
      </c>
      <c r="P1329" s="32" t="s">
        <v>13</v>
      </c>
      <c r="Q1329" s="32" t="s">
        <v>14</v>
      </c>
      <c r="R1329" s="32" t="s">
        <v>15</v>
      </c>
      <c r="S1329" s="32">
        <v>215415</v>
      </c>
      <c r="T1329" s="32">
        <v>15780</v>
      </c>
      <c r="U1329" s="83">
        <v>199635</v>
      </c>
    </row>
    <row r="1330" spans="12:21">
      <c r="L1330" s="34">
        <v>112043</v>
      </c>
      <c r="M1330" s="35" t="s">
        <v>10</v>
      </c>
      <c r="N1330" s="35" t="s">
        <v>22</v>
      </c>
      <c r="O1330" s="35" t="s">
        <v>32</v>
      </c>
      <c r="P1330" s="35" t="s">
        <v>19</v>
      </c>
      <c r="Q1330" s="35" t="s">
        <v>14</v>
      </c>
      <c r="R1330" s="35" t="s">
        <v>24</v>
      </c>
      <c r="S1330" s="35">
        <v>3</v>
      </c>
      <c r="T1330" s="35">
        <v>0</v>
      </c>
      <c r="U1330" s="84">
        <v>3</v>
      </c>
    </row>
    <row r="1331" spans="12:21">
      <c r="L1331" s="31">
        <v>55269</v>
      </c>
      <c r="M1331" s="35" t="s">
        <v>10</v>
      </c>
      <c r="N1331" s="32" t="s">
        <v>35</v>
      </c>
      <c r="O1331" s="32" t="s">
        <v>29</v>
      </c>
      <c r="P1331" s="32" t="s">
        <v>19</v>
      </c>
      <c r="Q1331" s="32" t="s">
        <v>14</v>
      </c>
      <c r="R1331" s="32" t="s">
        <v>15</v>
      </c>
      <c r="S1331" s="32">
        <v>76009</v>
      </c>
      <c r="T1331" s="32">
        <v>1474</v>
      </c>
      <c r="U1331" s="83">
        <v>74535</v>
      </c>
    </row>
    <row r="1332" spans="12:21">
      <c r="L1332" s="34">
        <v>115766</v>
      </c>
      <c r="M1332" s="35" t="s">
        <v>10</v>
      </c>
      <c r="N1332" s="35" t="s">
        <v>22</v>
      </c>
      <c r="O1332" s="35" t="s">
        <v>32</v>
      </c>
      <c r="P1332" s="35" t="s">
        <v>13</v>
      </c>
      <c r="Q1332" s="35" t="s">
        <v>14</v>
      </c>
      <c r="R1332" s="35" t="s">
        <v>24</v>
      </c>
      <c r="S1332" s="35">
        <v>43753</v>
      </c>
      <c r="T1332" s="35">
        <v>874</v>
      </c>
      <c r="U1332" s="84">
        <v>42879</v>
      </c>
    </row>
    <row r="1333" spans="12:21">
      <c r="L1333" s="31">
        <v>129079</v>
      </c>
      <c r="M1333" s="35" t="s">
        <v>10</v>
      </c>
      <c r="N1333" s="32" t="s">
        <v>22</v>
      </c>
      <c r="O1333" s="32" t="s">
        <v>26</v>
      </c>
      <c r="P1333" s="32" t="s">
        <v>13</v>
      </c>
      <c r="Q1333" s="32" t="s">
        <v>28</v>
      </c>
      <c r="R1333" s="32" t="s">
        <v>24</v>
      </c>
      <c r="S1333" s="32">
        <v>49545</v>
      </c>
      <c r="T1333" s="32">
        <v>332</v>
      </c>
      <c r="U1333" s="83">
        <v>49213</v>
      </c>
    </row>
    <row r="1334" spans="12:21">
      <c r="L1334" s="34">
        <v>35054</v>
      </c>
      <c r="M1334" s="35" t="s">
        <v>10</v>
      </c>
      <c r="N1334" s="35" t="s">
        <v>35</v>
      </c>
      <c r="O1334" s="35" t="s">
        <v>12</v>
      </c>
      <c r="P1334" s="35" t="s">
        <v>13</v>
      </c>
      <c r="Q1334" s="35" t="s">
        <v>14</v>
      </c>
      <c r="R1334" s="35" t="s">
        <v>15</v>
      </c>
      <c r="S1334" s="35">
        <v>158820</v>
      </c>
      <c r="T1334" s="35">
        <v>326</v>
      </c>
      <c r="U1334" s="84">
        <v>158494</v>
      </c>
    </row>
    <row r="1335" spans="12:21">
      <c r="L1335" s="31">
        <v>146947</v>
      </c>
      <c r="M1335" s="35" t="s">
        <v>10</v>
      </c>
      <c r="N1335" s="32" t="s">
        <v>25</v>
      </c>
      <c r="O1335" s="32" t="s">
        <v>23</v>
      </c>
      <c r="P1335" s="32" t="s">
        <v>19</v>
      </c>
      <c r="Q1335" s="32" t="s">
        <v>14</v>
      </c>
      <c r="R1335" s="32" t="s">
        <v>24</v>
      </c>
      <c r="S1335" s="32">
        <v>92653</v>
      </c>
      <c r="T1335" s="32">
        <v>11799</v>
      </c>
      <c r="U1335" s="83">
        <v>80854</v>
      </c>
    </row>
    <row r="1336" spans="12:21">
      <c r="L1336" s="34">
        <v>252868</v>
      </c>
      <c r="M1336" s="35" t="s">
        <v>10</v>
      </c>
      <c r="N1336" s="35" t="s">
        <v>27</v>
      </c>
      <c r="O1336" s="35" t="s">
        <v>30</v>
      </c>
      <c r="P1336" s="35" t="s">
        <v>13</v>
      </c>
      <c r="Q1336" s="35" t="s">
        <v>14</v>
      </c>
      <c r="R1336" s="35" t="s">
        <v>15</v>
      </c>
      <c r="S1336" s="35">
        <v>127193</v>
      </c>
      <c r="T1336" s="35">
        <v>999</v>
      </c>
      <c r="U1336" s="84">
        <v>126194</v>
      </c>
    </row>
    <row r="1337" spans="12:21">
      <c r="L1337" s="31">
        <v>122922</v>
      </c>
      <c r="M1337" s="35" t="s">
        <v>10</v>
      </c>
      <c r="N1337" s="32" t="s">
        <v>22</v>
      </c>
      <c r="O1337" s="32" t="s">
        <v>12</v>
      </c>
      <c r="P1337" s="32" t="s">
        <v>19</v>
      </c>
      <c r="Q1337" s="32" t="s">
        <v>14</v>
      </c>
      <c r="R1337" s="32" t="s">
        <v>15</v>
      </c>
      <c r="S1337" s="32">
        <v>129812</v>
      </c>
      <c r="T1337" s="32">
        <v>920</v>
      </c>
      <c r="U1337" s="83">
        <v>128892</v>
      </c>
    </row>
    <row r="1338" spans="12:21">
      <c r="L1338" s="34">
        <v>253796</v>
      </c>
      <c r="M1338" s="35" t="s">
        <v>10</v>
      </c>
      <c r="N1338" s="35" t="s">
        <v>31</v>
      </c>
      <c r="O1338" s="35" t="s">
        <v>30</v>
      </c>
      <c r="P1338" s="35" t="s">
        <v>19</v>
      </c>
      <c r="Q1338" s="35" t="s">
        <v>14</v>
      </c>
      <c r="R1338" s="35" t="s">
        <v>15</v>
      </c>
      <c r="S1338" s="35">
        <v>6611</v>
      </c>
      <c r="T1338" s="35">
        <v>0</v>
      </c>
      <c r="U1338" s="84">
        <v>6611</v>
      </c>
    </row>
    <row r="1339" spans="12:21">
      <c r="L1339" s="31">
        <v>36699</v>
      </c>
      <c r="M1339" s="35" t="s">
        <v>10</v>
      </c>
      <c r="N1339" s="32" t="s">
        <v>11</v>
      </c>
      <c r="O1339" s="32" t="s">
        <v>36</v>
      </c>
      <c r="P1339" s="32" t="s">
        <v>13</v>
      </c>
      <c r="Q1339" s="32" t="s">
        <v>14</v>
      </c>
      <c r="R1339" s="32" t="s">
        <v>15</v>
      </c>
      <c r="S1339" s="32">
        <v>83674</v>
      </c>
      <c r="T1339" s="32">
        <v>2605</v>
      </c>
      <c r="U1339" s="83">
        <v>81069</v>
      </c>
    </row>
    <row r="1340" spans="12:21">
      <c r="L1340" s="34">
        <v>186536</v>
      </c>
      <c r="M1340" s="35" t="s">
        <v>10</v>
      </c>
      <c r="N1340" s="35" t="s">
        <v>37</v>
      </c>
      <c r="O1340" s="35" t="s">
        <v>32</v>
      </c>
      <c r="P1340" s="35" t="s">
        <v>13</v>
      </c>
      <c r="Q1340" s="35" t="s">
        <v>14</v>
      </c>
      <c r="R1340" s="35" t="s">
        <v>15</v>
      </c>
      <c r="S1340" s="35">
        <v>1187</v>
      </c>
      <c r="T1340" s="35">
        <v>1035</v>
      </c>
      <c r="U1340" s="84">
        <v>152</v>
      </c>
    </row>
    <row r="1341" spans="12:21">
      <c r="L1341" s="31">
        <v>90415</v>
      </c>
      <c r="M1341" s="35" t="s">
        <v>10</v>
      </c>
      <c r="N1341" s="32" t="s">
        <v>20</v>
      </c>
      <c r="O1341" s="32" t="s">
        <v>32</v>
      </c>
      <c r="P1341" s="32" t="s">
        <v>19</v>
      </c>
      <c r="Q1341" s="32" t="s">
        <v>28</v>
      </c>
      <c r="R1341" s="32" t="s">
        <v>24</v>
      </c>
      <c r="S1341" s="32">
        <v>736</v>
      </c>
      <c r="T1341" s="32">
        <v>0</v>
      </c>
      <c r="U1341" s="83">
        <v>736</v>
      </c>
    </row>
    <row r="1342" spans="12:21">
      <c r="L1342" s="34">
        <v>189845</v>
      </c>
      <c r="M1342" s="35" t="s">
        <v>10</v>
      </c>
      <c r="N1342" s="35" t="s">
        <v>37</v>
      </c>
      <c r="O1342" s="35" t="s">
        <v>32</v>
      </c>
      <c r="P1342" s="35" t="s">
        <v>13</v>
      </c>
      <c r="Q1342" s="35" t="s">
        <v>14</v>
      </c>
      <c r="R1342" s="35" t="s">
        <v>15</v>
      </c>
      <c r="S1342" s="35">
        <v>253296</v>
      </c>
      <c r="T1342" s="35">
        <v>23237</v>
      </c>
      <c r="U1342" s="84">
        <v>230059</v>
      </c>
    </row>
    <row r="1343" spans="12:21">
      <c r="L1343" s="31">
        <v>246530</v>
      </c>
      <c r="M1343" s="35" t="s">
        <v>10</v>
      </c>
      <c r="N1343" s="32" t="s">
        <v>25</v>
      </c>
      <c r="O1343" s="32" t="s">
        <v>12</v>
      </c>
      <c r="P1343" s="32" t="s">
        <v>19</v>
      </c>
      <c r="Q1343" s="32" t="s">
        <v>28</v>
      </c>
      <c r="R1343" s="32" t="s">
        <v>24</v>
      </c>
      <c r="S1343" s="32">
        <v>33824</v>
      </c>
      <c r="T1343" s="32">
        <v>281</v>
      </c>
      <c r="U1343" s="83">
        <v>33543</v>
      </c>
    </row>
    <row r="1344" spans="12:21">
      <c r="L1344" s="34">
        <v>172726</v>
      </c>
      <c r="M1344" s="35" t="s">
        <v>10</v>
      </c>
      <c r="N1344" s="35" t="s">
        <v>17</v>
      </c>
      <c r="O1344" s="35" t="s">
        <v>36</v>
      </c>
      <c r="P1344" s="35" t="s">
        <v>19</v>
      </c>
      <c r="Q1344" s="35" t="s">
        <v>14</v>
      </c>
      <c r="R1344" s="35" t="s">
        <v>24</v>
      </c>
      <c r="S1344" s="35">
        <v>10504</v>
      </c>
      <c r="T1344" s="35">
        <v>0</v>
      </c>
      <c r="U1344" s="84">
        <v>10504</v>
      </c>
    </row>
    <row r="1345" spans="12:21">
      <c r="L1345" s="31">
        <v>250962</v>
      </c>
      <c r="M1345" s="35" t="s">
        <v>10</v>
      </c>
      <c r="N1345" s="32" t="s">
        <v>27</v>
      </c>
      <c r="O1345" s="32" t="s">
        <v>32</v>
      </c>
      <c r="P1345" s="32" t="s">
        <v>13</v>
      </c>
      <c r="Q1345" s="32" t="s">
        <v>14</v>
      </c>
      <c r="R1345" s="32" t="s">
        <v>15</v>
      </c>
      <c r="S1345" s="32">
        <v>54064</v>
      </c>
      <c r="T1345" s="32">
        <v>0</v>
      </c>
      <c r="U1345" s="83">
        <v>54064</v>
      </c>
    </row>
    <row r="1346" spans="12:21">
      <c r="L1346" s="34">
        <v>223791</v>
      </c>
      <c r="M1346" s="35" t="s">
        <v>10</v>
      </c>
      <c r="N1346" s="35" t="s">
        <v>35</v>
      </c>
      <c r="O1346" s="35" t="s">
        <v>29</v>
      </c>
      <c r="P1346" s="35" t="s">
        <v>13</v>
      </c>
      <c r="Q1346" s="35" t="s">
        <v>28</v>
      </c>
      <c r="R1346" s="35" t="s">
        <v>15</v>
      </c>
      <c r="S1346" s="35">
        <v>6260</v>
      </c>
      <c r="T1346" s="35">
        <v>0</v>
      </c>
      <c r="U1346" s="84">
        <v>6260</v>
      </c>
    </row>
    <row r="1347" spans="12:21">
      <c r="L1347" s="31">
        <v>78798</v>
      </c>
      <c r="M1347" s="35" t="s">
        <v>10</v>
      </c>
      <c r="N1347" s="32" t="s">
        <v>20</v>
      </c>
      <c r="O1347" s="32" t="s">
        <v>29</v>
      </c>
      <c r="P1347" s="32" t="s">
        <v>13</v>
      </c>
      <c r="Q1347" s="32" t="s">
        <v>14</v>
      </c>
      <c r="R1347" s="32" t="s">
        <v>15</v>
      </c>
      <c r="S1347" s="32">
        <v>32718</v>
      </c>
      <c r="T1347" s="32">
        <v>936</v>
      </c>
      <c r="U1347" s="83">
        <v>31782</v>
      </c>
    </row>
    <row r="1348" spans="12:21">
      <c r="L1348" s="34">
        <v>140627</v>
      </c>
      <c r="M1348" s="35" t="s">
        <v>10</v>
      </c>
      <c r="N1348" s="35" t="s">
        <v>17</v>
      </c>
      <c r="O1348" s="35" t="s">
        <v>29</v>
      </c>
      <c r="P1348" s="35" t="s">
        <v>19</v>
      </c>
      <c r="Q1348" s="35" t="s">
        <v>14</v>
      </c>
      <c r="R1348" s="35" t="s">
        <v>24</v>
      </c>
      <c r="S1348" s="35">
        <v>31818</v>
      </c>
      <c r="T1348" s="35">
        <v>2273</v>
      </c>
      <c r="U1348" s="84">
        <v>29545</v>
      </c>
    </row>
    <row r="1349" spans="12:21">
      <c r="L1349" s="31">
        <v>254142</v>
      </c>
      <c r="M1349" s="35" t="s">
        <v>10</v>
      </c>
      <c r="N1349" s="32" t="s">
        <v>25</v>
      </c>
      <c r="O1349" s="32" t="s">
        <v>21</v>
      </c>
      <c r="P1349" s="32" t="s">
        <v>13</v>
      </c>
      <c r="Q1349" s="32" t="s">
        <v>28</v>
      </c>
      <c r="R1349" s="32" t="s">
        <v>24</v>
      </c>
      <c r="S1349" s="32">
        <v>45130</v>
      </c>
      <c r="T1349" s="32">
        <v>2348</v>
      </c>
      <c r="U1349" s="83">
        <v>42782</v>
      </c>
    </row>
    <row r="1350" spans="12:21">
      <c r="L1350" s="34">
        <v>181468</v>
      </c>
      <c r="M1350" s="35" t="s">
        <v>10</v>
      </c>
      <c r="N1350" s="35" t="s">
        <v>20</v>
      </c>
      <c r="O1350" s="35" t="s">
        <v>21</v>
      </c>
      <c r="P1350" s="35" t="s">
        <v>19</v>
      </c>
      <c r="Q1350" s="35" t="s">
        <v>14</v>
      </c>
      <c r="R1350" s="35" t="s">
        <v>15</v>
      </c>
      <c r="S1350" s="35">
        <v>33930</v>
      </c>
      <c r="T1350" s="35">
        <v>348</v>
      </c>
      <c r="U1350" s="84">
        <v>33582</v>
      </c>
    </row>
    <row r="1351" spans="12:21">
      <c r="L1351" s="31">
        <v>88841</v>
      </c>
      <c r="M1351" s="35" t="s">
        <v>10</v>
      </c>
      <c r="N1351" s="32" t="s">
        <v>38</v>
      </c>
      <c r="O1351" s="32" t="s">
        <v>32</v>
      </c>
      <c r="P1351" s="32" t="s">
        <v>13</v>
      </c>
      <c r="Q1351" s="32" t="s">
        <v>14</v>
      </c>
      <c r="R1351" s="32" t="s">
        <v>15</v>
      </c>
      <c r="S1351" s="32">
        <v>3</v>
      </c>
      <c r="T1351" s="32">
        <v>0</v>
      </c>
      <c r="U1351" s="83">
        <v>3</v>
      </c>
    </row>
    <row r="1352" spans="12:21">
      <c r="L1352" s="34">
        <v>227145</v>
      </c>
      <c r="M1352" s="35" t="s">
        <v>10</v>
      </c>
      <c r="N1352" s="35" t="s">
        <v>17</v>
      </c>
      <c r="O1352" s="35" t="s">
        <v>26</v>
      </c>
      <c r="P1352" s="35" t="s">
        <v>19</v>
      </c>
      <c r="Q1352" s="35" t="s">
        <v>28</v>
      </c>
      <c r="R1352" s="35" t="s">
        <v>24</v>
      </c>
      <c r="S1352" s="35">
        <v>52340</v>
      </c>
      <c r="T1352" s="35">
        <v>4056</v>
      </c>
      <c r="U1352" s="84">
        <v>48284</v>
      </c>
    </row>
    <row r="1353" spans="12:21">
      <c r="L1353" s="31">
        <v>199532</v>
      </c>
      <c r="M1353" s="35" t="s">
        <v>10</v>
      </c>
      <c r="N1353" s="32" t="s">
        <v>39</v>
      </c>
      <c r="O1353" s="32" t="s">
        <v>23</v>
      </c>
      <c r="P1353" s="32" t="s">
        <v>13</v>
      </c>
      <c r="Q1353" s="32" t="s">
        <v>14</v>
      </c>
      <c r="R1353" s="32" t="s">
        <v>15</v>
      </c>
      <c r="S1353" s="32">
        <v>17570</v>
      </c>
      <c r="T1353" s="32">
        <v>967</v>
      </c>
      <c r="U1353" s="83">
        <v>16603</v>
      </c>
    </row>
    <row r="1354" spans="12:21">
      <c r="L1354" s="34">
        <v>23643</v>
      </c>
      <c r="M1354" s="35" t="s">
        <v>10</v>
      </c>
      <c r="N1354" s="35" t="s">
        <v>11</v>
      </c>
      <c r="O1354" s="35" t="s">
        <v>32</v>
      </c>
      <c r="P1354" s="35" t="s">
        <v>13</v>
      </c>
      <c r="Q1354" s="35" t="s">
        <v>14</v>
      </c>
      <c r="R1354" s="35" t="s">
        <v>15</v>
      </c>
      <c r="S1354" s="35">
        <v>41594</v>
      </c>
      <c r="T1354" s="35">
        <v>5775</v>
      </c>
      <c r="U1354" s="84">
        <v>35819</v>
      </c>
    </row>
    <row r="1355" spans="12:21">
      <c r="L1355" s="31">
        <v>200015</v>
      </c>
      <c r="M1355" s="35" t="s">
        <v>10</v>
      </c>
      <c r="N1355" s="32" t="s">
        <v>37</v>
      </c>
      <c r="O1355" s="32" t="s">
        <v>12</v>
      </c>
      <c r="P1355" s="32" t="s">
        <v>13</v>
      </c>
      <c r="Q1355" s="32" t="s">
        <v>28</v>
      </c>
      <c r="R1355" s="32" t="s">
        <v>15</v>
      </c>
      <c r="S1355" s="32">
        <v>169967</v>
      </c>
      <c r="T1355" s="32">
        <v>5465</v>
      </c>
      <c r="U1355" s="83">
        <v>164502</v>
      </c>
    </row>
    <row r="1356" spans="12:21">
      <c r="L1356" s="34">
        <v>183256</v>
      </c>
      <c r="M1356" s="35" t="s">
        <v>10</v>
      </c>
      <c r="N1356" s="35" t="s">
        <v>20</v>
      </c>
      <c r="O1356" s="35" t="s">
        <v>32</v>
      </c>
      <c r="P1356" s="35" t="s">
        <v>13</v>
      </c>
      <c r="Q1356" s="35" t="s">
        <v>14</v>
      </c>
      <c r="R1356" s="35" t="s">
        <v>15</v>
      </c>
      <c r="S1356" s="35">
        <v>12859</v>
      </c>
      <c r="T1356" s="35">
        <v>0</v>
      </c>
      <c r="U1356" s="84">
        <v>12859</v>
      </c>
    </row>
    <row r="1357" spans="12:21">
      <c r="L1357" s="31">
        <v>215528</v>
      </c>
      <c r="M1357" s="35" t="s">
        <v>10</v>
      </c>
      <c r="N1357" s="32" t="s">
        <v>39</v>
      </c>
      <c r="O1357" s="32" t="s">
        <v>30</v>
      </c>
      <c r="P1357" s="32" t="s">
        <v>13</v>
      </c>
      <c r="Q1357" s="32" t="s">
        <v>14</v>
      </c>
      <c r="R1357" s="32" t="s">
        <v>15</v>
      </c>
      <c r="S1357" s="32">
        <v>23531</v>
      </c>
      <c r="T1357" s="32">
        <v>164</v>
      </c>
      <c r="U1357" s="83">
        <v>23367</v>
      </c>
    </row>
    <row r="1358" spans="12:21">
      <c r="L1358" s="34">
        <v>255425</v>
      </c>
      <c r="M1358" s="35" t="s">
        <v>10</v>
      </c>
      <c r="N1358" s="35" t="s">
        <v>17</v>
      </c>
      <c r="O1358" s="35" t="s">
        <v>21</v>
      </c>
      <c r="P1358" s="35" t="s">
        <v>19</v>
      </c>
      <c r="Q1358" s="35" t="s">
        <v>14</v>
      </c>
      <c r="R1358" s="35" t="s">
        <v>24</v>
      </c>
      <c r="S1358" s="35">
        <v>28105</v>
      </c>
      <c r="T1358" s="35">
        <v>4479</v>
      </c>
      <c r="U1358" s="84">
        <v>23626</v>
      </c>
    </row>
    <row r="1359" spans="12:21">
      <c r="L1359" s="31">
        <v>90196</v>
      </c>
      <c r="M1359" s="35" t="s">
        <v>10</v>
      </c>
      <c r="N1359" s="32" t="s">
        <v>37</v>
      </c>
      <c r="O1359" s="32" t="s">
        <v>30</v>
      </c>
      <c r="P1359" s="32" t="s">
        <v>13</v>
      </c>
      <c r="Q1359" s="32" t="s">
        <v>14</v>
      </c>
      <c r="R1359" s="32" t="s">
        <v>15</v>
      </c>
      <c r="S1359" s="32">
        <v>184333</v>
      </c>
      <c r="T1359" s="32">
        <v>3533</v>
      </c>
      <c r="U1359" s="83">
        <v>180800</v>
      </c>
    </row>
    <row r="1360" spans="12:21">
      <c r="L1360" s="34">
        <v>210414</v>
      </c>
      <c r="M1360" s="35" t="s">
        <v>10</v>
      </c>
      <c r="N1360" s="35" t="s">
        <v>37</v>
      </c>
      <c r="O1360" s="35" t="s">
        <v>29</v>
      </c>
      <c r="P1360" s="35" t="s">
        <v>19</v>
      </c>
      <c r="Q1360" s="35" t="s">
        <v>14</v>
      </c>
      <c r="R1360" s="35" t="s">
        <v>15</v>
      </c>
      <c r="S1360" s="35">
        <v>175129</v>
      </c>
      <c r="T1360" s="35">
        <v>326</v>
      </c>
      <c r="U1360" s="84">
        <v>174803</v>
      </c>
    </row>
    <row r="1361" spans="12:21">
      <c r="L1361" s="31">
        <v>93194</v>
      </c>
      <c r="M1361" s="35" t="s">
        <v>10</v>
      </c>
      <c r="N1361" s="32" t="s">
        <v>20</v>
      </c>
      <c r="O1361" s="32" t="s">
        <v>21</v>
      </c>
      <c r="P1361" s="32" t="s">
        <v>13</v>
      </c>
      <c r="Q1361" s="32" t="s">
        <v>14</v>
      </c>
      <c r="R1361" s="32" t="s">
        <v>15</v>
      </c>
      <c r="S1361" s="32">
        <v>25284</v>
      </c>
      <c r="T1361" s="32">
        <v>10570</v>
      </c>
      <c r="U1361" s="83">
        <v>14714</v>
      </c>
    </row>
    <row r="1362" spans="12:21">
      <c r="L1362" s="34">
        <v>200380</v>
      </c>
      <c r="M1362" s="35" t="s">
        <v>10</v>
      </c>
      <c r="N1362" s="35" t="s">
        <v>37</v>
      </c>
      <c r="O1362" s="35" t="s">
        <v>30</v>
      </c>
      <c r="P1362" s="35" t="s">
        <v>13</v>
      </c>
      <c r="Q1362" s="35" t="s">
        <v>14</v>
      </c>
      <c r="R1362" s="35" t="s">
        <v>15</v>
      </c>
      <c r="S1362" s="35">
        <v>329651</v>
      </c>
      <c r="T1362" s="35">
        <v>46867</v>
      </c>
      <c r="U1362" s="84">
        <v>282784</v>
      </c>
    </row>
    <row r="1363" spans="12:21">
      <c r="L1363" s="31">
        <v>9396</v>
      </c>
      <c r="M1363" s="35" t="s">
        <v>10</v>
      </c>
      <c r="N1363" s="32" t="s">
        <v>20</v>
      </c>
      <c r="O1363" s="32" t="s">
        <v>32</v>
      </c>
      <c r="P1363" s="32" t="s">
        <v>13</v>
      </c>
      <c r="Q1363" s="32" t="s">
        <v>14</v>
      </c>
      <c r="R1363" s="32" t="s">
        <v>15</v>
      </c>
      <c r="S1363" s="32">
        <v>23983</v>
      </c>
      <c r="T1363" s="32">
        <v>832</v>
      </c>
      <c r="U1363" s="83">
        <v>23151</v>
      </c>
    </row>
    <row r="1364" spans="12:21">
      <c r="L1364" s="34">
        <v>32871</v>
      </c>
      <c r="M1364" s="35" t="s">
        <v>10</v>
      </c>
      <c r="N1364" s="35" t="s">
        <v>35</v>
      </c>
      <c r="O1364" s="35" t="s">
        <v>30</v>
      </c>
      <c r="P1364" s="35" t="s">
        <v>19</v>
      </c>
      <c r="Q1364" s="35" t="s">
        <v>14</v>
      </c>
      <c r="R1364" s="35" t="s">
        <v>24</v>
      </c>
      <c r="S1364" s="35">
        <v>79165</v>
      </c>
      <c r="T1364" s="35">
        <v>6037</v>
      </c>
      <c r="U1364" s="84">
        <v>73128</v>
      </c>
    </row>
    <row r="1365" spans="12:21">
      <c r="L1365" s="31">
        <v>199881</v>
      </c>
      <c r="M1365" s="35" t="s">
        <v>10</v>
      </c>
      <c r="N1365" s="32" t="s">
        <v>37</v>
      </c>
      <c r="O1365" s="32" t="s">
        <v>36</v>
      </c>
      <c r="P1365" s="32" t="s">
        <v>13</v>
      </c>
      <c r="Q1365" s="32" t="s">
        <v>14</v>
      </c>
      <c r="R1365" s="32" t="s">
        <v>15</v>
      </c>
      <c r="S1365" s="32">
        <v>92935</v>
      </c>
      <c r="T1365" s="32">
        <v>1255</v>
      </c>
      <c r="U1365" s="83">
        <v>91680</v>
      </c>
    </row>
    <row r="1366" spans="12:21">
      <c r="L1366" s="34">
        <v>151875</v>
      </c>
      <c r="M1366" s="35" t="s">
        <v>10</v>
      </c>
      <c r="N1366" s="35" t="s">
        <v>22</v>
      </c>
      <c r="O1366" s="35" t="s">
        <v>26</v>
      </c>
      <c r="P1366" s="35" t="s">
        <v>13</v>
      </c>
      <c r="Q1366" s="35" t="s">
        <v>28</v>
      </c>
      <c r="R1366" s="35" t="s">
        <v>24</v>
      </c>
      <c r="S1366" s="35">
        <v>79168</v>
      </c>
      <c r="T1366" s="35">
        <v>1895</v>
      </c>
      <c r="U1366" s="84">
        <v>77273</v>
      </c>
    </row>
    <row r="1367" spans="12:21">
      <c r="L1367" s="31">
        <v>89513</v>
      </c>
      <c r="M1367" s="35" t="s">
        <v>10</v>
      </c>
      <c r="N1367" s="32" t="s">
        <v>38</v>
      </c>
      <c r="O1367" s="32" t="s">
        <v>32</v>
      </c>
      <c r="P1367" s="32" t="s">
        <v>19</v>
      </c>
      <c r="Q1367" s="32" t="s">
        <v>28</v>
      </c>
      <c r="R1367" s="32" t="s">
        <v>24</v>
      </c>
      <c r="S1367" s="32">
        <v>19087</v>
      </c>
      <c r="T1367" s="32">
        <v>0</v>
      </c>
      <c r="U1367" s="83">
        <v>19087</v>
      </c>
    </row>
    <row r="1368" spans="12:21">
      <c r="L1368" s="34">
        <v>235265</v>
      </c>
      <c r="M1368" s="35" t="s">
        <v>10</v>
      </c>
      <c r="N1368" s="35" t="s">
        <v>17</v>
      </c>
      <c r="O1368" s="35" t="s">
        <v>23</v>
      </c>
      <c r="P1368" s="35" t="s">
        <v>13</v>
      </c>
      <c r="Q1368" s="35" t="s">
        <v>14</v>
      </c>
      <c r="R1368" s="35" t="s">
        <v>15</v>
      </c>
      <c r="S1368" s="35">
        <v>43712</v>
      </c>
      <c r="T1368" s="35">
        <v>538</v>
      </c>
      <c r="U1368" s="84">
        <v>43174</v>
      </c>
    </row>
    <row r="1369" spans="12:21">
      <c r="L1369" s="31">
        <v>161513</v>
      </c>
      <c r="M1369" s="35" t="s">
        <v>10</v>
      </c>
      <c r="N1369" s="32" t="s">
        <v>25</v>
      </c>
      <c r="O1369" s="32" t="s">
        <v>30</v>
      </c>
      <c r="P1369" s="32" t="s">
        <v>13</v>
      </c>
      <c r="Q1369" s="32" t="s">
        <v>28</v>
      </c>
      <c r="R1369" s="32" t="s">
        <v>15</v>
      </c>
      <c r="S1369" s="32">
        <v>24109</v>
      </c>
      <c r="T1369" s="32">
        <v>2931</v>
      </c>
      <c r="U1369" s="83">
        <v>21178</v>
      </c>
    </row>
    <row r="1370" spans="12:21">
      <c r="L1370" s="34">
        <v>147549</v>
      </c>
      <c r="M1370" s="35" t="s">
        <v>10</v>
      </c>
      <c r="N1370" s="35" t="s">
        <v>31</v>
      </c>
      <c r="O1370" s="35" t="s">
        <v>23</v>
      </c>
      <c r="P1370" s="35" t="s">
        <v>19</v>
      </c>
      <c r="Q1370" s="35" t="s">
        <v>28</v>
      </c>
      <c r="R1370" s="35" t="s">
        <v>24</v>
      </c>
      <c r="S1370" s="35">
        <v>27072</v>
      </c>
      <c r="T1370" s="35">
        <v>661</v>
      </c>
      <c r="U1370" s="84">
        <v>26411</v>
      </c>
    </row>
    <row r="1371" spans="12:21">
      <c r="L1371" s="31">
        <v>24753</v>
      </c>
      <c r="M1371" s="35" t="s">
        <v>10</v>
      </c>
      <c r="N1371" s="32" t="s">
        <v>11</v>
      </c>
      <c r="O1371" s="32" t="s">
        <v>23</v>
      </c>
      <c r="P1371" s="32" t="s">
        <v>13</v>
      </c>
      <c r="Q1371" s="32" t="s">
        <v>14</v>
      </c>
      <c r="R1371" s="32" t="s">
        <v>15</v>
      </c>
      <c r="S1371" s="32">
        <v>72248</v>
      </c>
      <c r="T1371" s="32">
        <v>1331</v>
      </c>
      <c r="U1371" s="83">
        <v>70917</v>
      </c>
    </row>
    <row r="1372" spans="12:21">
      <c r="L1372" s="34">
        <v>112634</v>
      </c>
      <c r="M1372" s="35" t="s">
        <v>10</v>
      </c>
      <c r="N1372" s="35" t="s">
        <v>27</v>
      </c>
      <c r="O1372" s="35" t="s">
        <v>23</v>
      </c>
      <c r="P1372" s="35" t="s">
        <v>13</v>
      </c>
      <c r="Q1372" s="35" t="s">
        <v>14</v>
      </c>
      <c r="R1372" s="35" t="s">
        <v>24</v>
      </c>
      <c r="S1372" s="35">
        <v>124770</v>
      </c>
      <c r="T1372" s="35">
        <v>26221</v>
      </c>
      <c r="U1372" s="84">
        <v>98549</v>
      </c>
    </row>
    <row r="1373" spans="12:21">
      <c r="L1373" s="31">
        <v>5787</v>
      </c>
      <c r="M1373" s="35" t="s">
        <v>10</v>
      </c>
      <c r="N1373" s="32" t="s">
        <v>38</v>
      </c>
      <c r="O1373" s="32" t="s">
        <v>12</v>
      </c>
      <c r="P1373" s="32" t="s">
        <v>13</v>
      </c>
      <c r="Q1373" s="32" t="s">
        <v>14</v>
      </c>
      <c r="R1373" s="32" t="s">
        <v>15</v>
      </c>
      <c r="S1373" s="32">
        <v>403365</v>
      </c>
      <c r="T1373" s="32">
        <v>7349</v>
      </c>
      <c r="U1373" s="83">
        <v>396016</v>
      </c>
    </row>
    <row r="1374" spans="12:21">
      <c r="L1374" s="34">
        <v>24663</v>
      </c>
      <c r="M1374" s="35" t="s">
        <v>10</v>
      </c>
      <c r="N1374" s="35" t="s">
        <v>11</v>
      </c>
      <c r="O1374" s="35" t="s">
        <v>26</v>
      </c>
      <c r="P1374" s="35" t="s">
        <v>13</v>
      </c>
      <c r="Q1374" s="35" t="s">
        <v>14</v>
      </c>
      <c r="R1374" s="35" t="s">
        <v>24</v>
      </c>
      <c r="S1374" s="35">
        <v>161394</v>
      </c>
      <c r="T1374" s="35">
        <v>4678</v>
      </c>
      <c r="U1374" s="84">
        <v>156716</v>
      </c>
    </row>
    <row r="1375" spans="12:21">
      <c r="L1375" s="31">
        <v>49875</v>
      </c>
      <c r="M1375" s="35" t="s">
        <v>10</v>
      </c>
      <c r="N1375" s="32" t="s">
        <v>35</v>
      </c>
      <c r="O1375" s="32" t="s">
        <v>30</v>
      </c>
      <c r="P1375" s="32" t="s">
        <v>13</v>
      </c>
      <c r="Q1375" s="32" t="s">
        <v>14</v>
      </c>
      <c r="R1375" s="32" t="s">
        <v>15</v>
      </c>
      <c r="S1375" s="32">
        <v>308731</v>
      </c>
      <c r="T1375" s="32">
        <v>4609</v>
      </c>
      <c r="U1375" s="83">
        <v>304122</v>
      </c>
    </row>
    <row r="1376" spans="12:21">
      <c r="L1376" s="34">
        <v>235271</v>
      </c>
      <c r="M1376" s="35" t="s">
        <v>10</v>
      </c>
      <c r="N1376" s="35" t="s">
        <v>17</v>
      </c>
      <c r="O1376" s="35" t="s">
        <v>21</v>
      </c>
      <c r="P1376" s="35" t="s">
        <v>13</v>
      </c>
      <c r="Q1376" s="35" t="s">
        <v>14</v>
      </c>
      <c r="R1376" s="35" t="s">
        <v>24</v>
      </c>
      <c r="S1376" s="35">
        <v>77110</v>
      </c>
      <c r="T1376" s="35">
        <v>6523</v>
      </c>
      <c r="U1376" s="84">
        <v>70587</v>
      </c>
    </row>
    <row r="1377" spans="12:21">
      <c r="L1377" s="31">
        <v>229718</v>
      </c>
      <c r="M1377" s="35" t="s">
        <v>10</v>
      </c>
      <c r="N1377" s="32" t="s">
        <v>25</v>
      </c>
      <c r="O1377" s="32" t="s">
        <v>29</v>
      </c>
      <c r="P1377" s="32" t="s">
        <v>13</v>
      </c>
      <c r="Q1377" s="32" t="s">
        <v>14</v>
      </c>
      <c r="R1377" s="32" t="s">
        <v>15</v>
      </c>
      <c r="S1377" s="32">
        <v>142769</v>
      </c>
      <c r="T1377" s="32">
        <v>3344</v>
      </c>
      <c r="U1377" s="83">
        <v>139425</v>
      </c>
    </row>
    <row r="1378" spans="12:21">
      <c r="L1378" s="34">
        <v>249239</v>
      </c>
      <c r="M1378" s="35" t="s">
        <v>10</v>
      </c>
      <c r="N1378" s="35" t="s">
        <v>17</v>
      </c>
      <c r="O1378" s="35" t="s">
        <v>33</v>
      </c>
      <c r="P1378" s="35" t="s">
        <v>19</v>
      </c>
      <c r="Q1378" s="35" t="s">
        <v>28</v>
      </c>
      <c r="R1378" s="35" t="s">
        <v>15</v>
      </c>
      <c r="S1378" s="35">
        <v>39258</v>
      </c>
      <c r="T1378" s="35">
        <v>0</v>
      </c>
      <c r="U1378" s="84">
        <v>39258</v>
      </c>
    </row>
    <row r="1379" spans="12:21">
      <c r="L1379" s="31">
        <v>238766</v>
      </c>
      <c r="M1379" s="35" t="s">
        <v>10</v>
      </c>
      <c r="N1379" s="32" t="s">
        <v>17</v>
      </c>
      <c r="O1379" s="32" t="s">
        <v>23</v>
      </c>
      <c r="P1379" s="32" t="s">
        <v>19</v>
      </c>
      <c r="Q1379" s="32" t="s">
        <v>14</v>
      </c>
      <c r="R1379" s="32" t="s">
        <v>24</v>
      </c>
      <c r="S1379" s="32">
        <v>25625</v>
      </c>
      <c r="T1379" s="32">
        <v>337</v>
      </c>
      <c r="U1379" s="83">
        <v>25288</v>
      </c>
    </row>
    <row r="1380" spans="12:21">
      <c r="L1380" s="34">
        <v>6340</v>
      </c>
      <c r="M1380" s="35" t="s">
        <v>10</v>
      </c>
      <c r="N1380" s="35" t="s">
        <v>39</v>
      </c>
      <c r="O1380" s="35" t="s">
        <v>33</v>
      </c>
      <c r="P1380" s="35" t="s">
        <v>13</v>
      </c>
      <c r="Q1380" s="35" t="s">
        <v>14</v>
      </c>
      <c r="R1380" s="35" t="s">
        <v>15</v>
      </c>
      <c r="S1380" s="35">
        <v>74710</v>
      </c>
      <c r="T1380" s="35">
        <v>8333</v>
      </c>
      <c r="U1380" s="84">
        <v>66377</v>
      </c>
    </row>
    <row r="1381" spans="12:21">
      <c r="L1381" s="31">
        <v>141007</v>
      </c>
      <c r="M1381" s="35" t="s">
        <v>10</v>
      </c>
      <c r="N1381" s="32" t="s">
        <v>17</v>
      </c>
      <c r="O1381" s="32" t="s">
        <v>18</v>
      </c>
      <c r="P1381" s="32" t="s">
        <v>19</v>
      </c>
      <c r="Q1381" s="32" t="s">
        <v>14</v>
      </c>
      <c r="R1381" s="32" t="s">
        <v>24</v>
      </c>
      <c r="S1381" s="32">
        <v>63024</v>
      </c>
      <c r="T1381" s="32">
        <v>482</v>
      </c>
      <c r="U1381" s="83">
        <v>62542</v>
      </c>
    </row>
    <row r="1382" spans="12:21">
      <c r="L1382" s="34">
        <v>154205</v>
      </c>
      <c r="M1382" s="35" t="s">
        <v>10</v>
      </c>
      <c r="N1382" s="35" t="s">
        <v>22</v>
      </c>
      <c r="O1382" s="35" t="s">
        <v>30</v>
      </c>
      <c r="P1382" s="35" t="s">
        <v>13</v>
      </c>
      <c r="Q1382" s="35" t="s">
        <v>28</v>
      </c>
      <c r="R1382" s="35" t="s">
        <v>15</v>
      </c>
      <c r="S1382" s="35">
        <v>82987</v>
      </c>
      <c r="T1382" s="35">
        <v>2399</v>
      </c>
      <c r="U1382" s="84">
        <v>80588</v>
      </c>
    </row>
    <row r="1383" spans="12:21">
      <c r="L1383" s="31">
        <v>15878</v>
      </c>
      <c r="M1383" s="35" t="s">
        <v>10</v>
      </c>
      <c r="N1383" s="32" t="s">
        <v>11</v>
      </c>
      <c r="O1383" s="32" t="s">
        <v>30</v>
      </c>
      <c r="P1383" s="32" t="s">
        <v>13</v>
      </c>
      <c r="Q1383" s="32" t="s">
        <v>14</v>
      </c>
      <c r="R1383" s="32" t="s">
        <v>15</v>
      </c>
      <c r="S1383" s="32">
        <v>47465</v>
      </c>
      <c r="T1383" s="32">
        <v>2527</v>
      </c>
      <c r="U1383" s="83">
        <v>44938</v>
      </c>
    </row>
    <row r="1384" spans="12:21">
      <c r="L1384" s="34">
        <v>27609</v>
      </c>
      <c r="M1384" s="35" t="s">
        <v>10</v>
      </c>
      <c r="N1384" s="35" t="s">
        <v>11</v>
      </c>
      <c r="O1384" s="35" t="s">
        <v>23</v>
      </c>
      <c r="P1384" s="35" t="s">
        <v>19</v>
      </c>
      <c r="Q1384" s="35" t="s">
        <v>14</v>
      </c>
      <c r="R1384" s="35" t="s">
        <v>24</v>
      </c>
      <c r="S1384" s="35">
        <v>12363</v>
      </c>
      <c r="T1384" s="35">
        <v>168</v>
      </c>
      <c r="U1384" s="84">
        <v>12195</v>
      </c>
    </row>
    <row r="1385" spans="12:21">
      <c r="L1385" s="31">
        <v>176077</v>
      </c>
      <c r="M1385" s="35" t="s">
        <v>10</v>
      </c>
      <c r="N1385" s="32" t="s">
        <v>22</v>
      </c>
      <c r="O1385" s="32" t="s">
        <v>12</v>
      </c>
      <c r="P1385" s="32" t="s">
        <v>19</v>
      </c>
      <c r="Q1385" s="32" t="s">
        <v>14</v>
      </c>
      <c r="R1385" s="32" t="s">
        <v>15</v>
      </c>
      <c r="S1385" s="32">
        <v>37747</v>
      </c>
      <c r="T1385" s="32">
        <v>3058</v>
      </c>
      <c r="U1385" s="83">
        <v>34689</v>
      </c>
    </row>
    <row r="1386" spans="12:21">
      <c r="L1386" s="34">
        <v>251449</v>
      </c>
      <c r="M1386" s="35" t="s">
        <v>10</v>
      </c>
      <c r="N1386" s="35" t="s">
        <v>17</v>
      </c>
      <c r="O1386" s="35" t="s">
        <v>29</v>
      </c>
      <c r="P1386" s="35" t="s">
        <v>19</v>
      </c>
      <c r="Q1386" s="35" t="s">
        <v>28</v>
      </c>
      <c r="R1386" s="35" t="s">
        <v>24</v>
      </c>
      <c r="S1386" s="35">
        <v>36272</v>
      </c>
      <c r="T1386" s="35">
        <v>507</v>
      </c>
      <c r="U1386" s="84">
        <v>35765</v>
      </c>
    </row>
    <row r="1387" spans="12:21">
      <c r="L1387" s="31">
        <v>213900</v>
      </c>
      <c r="M1387" s="35" t="s">
        <v>10</v>
      </c>
      <c r="N1387" s="32" t="s">
        <v>11</v>
      </c>
      <c r="O1387" s="32" t="s">
        <v>23</v>
      </c>
      <c r="P1387" s="32" t="s">
        <v>13</v>
      </c>
      <c r="Q1387" s="32" t="s">
        <v>14</v>
      </c>
      <c r="R1387" s="32" t="s">
        <v>15</v>
      </c>
      <c r="S1387" s="32">
        <v>179410</v>
      </c>
      <c r="T1387" s="32">
        <v>3116</v>
      </c>
      <c r="U1387" s="83">
        <v>176294</v>
      </c>
    </row>
    <row r="1388" spans="12:21">
      <c r="L1388" s="34">
        <v>63932</v>
      </c>
      <c r="M1388" s="35" t="s">
        <v>10</v>
      </c>
      <c r="N1388" s="35" t="s">
        <v>27</v>
      </c>
      <c r="O1388" s="35" t="s">
        <v>29</v>
      </c>
      <c r="P1388" s="35" t="s">
        <v>13</v>
      </c>
      <c r="Q1388" s="35" t="s">
        <v>14</v>
      </c>
      <c r="R1388" s="35" t="s">
        <v>15</v>
      </c>
      <c r="S1388" s="35">
        <v>84562</v>
      </c>
      <c r="T1388" s="35">
        <v>6401</v>
      </c>
      <c r="U1388" s="84">
        <v>78161</v>
      </c>
    </row>
    <row r="1389" spans="12:21">
      <c r="L1389" s="31">
        <v>72731</v>
      </c>
      <c r="M1389" s="35" t="s">
        <v>10</v>
      </c>
      <c r="N1389" s="32" t="s">
        <v>27</v>
      </c>
      <c r="O1389" s="32" t="s">
        <v>23</v>
      </c>
      <c r="P1389" s="32" t="s">
        <v>13</v>
      </c>
      <c r="Q1389" s="32" t="s">
        <v>14</v>
      </c>
      <c r="R1389" s="32" t="s">
        <v>24</v>
      </c>
      <c r="S1389" s="32">
        <v>41819</v>
      </c>
      <c r="T1389" s="32">
        <v>1012</v>
      </c>
      <c r="U1389" s="83">
        <v>40807</v>
      </c>
    </row>
    <row r="1390" spans="12:21">
      <c r="L1390" s="34">
        <v>34593</v>
      </c>
      <c r="M1390" s="35" t="s">
        <v>10</v>
      </c>
      <c r="N1390" s="35" t="s">
        <v>35</v>
      </c>
      <c r="O1390" s="35" t="s">
        <v>30</v>
      </c>
      <c r="P1390" s="35" t="s">
        <v>13</v>
      </c>
      <c r="Q1390" s="35" t="s">
        <v>28</v>
      </c>
      <c r="R1390" s="35" t="s">
        <v>15</v>
      </c>
      <c r="S1390" s="35">
        <v>102932</v>
      </c>
      <c r="T1390" s="35">
        <v>3460</v>
      </c>
      <c r="U1390" s="84">
        <v>99472</v>
      </c>
    </row>
    <row r="1391" spans="12:21">
      <c r="L1391" s="31">
        <v>115505</v>
      </c>
      <c r="M1391" s="35" t="s">
        <v>10</v>
      </c>
      <c r="N1391" s="32" t="s">
        <v>25</v>
      </c>
      <c r="O1391" s="32" t="s">
        <v>12</v>
      </c>
      <c r="P1391" s="32" t="s">
        <v>19</v>
      </c>
      <c r="Q1391" s="32" t="s">
        <v>14</v>
      </c>
      <c r="R1391" s="32" t="s">
        <v>15</v>
      </c>
      <c r="S1391" s="32">
        <v>95614</v>
      </c>
      <c r="T1391" s="32">
        <v>5867</v>
      </c>
      <c r="U1391" s="83">
        <v>89747</v>
      </c>
    </row>
    <row r="1392" spans="12:21">
      <c r="L1392" s="34">
        <v>171099</v>
      </c>
      <c r="M1392" s="35" t="s">
        <v>10</v>
      </c>
      <c r="N1392" s="35" t="s">
        <v>31</v>
      </c>
      <c r="O1392" s="35" t="s">
        <v>21</v>
      </c>
      <c r="P1392" s="35" t="s">
        <v>19</v>
      </c>
      <c r="Q1392" s="35" t="s">
        <v>14</v>
      </c>
      <c r="R1392" s="35" t="s">
        <v>24</v>
      </c>
      <c r="S1392" s="35">
        <v>28839</v>
      </c>
      <c r="T1392" s="35">
        <v>605</v>
      </c>
      <c r="U1392" s="84">
        <v>28234</v>
      </c>
    </row>
    <row r="1393" spans="12:21">
      <c r="L1393" s="31">
        <v>227196</v>
      </c>
      <c r="M1393" s="35" t="s">
        <v>10</v>
      </c>
      <c r="N1393" s="32" t="s">
        <v>25</v>
      </c>
      <c r="O1393" s="32" t="s">
        <v>26</v>
      </c>
      <c r="P1393" s="32" t="s">
        <v>19</v>
      </c>
      <c r="Q1393" s="32" t="s">
        <v>28</v>
      </c>
      <c r="R1393" s="32" t="s">
        <v>24</v>
      </c>
      <c r="S1393" s="32">
        <v>42950</v>
      </c>
      <c r="T1393" s="32">
        <v>0</v>
      </c>
      <c r="U1393" s="83">
        <v>42950</v>
      </c>
    </row>
    <row r="1394" spans="12:21">
      <c r="L1394" s="34">
        <v>2664</v>
      </c>
      <c r="M1394" s="35" t="s">
        <v>10</v>
      </c>
      <c r="N1394" s="35" t="s">
        <v>20</v>
      </c>
      <c r="O1394" s="35" t="s">
        <v>32</v>
      </c>
      <c r="P1394" s="35" t="s">
        <v>13</v>
      </c>
      <c r="Q1394" s="35" t="s">
        <v>14</v>
      </c>
      <c r="R1394" s="35" t="s">
        <v>24</v>
      </c>
      <c r="S1394" s="35">
        <v>17985</v>
      </c>
      <c r="T1394" s="35">
        <v>322</v>
      </c>
      <c r="U1394" s="84">
        <v>17663</v>
      </c>
    </row>
    <row r="1395" spans="12:21">
      <c r="L1395" s="31">
        <v>100751</v>
      </c>
      <c r="M1395" s="35" t="s">
        <v>10</v>
      </c>
      <c r="N1395" s="32" t="s">
        <v>34</v>
      </c>
      <c r="O1395" s="32" t="s">
        <v>12</v>
      </c>
      <c r="P1395" s="32" t="s">
        <v>13</v>
      </c>
      <c r="Q1395" s="32" t="s">
        <v>14</v>
      </c>
      <c r="R1395" s="32" t="s">
        <v>15</v>
      </c>
      <c r="S1395" s="32">
        <v>82008</v>
      </c>
      <c r="T1395" s="32">
        <v>4438</v>
      </c>
      <c r="U1395" s="83">
        <v>77570</v>
      </c>
    </row>
    <row r="1396" spans="12:21">
      <c r="L1396" s="34">
        <v>183143</v>
      </c>
      <c r="M1396" s="35" t="s">
        <v>10</v>
      </c>
      <c r="N1396" s="35" t="s">
        <v>37</v>
      </c>
      <c r="O1396" s="35" t="s">
        <v>26</v>
      </c>
      <c r="P1396" s="35" t="s">
        <v>13</v>
      </c>
      <c r="Q1396" s="35" t="s">
        <v>14</v>
      </c>
      <c r="R1396" s="35" t="s">
        <v>24</v>
      </c>
      <c r="S1396" s="35">
        <v>55127</v>
      </c>
      <c r="T1396" s="35">
        <v>1275</v>
      </c>
      <c r="U1396" s="84">
        <v>53852</v>
      </c>
    </row>
    <row r="1397" spans="12:21">
      <c r="L1397" s="31">
        <v>48704</v>
      </c>
      <c r="M1397" s="35" t="s">
        <v>10</v>
      </c>
      <c r="N1397" s="32" t="s">
        <v>27</v>
      </c>
      <c r="O1397" s="32" t="s">
        <v>30</v>
      </c>
      <c r="P1397" s="32" t="s">
        <v>13</v>
      </c>
      <c r="Q1397" s="32" t="s">
        <v>14</v>
      </c>
      <c r="R1397" s="32" t="s">
        <v>15</v>
      </c>
      <c r="S1397" s="32">
        <v>75992</v>
      </c>
      <c r="T1397" s="32">
        <v>615</v>
      </c>
      <c r="U1397" s="83">
        <v>75377</v>
      </c>
    </row>
    <row r="1398" spans="12:21">
      <c r="L1398" s="34">
        <v>10099</v>
      </c>
      <c r="M1398" s="35" t="s">
        <v>10</v>
      </c>
      <c r="N1398" s="35" t="s">
        <v>20</v>
      </c>
      <c r="O1398" s="35" t="s">
        <v>32</v>
      </c>
      <c r="P1398" s="35" t="s">
        <v>13</v>
      </c>
      <c r="Q1398" s="35" t="s">
        <v>14</v>
      </c>
      <c r="R1398" s="35" t="s">
        <v>15</v>
      </c>
      <c r="S1398" s="35">
        <v>77602</v>
      </c>
      <c r="T1398" s="35">
        <v>0</v>
      </c>
      <c r="U1398" s="84">
        <v>77602</v>
      </c>
    </row>
    <row r="1399" spans="12:21">
      <c r="L1399" s="31">
        <v>74814</v>
      </c>
      <c r="M1399" s="35" t="s">
        <v>10</v>
      </c>
      <c r="N1399" s="32" t="s">
        <v>34</v>
      </c>
      <c r="O1399" s="32" t="s">
        <v>32</v>
      </c>
      <c r="P1399" s="32" t="s">
        <v>13</v>
      </c>
      <c r="Q1399" s="32" t="s">
        <v>14</v>
      </c>
      <c r="R1399" s="32" t="s">
        <v>24</v>
      </c>
      <c r="S1399" s="32">
        <v>22435</v>
      </c>
      <c r="T1399" s="32">
        <v>0</v>
      </c>
      <c r="U1399" s="83">
        <v>22435</v>
      </c>
    </row>
    <row r="1400" spans="12:21">
      <c r="L1400" s="34">
        <v>89712</v>
      </c>
      <c r="M1400" s="35" t="s">
        <v>10</v>
      </c>
      <c r="N1400" s="35" t="s">
        <v>38</v>
      </c>
      <c r="O1400" s="35" t="s">
        <v>32</v>
      </c>
      <c r="P1400" s="35" t="s">
        <v>13</v>
      </c>
      <c r="Q1400" s="35" t="s">
        <v>28</v>
      </c>
      <c r="R1400" s="35" t="s">
        <v>15</v>
      </c>
      <c r="S1400" s="35">
        <v>6544</v>
      </c>
      <c r="T1400" s="35">
        <v>11</v>
      </c>
      <c r="U1400" s="84">
        <v>6533</v>
      </c>
    </row>
    <row r="1401" spans="12:21">
      <c r="L1401" s="31">
        <v>93995</v>
      </c>
      <c r="M1401" s="35" t="s">
        <v>10</v>
      </c>
      <c r="N1401" s="32" t="s">
        <v>38</v>
      </c>
      <c r="O1401" s="32" t="s">
        <v>32</v>
      </c>
      <c r="P1401" s="32" t="s">
        <v>13</v>
      </c>
      <c r="Q1401" s="32" t="s">
        <v>14</v>
      </c>
      <c r="R1401" s="32" t="s">
        <v>24</v>
      </c>
      <c r="S1401" s="32">
        <v>25845</v>
      </c>
      <c r="T1401" s="32">
        <v>1975</v>
      </c>
      <c r="U1401" s="83">
        <v>23870</v>
      </c>
    </row>
    <row r="1402" spans="12:21">
      <c r="L1402" s="34">
        <v>139341</v>
      </c>
      <c r="M1402" s="35" t="s">
        <v>10</v>
      </c>
      <c r="N1402" s="35" t="s">
        <v>25</v>
      </c>
      <c r="O1402" s="35" t="s">
        <v>36</v>
      </c>
      <c r="P1402" s="35" t="s">
        <v>19</v>
      </c>
      <c r="Q1402" s="35" t="s">
        <v>14</v>
      </c>
      <c r="R1402" s="35" t="s">
        <v>15</v>
      </c>
      <c r="S1402" s="35">
        <v>4002</v>
      </c>
      <c r="T1402" s="35">
        <v>0</v>
      </c>
      <c r="U1402" s="84">
        <v>4002</v>
      </c>
    </row>
    <row r="1403" spans="12:21">
      <c r="L1403" s="31">
        <v>202417</v>
      </c>
      <c r="M1403" s="35" t="s">
        <v>10</v>
      </c>
      <c r="N1403" s="32" t="s">
        <v>37</v>
      </c>
      <c r="O1403" s="32" t="s">
        <v>30</v>
      </c>
      <c r="P1403" s="32" t="s">
        <v>13</v>
      </c>
      <c r="Q1403" s="32" t="s">
        <v>14</v>
      </c>
      <c r="R1403" s="32" t="s">
        <v>15</v>
      </c>
      <c r="S1403" s="32">
        <v>54800</v>
      </c>
      <c r="T1403" s="32">
        <v>4226</v>
      </c>
      <c r="U1403" s="83">
        <v>50574</v>
      </c>
    </row>
    <row r="1404" spans="12:21">
      <c r="L1404" s="34">
        <v>232392</v>
      </c>
      <c r="M1404" s="35" t="s">
        <v>10</v>
      </c>
      <c r="N1404" s="35" t="s">
        <v>17</v>
      </c>
      <c r="O1404" s="35" t="s">
        <v>18</v>
      </c>
      <c r="P1404" s="35" t="s">
        <v>19</v>
      </c>
      <c r="Q1404" s="35" t="s">
        <v>14</v>
      </c>
      <c r="R1404" s="35" t="s">
        <v>24</v>
      </c>
      <c r="S1404" s="35">
        <v>25379</v>
      </c>
      <c r="T1404" s="35">
        <v>249</v>
      </c>
      <c r="U1404" s="84">
        <v>25130</v>
      </c>
    </row>
    <row r="1405" spans="12:21">
      <c r="L1405" s="31">
        <v>251085</v>
      </c>
      <c r="M1405" s="35" t="s">
        <v>10</v>
      </c>
      <c r="N1405" s="32" t="s">
        <v>39</v>
      </c>
      <c r="O1405" s="32" t="s">
        <v>21</v>
      </c>
      <c r="P1405" s="32" t="s">
        <v>13</v>
      </c>
      <c r="Q1405" s="32" t="s">
        <v>14</v>
      </c>
      <c r="R1405" s="32" t="s">
        <v>15</v>
      </c>
      <c r="S1405" s="32">
        <v>12899</v>
      </c>
      <c r="T1405" s="32">
        <v>0</v>
      </c>
      <c r="U1405" s="83">
        <v>12899</v>
      </c>
    </row>
    <row r="1406" spans="12:21">
      <c r="L1406" s="34">
        <v>7293</v>
      </c>
      <c r="M1406" s="35" t="s">
        <v>10</v>
      </c>
      <c r="N1406" s="35" t="s">
        <v>37</v>
      </c>
      <c r="O1406" s="35" t="s">
        <v>12</v>
      </c>
      <c r="P1406" s="35" t="s">
        <v>13</v>
      </c>
      <c r="Q1406" s="35" t="s">
        <v>14</v>
      </c>
      <c r="R1406" s="35" t="s">
        <v>15</v>
      </c>
      <c r="S1406" s="35">
        <v>308104</v>
      </c>
      <c r="T1406" s="35">
        <v>1083</v>
      </c>
      <c r="U1406" s="84">
        <v>307021</v>
      </c>
    </row>
    <row r="1407" spans="12:21">
      <c r="L1407" s="31">
        <v>133874</v>
      </c>
      <c r="M1407" s="35" t="s">
        <v>10</v>
      </c>
      <c r="N1407" s="32" t="s">
        <v>25</v>
      </c>
      <c r="O1407" s="32" t="s">
        <v>21</v>
      </c>
      <c r="P1407" s="32" t="s">
        <v>19</v>
      </c>
      <c r="Q1407" s="32" t="s">
        <v>28</v>
      </c>
      <c r="R1407" s="32" t="s">
        <v>24</v>
      </c>
      <c r="S1407" s="32">
        <v>4796</v>
      </c>
      <c r="T1407" s="32">
        <v>0</v>
      </c>
      <c r="U1407" s="83">
        <v>4796</v>
      </c>
    </row>
    <row r="1408" spans="12:21">
      <c r="L1408" s="34">
        <v>98414</v>
      </c>
      <c r="M1408" s="35" t="s">
        <v>10</v>
      </c>
      <c r="N1408" s="35" t="s">
        <v>34</v>
      </c>
      <c r="O1408" s="35" t="s">
        <v>32</v>
      </c>
      <c r="P1408" s="35" t="s">
        <v>13</v>
      </c>
      <c r="Q1408" s="35" t="s">
        <v>14</v>
      </c>
      <c r="R1408" s="35" t="s">
        <v>15</v>
      </c>
      <c r="S1408" s="35">
        <v>141894</v>
      </c>
      <c r="T1408" s="35">
        <v>3784</v>
      </c>
      <c r="U1408" s="84">
        <v>138110</v>
      </c>
    </row>
    <row r="1409" spans="12:21">
      <c r="L1409" s="31">
        <v>258399</v>
      </c>
      <c r="M1409" s="35" t="s">
        <v>10</v>
      </c>
      <c r="N1409" s="32" t="s">
        <v>17</v>
      </c>
      <c r="O1409" s="32" t="s">
        <v>23</v>
      </c>
      <c r="P1409" s="32" t="s">
        <v>19</v>
      </c>
      <c r="Q1409" s="32" t="s">
        <v>14</v>
      </c>
      <c r="R1409" s="32" t="s">
        <v>24</v>
      </c>
      <c r="S1409" s="32">
        <v>40195</v>
      </c>
      <c r="T1409" s="32">
        <v>4424</v>
      </c>
      <c r="U1409" s="83">
        <v>35771</v>
      </c>
    </row>
    <row r="1410" spans="12:21">
      <c r="L1410" s="34">
        <v>19953</v>
      </c>
      <c r="M1410" s="35" t="s">
        <v>10</v>
      </c>
      <c r="N1410" s="35" t="s">
        <v>11</v>
      </c>
      <c r="O1410" s="35" t="s">
        <v>12</v>
      </c>
      <c r="P1410" s="35" t="s">
        <v>13</v>
      </c>
      <c r="Q1410" s="35" t="s">
        <v>14</v>
      </c>
      <c r="R1410" s="35" t="s">
        <v>15</v>
      </c>
      <c r="S1410" s="35">
        <v>64028</v>
      </c>
      <c r="T1410" s="35">
        <v>1640</v>
      </c>
      <c r="U1410" s="84">
        <v>62388</v>
      </c>
    </row>
    <row r="1411" spans="12:21">
      <c r="L1411" s="31">
        <v>134335</v>
      </c>
      <c r="M1411" s="35" t="s">
        <v>10</v>
      </c>
      <c r="N1411" s="32" t="s">
        <v>25</v>
      </c>
      <c r="O1411" s="32" t="s">
        <v>32</v>
      </c>
      <c r="P1411" s="32" t="s">
        <v>13</v>
      </c>
      <c r="Q1411" s="32" t="s">
        <v>14</v>
      </c>
      <c r="R1411" s="32" t="s">
        <v>24</v>
      </c>
      <c r="S1411" s="32">
        <v>21963</v>
      </c>
      <c r="T1411" s="32">
        <v>0</v>
      </c>
      <c r="U1411" s="83">
        <v>21963</v>
      </c>
    </row>
    <row r="1412" spans="12:21">
      <c r="L1412" s="34">
        <v>106589</v>
      </c>
      <c r="M1412" s="35" t="s">
        <v>10</v>
      </c>
      <c r="N1412" s="35" t="s">
        <v>25</v>
      </c>
      <c r="O1412" s="35" t="s">
        <v>26</v>
      </c>
      <c r="P1412" s="35" t="s">
        <v>19</v>
      </c>
      <c r="Q1412" s="35" t="s">
        <v>14</v>
      </c>
      <c r="R1412" s="35" t="s">
        <v>24</v>
      </c>
      <c r="S1412" s="35">
        <v>93019</v>
      </c>
      <c r="T1412" s="35">
        <v>19172</v>
      </c>
      <c r="U1412" s="84">
        <v>73847</v>
      </c>
    </row>
    <row r="1413" spans="12:21">
      <c r="L1413" s="31">
        <v>29893</v>
      </c>
      <c r="M1413" s="35" t="s">
        <v>10</v>
      </c>
      <c r="N1413" s="32" t="s">
        <v>11</v>
      </c>
      <c r="O1413" s="32" t="s">
        <v>29</v>
      </c>
      <c r="P1413" s="32" t="s">
        <v>13</v>
      </c>
      <c r="Q1413" s="32" t="s">
        <v>14</v>
      </c>
      <c r="R1413" s="32" t="s">
        <v>24</v>
      </c>
      <c r="S1413" s="32">
        <v>37850</v>
      </c>
      <c r="T1413" s="32">
        <v>285</v>
      </c>
      <c r="U1413" s="83">
        <v>37565</v>
      </c>
    </row>
    <row r="1414" spans="12:21">
      <c r="L1414" s="34">
        <v>245623</v>
      </c>
      <c r="M1414" s="35" t="s">
        <v>10</v>
      </c>
      <c r="N1414" s="35" t="s">
        <v>17</v>
      </c>
      <c r="O1414" s="35" t="s">
        <v>29</v>
      </c>
      <c r="P1414" s="35" t="s">
        <v>19</v>
      </c>
      <c r="Q1414" s="35" t="s">
        <v>28</v>
      </c>
      <c r="R1414" s="35" t="s">
        <v>15</v>
      </c>
      <c r="S1414" s="35">
        <v>28095</v>
      </c>
      <c r="T1414" s="35">
        <v>245</v>
      </c>
      <c r="U1414" s="84">
        <v>27850</v>
      </c>
    </row>
    <row r="1415" spans="12:21">
      <c r="L1415" s="31">
        <v>140007</v>
      </c>
      <c r="M1415" s="35" t="s">
        <v>10</v>
      </c>
      <c r="N1415" s="32" t="s">
        <v>17</v>
      </c>
      <c r="O1415" s="32" t="s">
        <v>18</v>
      </c>
      <c r="P1415" s="32" t="s">
        <v>19</v>
      </c>
      <c r="Q1415" s="32" t="s">
        <v>14</v>
      </c>
      <c r="R1415" s="32" t="s">
        <v>15</v>
      </c>
      <c r="S1415" s="32">
        <v>5530</v>
      </c>
      <c r="T1415" s="32">
        <v>92</v>
      </c>
      <c r="U1415" s="83">
        <v>5438</v>
      </c>
    </row>
    <row r="1416" spans="12:21">
      <c r="L1416" s="34">
        <v>28655</v>
      </c>
      <c r="M1416" s="35" t="s">
        <v>10</v>
      </c>
      <c r="N1416" s="35" t="s">
        <v>35</v>
      </c>
      <c r="O1416" s="35" t="s">
        <v>23</v>
      </c>
      <c r="P1416" s="35" t="s">
        <v>13</v>
      </c>
      <c r="Q1416" s="35" t="s">
        <v>28</v>
      </c>
      <c r="R1416" s="35" t="s">
        <v>24</v>
      </c>
      <c r="S1416" s="35">
        <v>93232</v>
      </c>
      <c r="T1416" s="35">
        <v>164</v>
      </c>
      <c r="U1416" s="84">
        <v>93068</v>
      </c>
    </row>
    <row r="1417" spans="12:21">
      <c r="L1417" s="31">
        <v>188556</v>
      </c>
      <c r="M1417" s="35" t="s">
        <v>10</v>
      </c>
      <c r="N1417" s="32" t="s">
        <v>20</v>
      </c>
      <c r="O1417" s="32" t="s">
        <v>32</v>
      </c>
      <c r="P1417" s="32" t="s">
        <v>13</v>
      </c>
      <c r="Q1417" s="32" t="s">
        <v>14</v>
      </c>
      <c r="R1417" s="32" t="s">
        <v>15</v>
      </c>
      <c r="S1417" s="32">
        <v>47299</v>
      </c>
      <c r="T1417" s="32">
        <v>290</v>
      </c>
      <c r="U1417" s="83">
        <v>47009</v>
      </c>
    </row>
    <row r="1418" spans="12:21">
      <c r="L1418" s="34">
        <v>35784</v>
      </c>
      <c r="M1418" s="35" t="s">
        <v>10</v>
      </c>
      <c r="N1418" s="35" t="s">
        <v>35</v>
      </c>
      <c r="O1418" s="35" t="s">
        <v>26</v>
      </c>
      <c r="P1418" s="35" t="s">
        <v>13</v>
      </c>
      <c r="Q1418" s="35" t="s">
        <v>28</v>
      </c>
      <c r="R1418" s="35" t="s">
        <v>15</v>
      </c>
      <c r="S1418" s="35">
        <v>122128</v>
      </c>
      <c r="T1418" s="35">
        <v>5831</v>
      </c>
      <c r="U1418" s="84">
        <v>116297</v>
      </c>
    </row>
    <row r="1419" spans="12:21">
      <c r="L1419" s="31">
        <v>80318</v>
      </c>
      <c r="M1419" s="35" t="s">
        <v>10</v>
      </c>
      <c r="N1419" s="32" t="s">
        <v>37</v>
      </c>
      <c r="O1419" s="32" t="s">
        <v>29</v>
      </c>
      <c r="P1419" s="32" t="s">
        <v>13</v>
      </c>
      <c r="Q1419" s="32" t="s">
        <v>14</v>
      </c>
      <c r="R1419" s="32" t="s">
        <v>24</v>
      </c>
      <c r="S1419" s="32">
        <v>22998</v>
      </c>
      <c r="T1419" s="32">
        <v>198</v>
      </c>
      <c r="U1419" s="83">
        <v>22800</v>
      </c>
    </row>
    <row r="1420" spans="12:21">
      <c r="L1420" s="34">
        <v>238848</v>
      </c>
      <c r="M1420" s="35" t="s">
        <v>10</v>
      </c>
      <c r="N1420" s="35" t="s">
        <v>34</v>
      </c>
      <c r="O1420" s="35" t="s">
        <v>32</v>
      </c>
      <c r="P1420" s="35" t="s">
        <v>13</v>
      </c>
      <c r="Q1420" s="35" t="s">
        <v>14</v>
      </c>
      <c r="R1420" s="35" t="s">
        <v>24</v>
      </c>
      <c r="S1420" s="35">
        <v>19903</v>
      </c>
      <c r="T1420" s="35">
        <v>0</v>
      </c>
      <c r="U1420" s="84">
        <v>19903</v>
      </c>
    </row>
    <row r="1421" spans="12:21">
      <c r="L1421" s="31">
        <v>93717</v>
      </c>
      <c r="M1421" s="35" t="s">
        <v>10</v>
      </c>
      <c r="N1421" s="32" t="s">
        <v>20</v>
      </c>
      <c r="O1421" s="32" t="s">
        <v>32</v>
      </c>
      <c r="P1421" s="32" t="s">
        <v>19</v>
      </c>
      <c r="Q1421" s="32" t="s">
        <v>14</v>
      </c>
      <c r="R1421" s="32" t="s">
        <v>15</v>
      </c>
      <c r="S1421" s="32">
        <v>38850</v>
      </c>
      <c r="T1421" s="32">
        <v>96</v>
      </c>
      <c r="U1421" s="83">
        <v>38754</v>
      </c>
    </row>
    <row r="1422" spans="12:21">
      <c r="L1422" s="34">
        <v>91493</v>
      </c>
      <c r="M1422" s="35" t="s">
        <v>10</v>
      </c>
      <c r="N1422" s="35" t="s">
        <v>20</v>
      </c>
      <c r="O1422" s="35" t="s">
        <v>32</v>
      </c>
      <c r="P1422" s="35" t="s">
        <v>13</v>
      </c>
      <c r="Q1422" s="35" t="s">
        <v>14</v>
      </c>
      <c r="R1422" s="35" t="s">
        <v>15</v>
      </c>
      <c r="S1422" s="35">
        <v>7049</v>
      </c>
      <c r="T1422" s="35">
        <v>0</v>
      </c>
      <c r="U1422" s="84">
        <v>7049</v>
      </c>
    </row>
    <row r="1423" spans="12:21">
      <c r="L1423" s="31">
        <v>217116</v>
      </c>
      <c r="M1423" s="35" t="s">
        <v>10</v>
      </c>
      <c r="N1423" s="32" t="s">
        <v>11</v>
      </c>
      <c r="O1423" s="32" t="s">
        <v>32</v>
      </c>
      <c r="P1423" s="32" t="s">
        <v>13</v>
      </c>
      <c r="Q1423" s="32" t="s">
        <v>28</v>
      </c>
      <c r="R1423" s="32" t="s">
        <v>24</v>
      </c>
      <c r="S1423" s="32">
        <v>44100</v>
      </c>
      <c r="T1423" s="32">
        <v>10790</v>
      </c>
      <c r="U1423" s="83">
        <v>33310</v>
      </c>
    </row>
    <row r="1424" spans="12:21">
      <c r="L1424" s="34">
        <v>216647</v>
      </c>
      <c r="M1424" s="35" t="s">
        <v>10</v>
      </c>
      <c r="N1424" s="35" t="s">
        <v>34</v>
      </c>
      <c r="O1424" s="35" t="s">
        <v>12</v>
      </c>
      <c r="P1424" s="35" t="s">
        <v>19</v>
      </c>
      <c r="Q1424" s="35" t="s">
        <v>28</v>
      </c>
      <c r="R1424" s="35" t="s">
        <v>24</v>
      </c>
      <c r="S1424" s="35">
        <v>42736</v>
      </c>
      <c r="T1424" s="35">
        <v>175</v>
      </c>
      <c r="U1424" s="84">
        <v>42561</v>
      </c>
    </row>
    <row r="1425" spans="12:21">
      <c r="L1425" s="31">
        <v>29100</v>
      </c>
      <c r="M1425" s="35" t="s">
        <v>10</v>
      </c>
      <c r="N1425" s="32" t="s">
        <v>35</v>
      </c>
      <c r="O1425" s="32" t="s">
        <v>33</v>
      </c>
      <c r="P1425" s="32" t="s">
        <v>13</v>
      </c>
      <c r="Q1425" s="32" t="s">
        <v>14</v>
      </c>
      <c r="R1425" s="32" t="s">
        <v>15</v>
      </c>
      <c r="S1425" s="32">
        <v>57252</v>
      </c>
      <c r="T1425" s="32">
        <v>7765</v>
      </c>
      <c r="U1425" s="83">
        <v>49487</v>
      </c>
    </row>
    <row r="1426" spans="12:21">
      <c r="L1426" s="34">
        <v>102880</v>
      </c>
      <c r="M1426" s="35" t="s">
        <v>10</v>
      </c>
      <c r="N1426" s="35" t="s">
        <v>11</v>
      </c>
      <c r="O1426" s="35" t="s">
        <v>30</v>
      </c>
      <c r="P1426" s="35" t="s">
        <v>13</v>
      </c>
      <c r="Q1426" s="35" t="s">
        <v>14</v>
      </c>
      <c r="R1426" s="35" t="s">
        <v>15</v>
      </c>
      <c r="S1426" s="35">
        <v>320023</v>
      </c>
      <c r="T1426" s="35">
        <v>11775</v>
      </c>
      <c r="U1426" s="84">
        <v>308248</v>
      </c>
    </row>
    <row r="1427" spans="12:21">
      <c r="L1427" s="31">
        <v>24654</v>
      </c>
      <c r="M1427" s="35" t="s">
        <v>10</v>
      </c>
      <c r="N1427" s="32" t="s">
        <v>11</v>
      </c>
      <c r="O1427" s="32" t="s">
        <v>23</v>
      </c>
      <c r="P1427" s="32" t="s">
        <v>19</v>
      </c>
      <c r="Q1427" s="32" t="s">
        <v>14</v>
      </c>
      <c r="R1427" s="32" t="s">
        <v>24</v>
      </c>
      <c r="S1427" s="32">
        <v>82447</v>
      </c>
      <c r="T1427" s="32">
        <v>5248</v>
      </c>
      <c r="U1427" s="83">
        <v>77199</v>
      </c>
    </row>
    <row r="1428" spans="12:21">
      <c r="L1428" s="34">
        <v>198016</v>
      </c>
      <c r="M1428" s="35" t="s">
        <v>10</v>
      </c>
      <c r="N1428" s="35" t="s">
        <v>38</v>
      </c>
      <c r="O1428" s="35" t="s">
        <v>32</v>
      </c>
      <c r="P1428" s="35" t="s">
        <v>19</v>
      </c>
      <c r="Q1428" s="35" t="s">
        <v>14</v>
      </c>
      <c r="R1428" s="35" t="s">
        <v>15</v>
      </c>
      <c r="S1428" s="35">
        <v>52726</v>
      </c>
      <c r="T1428" s="35">
        <v>8</v>
      </c>
      <c r="U1428" s="84">
        <v>52718</v>
      </c>
    </row>
    <row r="1429" spans="12:21">
      <c r="L1429" s="31">
        <v>53102</v>
      </c>
      <c r="M1429" s="35" t="s">
        <v>10</v>
      </c>
      <c r="N1429" s="32" t="s">
        <v>35</v>
      </c>
      <c r="O1429" s="32" t="s">
        <v>32</v>
      </c>
      <c r="P1429" s="32" t="s">
        <v>13</v>
      </c>
      <c r="Q1429" s="32" t="s">
        <v>14</v>
      </c>
      <c r="R1429" s="32" t="s">
        <v>15</v>
      </c>
      <c r="S1429" s="32">
        <v>64882</v>
      </c>
      <c r="T1429" s="32">
        <v>2008</v>
      </c>
      <c r="U1429" s="83">
        <v>62874</v>
      </c>
    </row>
    <row r="1430" spans="12:21">
      <c r="L1430" s="34">
        <v>124298</v>
      </c>
      <c r="M1430" s="35" t="s">
        <v>10</v>
      </c>
      <c r="N1430" s="35" t="s">
        <v>25</v>
      </c>
      <c r="O1430" s="35" t="s">
        <v>23</v>
      </c>
      <c r="P1430" s="35" t="s">
        <v>13</v>
      </c>
      <c r="Q1430" s="35" t="s">
        <v>28</v>
      </c>
      <c r="R1430" s="35" t="s">
        <v>15</v>
      </c>
      <c r="S1430" s="35">
        <v>126758</v>
      </c>
      <c r="T1430" s="35">
        <v>6567</v>
      </c>
      <c r="U1430" s="84">
        <v>120191</v>
      </c>
    </row>
    <row r="1431" spans="12:21">
      <c r="L1431" s="31">
        <v>138401</v>
      </c>
      <c r="M1431" s="35" t="s">
        <v>10</v>
      </c>
      <c r="N1431" s="32" t="s">
        <v>25</v>
      </c>
      <c r="O1431" s="32" t="s">
        <v>12</v>
      </c>
      <c r="P1431" s="32" t="s">
        <v>19</v>
      </c>
      <c r="Q1431" s="32" t="s">
        <v>14</v>
      </c>
      <c r="R1431" s="32" t="s">
        <v>24</v>
      </c>
      <c r="S1431" s="32">
        <v>61883</v>
      </c>
      <c r="T1431" s="32">
        <v>2491</v>
      </c>
      <c r="U1431" s="83">
        <v>59392</v>
      </c>
    </row>
    <row r="1432" spans="12:21">
      <c r="L1432" s="34">
        <v>257304</v>
      </c>
      <c r="M1432" s="35" t="s">
        <v>10</v>
      </c>
      <c r="N1432" s="35" t="s">
        <v>17</v>
      </c>
      <c r="O1432" s="35" t="s">
        <v>23</v>
      </c>
      <c r="P1432" s="35" t="s">
        <v>19</v>
      </c>
      <c r="Q1432" s="35" t="s">
        <v>14</v>
      </c>
      <c r="R1432" s="35" t="s">
        <v>24</v>
      </c>
      <c r="S1432" s="35">
        <v>108991</v>
      </c>
      <c r="T1432" s="35">
        <v>16430</v>
      </c>
      <c r="U1432" s="84">
        <v>92561</v>
      </c>
    </row>
    <row r="1433" spans="12:21">
      <c r="L1433" s="31">
        <v>7788</v>
      </c>
      <c r="M1433" s="35" t="s">
        <v>10</v>
      </c>
      <c r="N1433" s="32" t="s">
        <v>39</v>
      </c>
      <c r="O1433" s="32" t="s">
        <v>30</v>
      </c>
      <c r="P1433" s="32" t="s">
        <v>19</v>
      </c>
      <c r="Q1433" s="32" t="s">
        <v>14</v>
      </c>
      <c r="R1433" s="32" t="s">
        <v>15</v>
      </c>
      <c r="S1433" s="32">
        <v>116772</v>
      </c>
      <c r="T1433" s="32">
        <v>3507</v>
      </c>
      <c r="U1433" s="83">
        <v>113265</v>
      </c>
    </row>
    <row r="1434" spans="12:21">
      <c r="L1434" s="34">
        <v>193704</v>
      </c>
      <c r="M1434" s="35" t="s">
        <v>10</v>
      </c>
      <c r="N1434" s="35" t="s">
        <v>38</v>
      </c>
      <c r="O1434" s="35" t="s">
        <v>26</v>
      </c>
      <c r="P1434" s="35" t="s">
        <v>19</v>
      </c>
      <c r="Q1434" s="35" t="s">
        <v>14</v>
      </c>
      <c r="R1434" s="35" t="s">
        <v>24</v>
      </c>
      <c r="S1434" s="35">
        <v>35497</v>
      </c>
      <c r="T1434" s="35">
        <v>3720</v>
      </c>
      <c r="U1434" s="84">
        <v>31777</v>
      </c>
    </row>
    <row r="1435" spans="12:21">
      <c r="L1435" s="31">
        <v>79817</v>
      </c>
      <c r="M1435" s="35" t="s">
        <v>10</v>
      </c>
      <c r="N1435" s="32" t="s">
        <v>38</v>
      </c>
      <c r="O1435" s="32" t="s">
        <v>30</v>
      </c>
      <c r="P1435" s="32" t="s">
        <v>13</v>
      </c>
      <c r="Q1435" s="32" t="s">
        <v>14</v>
      </c>
      <c r="R1435" s="32" t="s">
        <v>24</v>
      </c>
      <c r="S1435" s="32">
        <v>34728</v>
      </c>
      <c r="T1435" s="32">
        <v>160</v>
      </c>
      <c r="U1435" s="83">
        <v>34568</v>
      </c>
    </row>
    <row r="1436" spans="12:21">
      <c r="L1436" s="34">
        <v>54297</v>
      </c>
      <c r="M1436" s="35" t="s">
        <v>10</v>
      </c>
      <c r="N1436" s="35" t="s">
        <v>35</v>
      </c>
      <c r="O1436" s="35" t="s">
        <v>36</v>
      </c>
      <c r="P1436" s="35" t="s">
        <v>13</v>
      </c>
      <c r="Q1436" s="35" t="s">
        <v>28</v>
      </c>
      <c r="R1436" s="35" t="s">
        <v>24</v>
      </c>
      <c r="S1436" s="35">
        <v>58264</v>
      </c>
      <c r="T1436" s="35">
        <v>2198</v>
      </c>
      <c r="U1436" s="84">
        <v>56066</v>
      </c>
    </row>
    <row r="1437" spans="12:21">
      <c r="L1437" s="31">
        <v>161943</v>
      </c>
      <c r="M1437" s="35" t="s">
        <v>10</v>
      </c>
      <c r="N1437" s="32" t="s">
        <v>25</v>
      </c>
      <c r="O1437" s="32" t="s">
        <v>21</v>
      </c>
      <c r="P1437" s="32" t="s">
        <v>19</v>
      </c>
      <c r="Q1437" s="32" t="s">
        <v>28</v>
      </c>
      <c r="R1437" s="32" t="s">
        <v>24</v>
      </c>
      <c r="S1437" s="32">
        <v>74208</v>
      </c>
      <c r="T1437" s="32">
        <v>7317</v>
      </c>
      <c r="U1437" s="83">
        <v>66891</v>
      </c>
    </row>
    <row r="1438" spans="12:21">
      <c r="L1438" s="34">
        <v>168241</v>
      </c>
      <c r="M1438" s="35" t="s">
        <v>10</v>
      </c>
      <c r="N1438" s="35" t="s">
        <v>22</v>
      </c>
      <c r="O1438" s="35" t="s">
        <v>23</v>
      </c>
      <c r="P1438" s="35" t="s">
        <v>19</v>
      </c>
      <c r="Q1438" s="35" t="s">
        <v>28</v>
      </c>
      <c r="R1438" s="35" t="s">
        <v>15</v>
      </c>
      <c r="S1438" s="35">
        <v>74546</v>
      </c>
      <c r="T1438" s="35">
        <v>7875</v>
      </c>
      <c r="U1438" s="84">
        <v>66671</v>
      </c>
    </row>
    <row r="1439" spans="12:21">
      <c r="L1439" s="31">
        <v>220425</v>
      </c>
      <c r="M1439" s="35" t="s">
        <v>10</v>
      </c>
      <c r="N1439" s="32" t="s">
        <v>25</v>
      </c>
      <c r="O1439" s="32" t="s">
        <v>29</v>
      </c>
      <c r="P1439" s="32" t="s">
        <v>19</v>
      </c>
      <c r="Q1439" s="32" t="s">
        <v>14</v>
      </c>
      <c r="R1439" s="32" t="s">
        <v>15</v>
      </c>
      <c r="S1439" s="32">
        <v>106253</v>
      </c>
      <c r="T1439" s="32">
        <v>17088</v>
      </c>
      <c r="U1439" s="83">
        <v>89165</v>
      </c>
    </row>
    <row r="1440" spans="12:21">
      <c r="L1440" s="34">
        <v>96183</v>
      </c>
      <c r="M1440" s="35" t="s">
        <v>10</v>
      </c>
      <c r="N1440" s="35" t="s">
        <v>37</v>
      </c>
      <c r="O1440" s="35" t="s">
        <v>32</v>
      </c>
      <c r="P1440" s="35" t="s">
        <v>13</v>
      </c>
      <c r="Q1440" s="35" t="s">
        <v>14</v>
      </c>
      <c r="R1440" s="35" t="s">
        <v>15</v>
      </c>
      <c r="S1440" s="35">
        <v>9505</v>
      </c>
      <c r="T1440" s="35">
        <v>0</v>
      </c>
      <c r="U1440" s="84">
        <v>9505</v>
      </c>
    </row>
    <row r="1441" spans="12:21">
      <c r="L1441" s="31">
        <v>80578</v>
      </c>
      <c r="M1441" s="35" t="s">
        <v>10</v>
      </c>
      <c r="N1441" s="32" t="s">
        <v>38</v>
      </c>
      <c r="O1441" s="32" t="s">
        <v>30</v>
      </c>
      <c r="P1441" s="32" t="s">
        <v>13</v>
      </c>
      <c r="Q1441" s="32" t="s">
        <v>28</v>
      </c>
      <c r="R1441" s="32" t="s">
        <v>15</v>
      </c>
      <c r="S1441" s="32">
        <v>22652</v>
      </c>
      <c r="T1441" s="32">
        <v>0</v>
      </c>
      <c r="U1441" s="83">
        <v>22652</v>
      </c>
    </row>
    <row r="1442" spans="12:21">
      <c r="L1442" s="34">
        <v>217415</v>
      </c>
      <c r="M1442" s="35" t="s">
        <v>10</v>
      </c>
      <c r="N1442" s="35" t="s">
        <v>20</v>
      </c>
      <c r="O1442" s="35" t="s">
        <v>21</v>
      </c>
      <c r="P1442" s="35" t="s">
        <v>19</v>
      </c>
      <c r="Q1442" s="35" t="s">
        <v>28</v>
      </c>
      <c r="R1442" s="35" t="s">
        <v>15</v>
      </c>
      <c r="S1442" s="35">
        <v>34612</v>
      </c>
      <c r="T1442" s="35">
        <v>0</v>
      </c>
      <c r="U1442" s="84">
        <v>34612</v>
      </c>
    </row>
    <row r="1443" spans="12:21">
      <c r="L1443" s="31">
        <v>242852</v>
      </c>
      <c r="M1443" s="35" t="s">
        <v>10</v>
      </c>
      <c r="N1443" s="32" t="s">
        <v>17</v>
      </c>
      <c r="O1443" s="32" t="s">
        <v>33</v>
      </c>
      <c r="P1443" s="32" t="s">
        <v>19</v>
      </c>
      <c r="Q1443" s="32" t="s">
        <v>28</v>
      </c>
      <c r="R1443" s="32" t="s">
        <v>15</v>
      </c>
      <c r="S1443" s="32">
        <v>39485</v>
      </c>
      <c r="T1443" s="32">
        <v>115</v>
      </c>
      <c r="U1443" s="83">
        <v>39370</v>
      </c>
    </row>
    <row r="1444" spans="12:21">
      <c r="L1444" s="34">
        <v>87257</v>
      </c>
      <c r="M1444" s="35" t="s">
        <v>10</v>
      </c>
      <c r="N1444" s="35" t="s">
        <v>20</v>
      </c>
      <c r="O1444" s="35" t="s">
        <v>32</v>
      </c>
      <c r="P1444" s="35" t="s">
        <v>13</v>
      </c>
      <c r="Q1444" s="35" t="s">
        <v>14</v>
      </c>
      <c r="R1444" s="35" t="s">
        <v>15</v>
      </c>
      <c r="S1444" s="35">
        <v>11072</v>
      </c>
      <c r="T1444" s="35">
        <v>2392</v>
      </c>
      <c r="U1444" s="84">
        <v>8680</v>
      </c>
    </row>
    <row r="1445" spans="12:21">
      <c r="L1445" s="31">
        <v>17403</v>
      </c>
      <c r="M1445" s="35" t="s">
        <v>10</v>
      </c>
      <c r="N1445" s="32" t="s">
        <v>34</v>
      </c>
      <c r="O1445" s="32" t="s">
        <v>23</v>
      </c>
      <c r="P1445" s="32" t="s">
        <v>13</v>
      </c>
      <c r="Q1445" s="32" t="s">
        <v>14</v>
      </c>
      <c r="R1445" s="32" t="s">
        <v>15</v>
      </c>
      <c r="S1445" s="32">
        <v>75600</v>
      </c>
      <c r="T1445" s="32">
        <v>4665</v>
      </c>
      <c r="U1445" s="83">
        <v>70935</v>
      </c>
    </row>
    <row r="1446" spans="12:21">
      <c r="L1446" s="34">
        <v>29307</v>
      </c>
      <c r="M1446" s="35" t="s">
        <v>10</v>
      </c>
      <c r="N1446" s="35" t="s">
        <v>34</v>
      </c>
      <c r="O1446" s="35" t="s">
        <v>23</v>
      </c>
      <c r="P1446" s="35" t="s">
        <v>13</v>
      </c>
      <c r="Q1446" s="35" t="s">
        <v>28</v>
      </c>
      <c r="R1446" s="35" t="s">
        <v>24</v>
      </c>
      <c r="S1446" s="35">
        <v>127940</v>
      </c>
      <c r="T1446" s="35">
        <v>1077</v>
      </c>
      <c r="U1446" s="84">
        <v>126863</v>
      </c>
    </row>
    <row r="1447" spans="12:21">
      <c r="L1447" s="31">
        <v>7174</v>
      </c>
      <c r="M1447" s="35" t="s">
        <v>10</v>
      </c>
      <c r="N1447" s="32" t="s">
        <v>39</v>
      </c>
      <c r="O1447" s="32" t="s">
        <v>32</v>
      </c>
      <c r="P1447" s="32" t="s">
        <v>13</v>
      </c>
      <c r="Q1447" s="32" t="s">
        <v>14</v>
      </c>
      <c r="R1447" s="32" t="s">
        <v>15</v>
      </c>
      <c r="S1447" s="32">
        <v>377234</v>
      </c>
      <c r="T1447" s="32">
        <v>28082</v>
      </c>
      <c r="U1447" s="83">
        <v>349152</v>
      </c>
    </row>
    <row r="1448" spans="12:21">
      <c r="L1448" s="34">
        <v>247546</v>
      </c>
      <c r="M1448" s="35" t="s">
        <v>10</v>
      </c>
      <c r="N1448" s="35" t="s">
        <v>25</v>
      </c>
      <c r="O1448" s="35" t="s">
        <v>33</v>
      </c>
      <c r="P1448" s="35" t="s">
        <v>19</v>
      </c>
      <c r="Q1448" s="35" t="s">
        <v>14</v>
      </c>
      <c r="R1448" s="35" t="s">
        <v>24</v>
      </c>
      <c r="S1448" s="35">
        <v>54022</v>
      </c>
      <c r="T1448" s="35">
        <v>759</v>
      </c>
      <c r="U1448" s="84">
        <v>53263</v>
      </c>
    </row>
    <row r="1449" spans="12:21">
      <c r="L1449" s="31">
        <v>220521</v>
      </c>
      <c r="M1449" s="35" t="s">
        <v>10</v>
      </c>
      <c r="N1449" s="32" t="s">
        <v>25</v>
      </c>
      <c r="O1449" s="32" t="s">
        <v>23</v>
      </c>
      <c r="P1449" s="32" t="s">
        <v>19</v>
      </c>
      <c r="Q1449" s="32" t="s">
        <v>14</v>
      </c>
      <c r="R1449" s="32" t="s">
        <v>24</v>
      </c>
      <c r="S1449" s="32">
        <v>50305</v>
      </c>
      <c r="T1449" s="32">
        <v>324</v>
      </c>
      <c r="U1449" s="83">
        <v>49981</v>
      </c>
    </row>
    <row r="1450" spans="12:21">
      <c r="L1450" s="34">
        <v>253861</v>
      </c>
      <c r="M1450" s="35" t="s">
        <v>10</v>
      </c>
      <c r="N1450" s="35" t="s">
        <v>17</v>
      </c>
      <c r="O1450" s="35" t="s">
        <v>32</v>
      </c>
      <c r="P1450" s="35" t="s">
        <v>19</v>
      </c>
      <c r="Q1450" s="35" t="s">
        <v>14</v>
      </c>
      <c r="R1450" s="35" t="s">
        <v>24</v>
      </c>
      <c r="S1450" s="35">
        <v>88866</v>
      </c>
      <c r="T1450" s="35">
        <v>0</v>
      </c>
      <c r="U1450" s="84">
        <v>88866</v>
      </c>
    </row>
    <row r="1451" spans="12:21">
      <c r="L1451" s="31">
        <v>48508</v>
      </c>
      <c r="M1451" s="35" t="s">
        <v>10</v>
      </c>
      <c r="N1451" s="32" t="s">
        <v>34</v>
      </c>
      <c r="O1451" s="32" t="s">
        <v>32</v>
      </c>
      <c r="P1451" s="32" t="s">
        <v>19</v>
      </c>
      <c r="Q1451" s="32" t="s">
        <v>14</v>
      </c>
      <c r="R1451" s="32" t="s">
        <v>15</v>
      </c>
      <c r="S1451" s="32">
        <v>11944</v>
      </c>
      <c r="T1451" s="32">
        <v>0</v>
      </c>
      <c r="U1451" s="83">
        <v>11944</v>
      </c>
    </row>
    <row r="1452" spans="12:21">
      <c r="L1452" s="34">
        <v>135993</v>
      </c>
      <c r="M1452" s="35" t="s">
        <v>10</v>
      </c>
      <c r="N1452" s="35" t="s">
        <v>22</v>
      </c>
      <c r="O1452" s="35" t="s">
        <v>26</v>
      </c>
      <c r="P1452" s="35" t="s">
        <v>13</v>
      </c>
      <c r="Q1452" s="35" t="s">
        <v>28</v>
      </c>
      <c r="R1452" s="35" t="s">
        <v>24</v>
      </c>
      <c r="S1452" s="35">
        <v>39774</v>
      </c>
      <c r="T1452" s="35">
        <v>319</v>
      </c>
      <c r="U1452" s="84">
        <v>39455</v>
      </c>
    </row>
    <row r="1453" spans="12:21">
      <c r="L1453" s="31">
        <v>208478</v>
      </c>
      <c r="M1453" s="35" t="s">
        <v>10</v>
      </c>
      <c r="N1453" s="32" t="s">
        <v>39</v>
      </c>
      <c r="O1453" s="32" t="s">
        <v>32</v>
      </c>
      <c r="P1453" s="32" t="s">
        <v>19</v>
      </c>
      <c r="Q1453" s="32" t="s">
        <v>14</v>
      </c>
      <c r="R1453" s="32" t="s">
        <v>24</v>
      </c>
      <c r="S1453" s="32">
        <v>5395</v>
      </c>
      <c r="T1453" s="32">
        <v>0</v>
      </c>
      <c r="U1453" s="83">
        <v>5395</v>
      </c>
    </row>
    <row r="1454" spans="12:21">
      <c r="L1454" s="34">
        <v>105776</v>
      </c>
      <c r="M1454" s="35" t="s">
        <v>10</v>
      </c>
      <c r="N1454" s="35" t="s">
        <v>22</v>
      </c>
      <c r="O1454" s="35" t="s">
        <v>30</v>
      </c>
      <c r="P1454" s="35" t="s">
        <v>13</v>
      </c>
      <c r="Q1454" s="35" t="s">
        <v>28</v>
      </c>
      <c r="R1454" s="35" t="s">
        <v>15</v>
      </c>
      <c r="S1454" s="35">
        <v>113383</v>
      </c>
      <c r="T1454" s="35">
        <v>1040</v>
      </c>
      <c r="U1454" s="84">
        <v>112343</v>
      </c>
    </row>
    <row r="1455" spans="12:21">
      <c r="L1455" s="31">
        <v>46000</v>
      </c>
      <c r="M1455" s="35" t="s">
        <v>10</v>
      </c>
      <c r="N1455" s="32" t="s">
        <v>35</v>
      </c>
      <c r="O1455" s="32" t="s">
        <v>30</v>
      </c>
      <c r="P1455" s="32" t="s">
        <v>19</v>
      </c>
      <c r="Q1455" s="32" t="s">
        <v>14</v>
      </c>
      <c r="R1455" s="32" t="s">
        <v>24</v>
      </c>
      <c r="S1455" s="32">
        <v>41182</v>
      </c>
      <c r="T1455" s="32">
        <v>759</v>
      </c>
      <c r="U1455" s="83">
        <v>40423</v>
      </c>
    </row>
    <row r="1456" spans="12:21">
      <c r="L1456" s="34">
        <v>97435</v>
      </c>
      <c r="M1456" s="35" t="s">
        <v>10</v>
      </c>
      <c r="N1456" s="35" t="s">
        <v>37</v>
      </c>
      <c r="O1456" s="35" t="s">
        <v>33</v>
      </c>
      <c r="P1456" s="35" t="s">
        <v>13</v>
      </c>
      <c r="Q1456" s="35" t="s">
        <v>14</v>
      </c>
      <c r="R1456" s="35" t="s">
        <v>15</v>
      </c>
      <c r="S1456" s="35">
        <v>91030</v>
      </c>
      <c r="T1456" s="35">
        <v>1700</v>
      </c>
      <c r="U1456" s="84">
        <v>89330</v>
      </c>
    </row>
    <row r="1457" spans="12:21">
      <c r="L1457" s="31">
        <v>69075</v>
      </c>
      <c r="M1457" s="35" t="s">
        <v>10</v>
      </c>
      <c r="N1457" s="32" t="s">
        <v>35</v>
      </c>
      <c r="O1457" s="32" t="s">
        <v>23</v>
      </c>
      <c r="P1457" s="32" t="s">
        <v>19</v>
      </c>
      <c r="Q1457" s="32" t="s">
        <v>14</v>
      </c>
      <c r="R1457" s="32" t="s">
        <v>24</v>
      </c>
      <c r="S1457" s="32">
        <v>68974</v>
      </c>
      <c r="T1457" s="32">
        <v>4178</v>
      </c>
      <c r="U1457" s="83">
        <v>64796</v>
      </c>
    </row>
    <row r="1458" spans="12:21">
      <c r="L1458" s="34">
        <v>123717</v>
      </c>
      <c r="M1458" s="35" t="s">
        <v>10</v>
      </c>
      <c r="N1458" s="35" t="s">
        <v>27</v>
      </c>
      <c r="O1458" s="35" t="s">
        <v>33</v>
      </c>
      <c r="P1458" s="35" t="s">
        <v>13</v>
      </c>
      <c r="Q1458" s="35" t="s">
        <v>14</v>
      </c>
      <c r="R1458" s="35" t="s">
        <v>15</v>
      </c>
      <c r="S1458" s="35">
        <v>121815</v>
      </c>
      <c r="T1458" s="35">
        <v>5601</v>
      </c>
      <c r="U1458" s="84">
        <v>116214</v>
      </c>
    </row>
    <row r="1459" spans="12:21">
      <c r="L1459" s="31">
        <v>49233</v>
      </c>
      <c r="M1459" s="35" t="s">
        <v>10</v>
      </c>
      <c r="N1459" s="32" t="s">
        <v>35</v>
      </c>
      <c r="O1459" s="32" t="s">
        <v>32</v>
      </c>
      <c r="P1459" s="32" t="s">
        <v>13</v>
      </c>
      <c r="Q1459" s="32" t="s">
        <v>14</v>
      </c>
      <c r="R1459" s="32" t="s">
        <v>15</v>
      </c>
      <c r="S1459" s="32">
        <v>0</v>
      </c>
      <c r="T1459" s="32">
        <v>0</v>
      </c>
      <c r="U1459" s="83">
        <v>0</v>
      </c>
    </row>
    <row r="1460" spans="12:21">
      <c r="L1460" s="34">
        <v>49742</v>
      </c>
      <c r="M1460" s="35" t="s">
        <v>10</v>
      </c>
      <c r="N1460" s="35" t="s">
        <v>35</v>
      </c>
      <c r="O1460" s="35" t="s">
        <v>12</v>
      </c>
      <c r="P1460" s="35" t="s">
        <v>13</v>
      </c>
      <c r="Q1460" s="35" t="s">
        <v>14</v>
      </c>
      <c r="R1460" s="35" t="s">
        <v>15</v>
      </c>
      <c r="S1460" s="35">
        <v>122376</v>
      </c>
      <c r="T1460" s="35">
        <v>41914</v>
      </c>
      <c r="U1460" s="84">
        <v>80462</v>
      </c>
    </row>
    <row r="1461" spans="12:21">
      <c r="L1461" s="31">
        <v>38895</v>
      </c>
      <c r="M1461" s="35" t="s">
        <v>10</v>
      </c>
      <c r="N1461" s="32" t="s">
        <v>11</v>
      </c>
      <c r="O1461" s="32" t="s">
        <v>23</v>
      </c>
      <c r="P1461" s="32" t="s">
        <v>13</v>
      </c>
      <c r="Q1461" s="32" t="s">
        <v>14</v>
      </c>
      <c r="R1461" s="32" t="s">
        <v>24</v>
      </c>
      <c r="S1461" s="32">
        <v>149842</v>
      </c>
      <c r="T1461" s="32">
        <v>3335</v>
      </c>
      <c r="U1461" s="83">
        <v>146507</v>
      </c>
    </row>
    <row r="1462" spans="12:21">
      <c r="L1462" s="34">
        <v>39980</v>
      </c>
      <c r="M1462" s="35" t="s">
        <v>10</v>
      </c>
      <c r="N1462" s="35" t="s">
        <v>35</v>
      </c>
      <c r="O1462" s="35" t="s">
        <v>32</v>
      </c>
      <c r="P1462" s="35" t="s">
        <v>13</v>
      </c>
      <c r="Q1462" s="35" t="s">
        <v>14</v>
      </c>
      <c r="R1462" s="35" t="s">
        <v>24</v>
      </c>
      <c r="S1462" s="35">
        <v>93439</v>
      </c>
      <c r="T1462" s="35">
        <v>0</v>
      </c>
      <c r="U1462" s="84">
        <v>93439</v>
      </c>
    </row>
    <row r="1463" spans="12:21">
      <c r="L1463" s="31">
        <v>226474</v>
      </c>
      <c r="M1463" s="35" t="s">
        <v>10</v>
      </c>
      <c r="N1463" s="32" t="s">
        <v>25</v>
      </c>
      <c r="O1463" s="32" t="s">
        <v>23</v>
      </c>
      <c r="P1463" s="32" t="s">
        <v>19</v>
      </c>
      <c r="Q1463" s="32" t="s">
        <v>14</v>
      </c>
      <c r="R1463" s="32" t="s">
        <v>15</v>
      </c>
      <c r="S1463" s="32">
        <v>138377</v>
      </c>
      <c r="T1463" s="32">
        <v>6605</v>
      </c>
      <c r="U1463" s="83">
        <v>131772</v>
      </c>
    </row>
    <row r="1464" spans="12:21">
      <c r="L1464" s="34">
        <v>241235</v>
      </c>
      <c r="M1464" s="35" t="s">
        <v>10</v>
      </c>
      <c r="N1464" s="35" t="s">
        <v>35</v>
      </c>
      <c r="O1464" s="35" t="s">
        <v>18</v>
      </c>
      <c r="P1464" s="35" t="s">
        <v>13</v>
      </c>
      <c r="Q1464" s="35" t="s">
        <v>28</v>
      </c>
      <c r="R1464" s="35" t="s">
        <v>15</v>
      </c>
      <c r="S1464" s="35">
        <v>81692</v>
      </c>
      <c r="T1464" s="35">
        <v>1495</v>
      </c>
      <c r="U1464" s="84">
        <v>80197</v>
      </c>
    </row>
    <row r="1465" spans="12:21">
      <c r="L1465" s="31">
        <v>173120</v>
      </c>
      <c r="M1465" s="35" t="s">
        <v>10</v>
      </c>
      <c r="N1465" s="32" t="s">
        <v>20</v>
      </c>
      <c r="O1465" s="32" t="s">
        <v>32</v>
      </c>
      <c r="P1465" s="32" t="s">
        <v>13</v>
      </c>
      <c r="Q1465" s="32" t="s">
        <v>14</v>
      </c>
      <c r="R1465" s="32" t="s">
        <v>15</v>
      </c>
      <c r="S1465" s="32">
        <v>48939</v>
      </c>
      <c r="T1465" s="32">
        <v>597</v>
      </c>
      <c r="U1465" s="83">
        <v>48342</v>
      </c>
    </row>
    <row r="1466" spans="12:21">
      <c r="L1466" s="34">
        <v>137329</v>
      </c>
      <c r="M1466" s="35" t="s">
        <v>10</v>
      </c>
      <c r="N1466" s="35" t="s">
        <v>22</v>
      </c>
      <c r="O1466" s="35" t="s">
        <v>30</v>
      </c>
      <c r="P1466" s="35" t="s">
        <v>19</v>
      </c>
      <c r="Q1466" s="35" t="s">
        <v>14</v>
      </c>
      <c r="R1466" s="35" t="s">
        <v>15</v>
      </c>
      <c r="S1466" s="35">
        <v>227664</v>
      </c>
      <c r="T1466" s="35">
        <v>10694</v>
      </c>
      <c r="U1466" s="84">
        <v>216970</v>
      </c>
    </row>
    <row r="1467" spans="12:21">
      <c r="L1467" s="31">
        <v>31546</v>
      </c>
      <c r="M1467" s="35" t="s">
        <v>10</v>
      </c>
      <c r="N1467" s="32" t="s">
        <v>38</v>
      </c>
      <c r="O1467" s="32" t="s">
        <v>33</v>
      </c>
      <c r="P1467" s="32" t="s">
        <v>13</v>
      </c>
      <c r="Q1467" s="32" t="s">
        <v>14</v>
      </c>
      <c r="R1467" s="32" t="s">
        <v>15</v>
      </c>
      <c r="S1467" s="32">
        <v>71476</v>
      </c>
      <c r="T1467" s="32">
        <v>654</v>
      </c>
      <c r="U1467" s="83">
        <v>70822</v>
      </c>
    </row>
    <row r="1468" spans="12:21">
      <c r="L1468" s="34">
        <v>142407</v>
      </c>
      <c r="M1468" s="35" t="s">
        <v>10</v>
      </c>
      <c r="N1468" s="35" t="s">
        <v>17</v>
      </c>
      <c r="O1468" s="35" t="s">
        <v>18</v>
      </c>
      <c r="P1468" s="35" t="s">
        <v>19</v>
      </c>
      <c r="Q1468" s="35" t="s">
        <v>14</v>
      </c>
      <c r="R1468" s="35" t="s">
        <v>24</v>
      </c>
      <c r="S1468" s="35">
        <v>20569</v>
      </c>
      <c r="T1468" s="35">
        <v>68</v>
      </c>
      <c r="U1468" s="84">
        <v>20501</v>
      </c>
    </row>
    <row r="1469" spans="12:21">
      <c r="L1469" s="31">
        <v>90731</v>
      </c>
      <c r="M1469" s="35" t="s">
        <v>10</v>
      </c>
      <c r="N1469" s="32" t="s">
        <v>38</v>
      </c>
      <c r="O1469" s="32" t="s">
        <v>33</v>
      </c>
      <c r="P1469" s="32" t="s">
        <v>13</v>
      </c>
      <c r="Q1469" s="32" t="s">
        <v>14</v>
      </c>
      <c r="R1469" s="32" t="s">
        <v>15</v>
      </c>
      <c r="S1469" s="32">
        <v>20272</v>
      </c>
      <c r="T1469" s="32">
        <v>6150</v>
      </c>
      <c r="U1469" s="83">
        <v>14122</v>
      </c>
    </row>
    <row r="1470" spans="12:21">
      <c r="L1470" s="34">
        <v>235673</v>
      </c>
      <c r="M1470" s="35" t="s">
        <v>10</v>
      </c>
      <c r="N1470" s="35" t="s">
        <v>17</v>
      </c>
      <c r="O1470" s="35" t="s">
        <v>30</v>
      </c>
      <c r="P1470" s="35" t="s">
        <v>19</v>
      </c>
      <c r="Q1470" s="35" t="s">
        <v>28</v>
      </c>
      <c r="R1470" s="35" t="s">
        <v>15</v>
      </c>
      <c r="S1470" s="35">
        <v>58791</v>
      </c>
      <c r="T1470" s="35">
        <v>1143</v>
      </c>
      <c r="U1470" s="84">
        <v>57648</v>
      </c>
    </row>
    <row r="1471" spans="12:21">
      <c r="L1471" s="31">
        <v>63047</v>
      </c>
      <c r="M1471" s="35" t="s">
        <v>10</v>
      </c>
      <c r="N1471" s="32" t="s">
        <v>27</v>
      </c>
      <c r="O1471" s="32" t="s">
        <v>36</v>
      </c>
      <c r="P1471" s="32" t="s">
        <v>13</v>
      </c>
      <c r="Q1471" s="32" t="s">
        <v>28</v>
      </c>
      <c r="R1471" s="32" t="s">
        <v>24</v>
      </c>
      <c r="S1471" s="32">
        <v>88773</v>
      </c>
      <c r="T1471" s="32">
        <v>829</v>
      </c>
      <c r="U1471" s="83">
        <v>87944</v>
      </c>
    </row>
    <row r="1472" spans="12:21">
      <c r="L1472" s="34">
        <v>161844</v>
      </c>
      <c r="M1472" s="35" t="s">
        <v>10</v>
      </c>
      <c r="N1472" s="35" t="s">
        <v>17</v>
      </c>
      <c r="O1472" s="35" t="s">
        <v>21</v>
      </c>
      <c r="P1472" s="35" t="s">
        <v>19</v>
      </c>
      <c r="Q1472" s="35" t="s">
        <v>14</v>
      </c>
      <c r="R1472" s="35" t="s">
        <v>15</v>
      </c>
      <c r="S1472" s="35">
        <v>38265</v>
      </c>
      <c r="T1472" s="35">
        <v>2710</v>
      </c>
      <c r="U1472" s="84">
        <v>35555</v>
      </c>
    </row>
    <row r="1473" spans="12:21">
      <c r="L1473" s="31">
        <v>84075</v>
      </c>
      <c r="M1473" s="35" t="s">
        <v>10</v>
      </c>
      <c r="N1473" s="32" t="s">
        <v>34</v>
      </c>
      <c r="O1473" s="32" t="s">
        <v>29</v>
      </c>
      <c r="P1473" s="32" t="s">
        <v>19</v>
      </c>
      <c r="Q1473" s="32" t="s">
        <v>14</v>
      </c>
      <c r="R1473" s="32" t="s">
        <v>24</v>
      </c>
      <c r="S1473" s="32">
        <v>63136</v>
      </c>
      <c r="T1473" s="32">
        <v>11149</v>
      </c>
      <c r="U1473" s="83">
        <v>51987</v>
      </c>
    </row>
    <row r="1474" spans="12:21">
      <c r="L1474" s="34">
        <v>228719</v>
      </c>
      <c r="M1474" s="35" t="s">
        <v>10</v>
      </c>
      <c r="N1474" s="35" t="s">
        <v>25</v>
      </c>
      <c r="O1474" s="35" t="s">
        <v>29</v>
      </c>
      <c r="P1474" s="35" t="s">
        <v>13</v>
      </c>
      <c r="Q1474" s="35" t="s">
        <v>28</v>
      </c>
      <c r="R1474" s="35" t="s">
        <v>24</v>
      </c>
      <c r="S1474" s="35">
        <v>142628</v>
      </c>
      <c r="T1474" s="35">
        <v>14982</v>
      </c>
      <c r="U1474" s="84">
        <v>127646</v>
      </c>
    </row>
    <row r="1475" spans="12:21">
      <c r="L1475" s="31">
        <v>222143</v>
      </c>
      <c r="M1475" s="35" t="s">
        <v>10</v>
      </c>
      <c r="N1475" s="32" t="s">
        <v>22</v>
      </c>
      <c r="O1475" s="32" t="s">
        <v>32</v>
      </c>
      <c r="P1475" s="32" t="s">
        <v>13</v>
      </c>
      <c r="Q1475" s="32" t="s">
        <v>14</v>
      </c>
      <c r="R1475" s="32" t="s">
        <v>24</v>
      </c>
      <c r="S1475" s="32">
        <v>3270</v>
      </c>
      <c r="T1475" s="32">
        <v>0</v>
      </c>
      <c r="U1475" s="83">
        <v>3270</v>
      </c>
    </row>
    <row r="1476" spans="12:21">
      <c r="L1476" s="34">
        <v>183461</v>
      </c>
      <c r="M1476" s="35" t="s">
        <v>10</v>
      </c>
      <c r="N1476" s="35" t="s">
        <v>20</v>
      </c>
      <c r="O1476" s="35" t="s">
        <v>32</v>
      </c>
      <c r="P1476" s="35" t="s">
        <v>19</v>
      </c>
      <c r="Q1476" s="35" t="s">
        <v>14</v>
      </c>
      <c r="R1476" s="35" t="s">
        <v>15</v>
      </c>
      <c r="S1476" s="35">
        <v>39044</v>
      </c>
      <c r="T1476" s="35">
        <v>129</v>
      </c>
      <c r="U1476" s="84">
        <v>38915</v>
      </c>
    </row>
    <row r="1477" spans="12:21">
      <c r="L1477" s="31">
        <v>145545</v>
      </c>
      <c r="M1477" s="35" t="s">
        <v>10</v>
      </c>
      <c r="N1477" s="32" t="s">
        <v>22</v>
      </c>
      <c r="O1477" s="32" t="s">
        <v>32</v>
      </c>
      <c r="P1477" s="32" t="s">
        <v>19</v>
      </c>
      <c r="Q1477" s="32" t="s">
        <v>28</v>
      </c>
      <c r="R1477" s="32" t="s">
        <v>24</v>
      </c>
      <c r="S1477" s="32">
        <v>458</v>
      </c>
      <c r="T1477" s="32">
        <v>0</v>
      </c>
      <c r="U1477" s="83">
        <v>458</v>
      </c>
    </row>
    <row r="1478" spans="12:21">
      <c r="L1478" s="34">
        <v>91304</v>
      </c>
      <c r="M1478" s="35" t="s">
        <v>10</v>
      </c>
      <c r="N1478" s="35" t="s">
        <v>37</v>
      </c>
      <c r="O1478" s="35" t="s">
        <v>36</v>
      </c>
      <c r="P1478" s="35" t="s">
        <v>13</v>
      </c>
      <c r="Q1478" s="35" t="s">
        <v>14</v>
      </c>
      <c r="R1478" s="35" t="s">
        <v>15</v>
      </c>
      <c r="S1478" s="35">
        <v>112781</v>
      </c>
      <c r="T1478" s="35">
        <v>12548</v>
      </c>
      <c r="U1478" s="84">
        <v>100233</v>
      </c>
    </row>
    <row r="1479" spans="12:21">
      <c r="L1479" s="31">
        <v>166553</v>
      </c>
      <c r="M1479" s="35" t="s">
        <v>10</v>
      </c>
      <c r="N1479" s="32" t="s">
        <v>22</v>
      </c>
      <c r="O1479" s="32" t="s">
        <v>30</v>
      </c>
      <c r="P1479" s="32" t="s">
        <v>13</v>
      </c>
      <c r="Q1479" s="32" t="s">
        <v>14</v>
      </c>
      <c r="R1479" s="32" t="s">
        <v>15</v>
      </c>
      <c r="S1479" s="32">
        <v>117716</v>
      </c>
      <c r="T1479" s="32">
        <v>9327</v>
      </c>
      <c r="U1479" s="83">
        <v>108389</v>
      </c>
    </row>
    <row r="1480" spans="12:21">
      <c r="L1480" s="34">
        <v>37722</v>
      </c>
      <c r="M1480" s="35" t="s">
        <v>10</v>
      </c>
      <c r="N1480" s="35" t="s">
        <v>39</v>
      </c>
      <c r="O1480" s="35" t="s">
        <v>32</v>
      </c>
      <c r="P1480" s="35" t="s">
        <v>13</v>
      </c>
      <c r="Q1480" s="35" t="s">
        <v>28</v>
      </c>
      <c r="R1480" s="35" t="s">
        <v>15</v>
      </c>
      <c r="S1480" s="35">
        <v>67728</v>
      </c>
      <c r="T1480" s="35">
        <v>18160</v>
      </c>
      <c r="U1480" s="84">
        <v>49568</v>
      </c>
    </row>
    <row r="1481" spans="12:21">
      <c r="L1481" s="31">
        <v>95049</v>
      </c>
      <c r="M1481" s="35" t="s">
        <v>10</v>
      </c>
      <c r="N1481" s="32" t="s">
        <v>38</v>
      </c>
      <c r="O1481" s="32" t="s">
        <v>12</v>
      </c>
      <c r="P1481" s="32" t="s">
        <v>13</v>
      </c>
      <c r="Q1481" s="32" t="s">
        <v>14</v>
      </c>
      <c r="R1481" s="32" t="s">
        <v>15</v>
      </c>
      <c r="S1481" s="32">
        <v>328743</v>
      </c>
      <c r="T1481" s="32">
        <v>0</v>
      </c>
      <c r="U1481" s="83">
        <v>328743</v>
      </c>
    </row>
    <row r="1482" spans="12:21">
      <c r="L1482" s="34">
        <v>133960</v>
      </c>
      <c r="M1482" s="35" t="s">
        <v>10</v>
      </c>
      <c r="N1482" s="35" t="s">
        <v>31</v>
      </c>
      <c r="O1482" s="35" t="s">
        <v>26</v>
      </c>
      <c r="P1482" s="35" t="s">
        <v>19</v>
      </c>
      <c r="Q1482" s="35" t="s">
        <v>14</v>
      </c>
      <c r="R1482" s="35" t="s">
        <v>24</v>
      </c>
      <c r="S1482" s="35">
        <v>5369</v>
      </c>
      <c r="T1482" s="35">
        <v>270</v>
      </c>
      <c r="U1482" s="84">
        <v>5099</v>
      </c>
    </row>
    <row r="1483" spans="12:21">
      <c r="L1483" s="31">
        <v>119844</v>
      </c>
      <c r="M1483" s="35" t="s">
        <v>10</v>
      </c>
      <c r="N1483" s="32" t="s">
        <v>11</v>
      </c>
      <c r="O1483" s="32" t="s">
        <v>30</v>
      </c>
      <c r="P1483" s="32" t="s">
        <v>13</v>
      </c>
      <c r="Q1483" s="32" t="s">
        <v>14</v>
      </c>
      <c r="R1483" s="32" t="s">
        <v>24</v>
      </c>
      <c r="S1483" s="32">
        <v>65600</v>
      </c>
      <c r="T1483" s="32">
        <v>2501</v>
      </c>
      <c r="U1483" s="83">
        <v>63099</v>
      </c>
    </row>
    <row r="1484" spans="12:21">
      <c r="L1484" s="34">
        <v>173864</v>
      </c>
      <c r="M1484" s="35" t="s">
        <v>10</v>
      </c>
      <c r="N1484" s="35" t="s">
        <v>22</v>
      </c>
      <c r="O1484" s="35" t="s">
        <v>26</v>
      </c>
      <c r="P1484" s="35" t="s">
        <v>19</v>
      </c>
      <c r="Q1484" s="35" t="s">
        <v>14</v>
      </c>
      <c r="R1484" s="35" t="s">
        <v>24</v>
      </c>
      <c r="S1484" s="35">
        <v>60941</v>
      </c>
      <c r="T1484" s="35">
        <v>2146</v>
      </c>
      <c r="U1484" s="84">
        <v>58795</v>
      </c>
    </row>
    <row r="1485" spans="12:21">
      <c r="L1485" s="31">
        <v>216383</v>
      </c>
      <c r="M1485" s="35" t="s">
        <v>10</v>
      </c>
      <c r="N1485" s="32" t="s">
        <v>34</v>
      </c>
      <c r="O1485" s="32" t="s">
        <v>29</v>
      </c>
      <c r="P1485" s="32" t="s">
        <v>13</v>
      </c>
      <c r="Q1485" s="32" t="s">
        <v>14</v>
      </c>
      <c r="R1485" s="32" t="s">
        <v>15</v>
      </c>
      <c r="S1485" s="32">
        <v>94472</v>
      </c>
      <c r="T1485" s="32">
        <v>8991</v>
      </c>
      <c r="U1485" s="83">
        <v>85481</v>
      </c>
    </row>
    <row r="1486" spans="12:21">
      <c r="L1486" s="34">
        <v>9205</v>
      </c>
      <c r="M1486" s="35" t="s">
        <v>10</v>
      </c>
      <c r="N1486" s="35" t="s">
        <v>34</v>
      </c>
      <c r="O1486" s="35" t="s">
        <v>36</v>
      </c>
      <c r="P1486" s="35" t="s">
        <v>13</v>
      </c>
      <c r="Q1486" s="35" t="s">
        <v>14</v>
      </c>
      <c r="R1486" s="35" t="s">
        <v>15</v>
      </c>
      <c r="S1486" s="35">
        <v>77297</v>
      </c>
      <c r="T1486" s="35">
        <v>1271</v>
      </c>
      <c r="U1486" s="84">
        <v>76026</v>
      </c>
    </row>
    <row r="1487" spans="12:21">
      <c r="L1487" s="31">
        <v>47458</v>
      </c>
      <c r="M1487" s="35" t="s">
        <v>10</v>
      </c>
      <c r="N1487" s="32" t="s">
        <v>11</v>
      </c>
      <c r="O1487" s="32" t="s">
        <v>32</v>
      </c>
      <c r="P1487" s="32" t="s">
        <v>19</v>
      </c>
      <c r="Q1487" s="32" t="s">
        <v>14</v>
      </c>
      <c r="R1487" s="32" t="s">
        <v>24</v>
      </c>
      <c r="S1487" s="32">
        <v>19101</v>
      </c>
      <c r="T1487" s="32">
        <v>0</v>
      </c>
      <c r="U1487" s="83">
        <v>19101</v>
      </c>
    </row>
    <row r="1488" spans="12:21">
      <c r="L1488" s="34">
        <v>141693</v>
      </c>
      <c r="M1488" s="35" t="s">
        <v>10</v>
      </c>
      <c r="N1488" s="35" t="s">
        <v>31</v>
      </c>
      <c r="O1488" s="35" t="s">
        <v>26</v>
      </c>
      <c r="P1488" s="35" t="s">
        <v>19</v>
      </c>
      <c r="Q1488" s="35" t="s">
        <v>14</v>
      </c>
      <c r="R1488" s="35" t="s">
        <v>24</v>
      </c>
      <c r="S1488" s="35">
        <v>21626</v>
      </c>
      <c r="T1488" s="35">
        <v>540</v>
      </c>
      <c r="U1488" s="84">
        <v>21086</v>
      </c>
    </row>
    <row r="1489" spans="12:21">
      <c r="L1489" s="31">
        <v>233508</v>
      </c>
      <c r="M1489" s="35" t="s">
        <v>10</v>
      </c>
      <c r="N1489" s="32" t="s">
        <v>17</v>
      </c>
      <c r="O1489" s="32" t="s">
        <v>30</v>
      </c>
      <c r="P1489" s="32" t="s">
        <v>19</v>
      </c>
      <c r="Q1489" s="32" t="s">
        <v>14</v>
      </c>
      <c r="R1489" s="32" t="s">
        <v>24</v>
      </c>
      <c r="S1489" s="32">
        <v>54503</v>
      </c>
      <c r="T1489" s="32">
        <v>3353</v>
      </c>
      <c r="U1489" s="83">
        <v>51150</v>
      </c>
    </row>
    <row r="1490" spans="12:21">
      <c r="L1490" s="34">
        <v>78884</v>
      </c>
      <c r="M1490" s="35" t="s">
        <v>10</v>
      </c>
      <c r="N1490" s="35" t="s">
        <v>39</v>
      </c>
      <c r="O1490" s="35" t="s">
        <v>32</v>
      </c>
      <c r="P1490" s="35" t="s">
        <v>13</v>
      </c>
      <c r="Q1490" s="35" t="s">
        <v>14</v>
      </c>
      <c r="R1490" s="35" t="s">
        <v>15</v>
      </c>
      <c r="S1490" s="35">
        <v>10740</v>
      </c>
      <c r="T1490" s="35">
        <v>0</v>
      </c>
      <c r="U1490" s="84">
        <v>10740</v>
      </c>
    </row>
    <row r="1491" spans="12:21">
      <c r="L1491" s="31">
        <v>30831</v>
      </c>
      <c r="M1491" s="35" t="s">
        <v>10</v>
      </c>
      <c r="N1491" s="32" t="s">
        <v>11</v>
      </c>
      <c r="O1491" s="32" t="s">
        <v>30</v>
      </c>
      <c r="P1491" s="32" t="s">
        <v>13</v>
      </c>
      <c r="Q1491" s="32" t="s">
        <v>14</v>
      </c>
      <c r="R1491" s="32" t="s">
        <v>15</v>
      </c>
      <c r="S1491" s="32">
        <v>157614</v>
      </c>
      <c r="T1491" s="32">
        <v>374</v>
      </c>
      <c r="U1491" s="83">
        <v>157240</v>
      </c>
    </row>
    <row r="1492" spans="12:21">
      <c r="L1492" s="34">
        <v>170323</v>
      </c>
      <c r="M1492" s="35" t="s">
        <v>10</v>
      </c>
      <c r="N1492" s="35" t="s">
        <v>17</v>
      </c>
      <c r="O1492" s="35" t="s">
        <v>29</v>
      </c>
      <c r="P1492" s="35" t="s">
        <v>19</v>
      </c>
      <c r="Q1492" s="35" t="s">
        <v>14</v>
      </c>
      <c r="R1492" s="35" t="s">
        <v>24</v>
      </c>
      <c r="S1492" s="35">
        <v>42571</v>
      </c>
      <c r="T1492" s="35">
        <v>418</v>
      </c>
      <c r="U1492" s="84">
        <v>42153</v>
      </c>
    </row>
    <row r="1493" spans="12:21">
      <c r="L1493" s="31">
        <v>169245</v>
      </c>
      <c r="M1493" s="35" t="s">
        <v>10</v>
      </c>
      <c r="N1493" s="32" t="s">
        <v>34</v>
      </c>
      <c r="O1493" s="32" t="s">
        <v>30</v>
      </c>
      <c r="P1493" s="32" t="s">
        <v>13</v>
      </c>
      <c r="Q1493" s="32" t="s">
        <v>14</v>
      </c>
      <c r="R1493" s="32" t="s">
        <v>15</v>
      </c>
      <c r="S1493" s="32">
        <v>270704</v>
      </c>
      <c r="T1493" s="32">
        <v>1041</v>
      </c>
      <c r="U1493" s="83">
        <v>269663</v>
      </c>
    </row>
    <row r="1494" spans="12:21">
      <c r="L1494" s="34">
        <v>164027</v>
      </c>
      <c r="M1494" s="35" t="s">
        <v>10</v>
      </c>
      <c r="N1494" s="35" t="s">
        <v>31</v>
      </c>
      <c r="O1494" s="35" t="s">
        <v>36</v>
      </c>
      <c r="P1494" s="35" t="s">
        <v>19</v>
      </c>
      <c r="Q1494" s="35" t="s">
        <v>14</v>
      </c>
      <c r="R1494" s="35" t="s">
        <v>15</v>
      </c>
      <c r="S1494" s="35">
        <v>5685</v>
      </c>
      <c r="T1494" s="35">
        <v>0</v>
      </c>
      <c r="U1494" s="84">
        <v>5685</v>
      </c>
    </row>
    <row r="1495" spans="12:21">
      <c r="L1495" s="31">
        <v>4402</v>
      </c>
      <c r="M1495" s="35" t="s">
        <v>10</v>
      </c>
      <c r="N1495" s="32" t="s">
        <v>37</v>
      </c>
      <c r="O1495" s="32" t="s">
        <v>12</v>
      </c>
      <c r="P1495" s="32" t="s">
        <v>13</v>
      </c>
      <c r="Q1495" s="32" t="s">
        <v>14</v>
      </c>
      <c r="R1495" s="32" t="s">
        <v>15</v>
      </c>
      <c r="S1495" s="32">
        <v>19208</v>
      </c>
      <c r="T1495" s="32">
        <v>415</v>
      </c>
      <c r="U1495" s="83">
        <v>18793</v>
      </c>
    </row>
    <row r="1496" spans="12:21">
      <c r="L1496" s="34">
        <v>193301</v>
      </c>
      <c r="M1496" s="35" t="s">
        <v>10</v>
      </c>
      <c r="N1496" s="35" t="s">
        <v>34</v>
      </c>
      <c r="O1496" s="35" t="s">
        <v>12</v>
      </c>
      <c r="P1496" s="35" t="s">
        <v>19</v>
      </c>
      <c r="Q1496" s="35" t="s">
        <v>14</v>
      </c>
      <c r="R1496" s="35" t="s">
        <v>15</v>
      </c>
      <c r="S1496" s="35">
        <v>78412</v>
      </c>
      <c r="T1496" s="35">
        <v>270</v>
      </c>
      <c r="U1496" s="84">
        <v>78142</v>
      </c>
    </row>
    <row r="1497" spans="12:21">
      <c r="L1497" s="31">
        <v>253979</v>
      </c>
      <c r="M1497" s="35" t="s">
        <v>10</v>
      </c>
      <c r="N1497" s="32" t="s">
        <v>17</v>
      </c>
      <c r="O1497" s="32" t="s">
        <v>26</v>
      </c>
      <c r="P1497" s="32" t="s">
        <v>19</v>
      </c>
      <c r="Q1497" s="32" t="s">
        <v>14</v>
      </c>
      <c r="R1497" s="32" t="s">
        <v>24</v>
      </c>
      <c r="S1497" s="32">
        <v>87780</v>
      </c>
      <c r="T1497" s="32">
        <v>4598</v>
      </c>
      <c r="U1497" s="83">
        <v>83182</v>
      </c>
    </row>
    <row r="1498" spans="12:21">
      <c r="L1498" s="34">
        <v>122342</v>
      </c>
      <c r="M1498" s="35" t="s">
        <v>10</v>
      </c>
      <c r="N1498" s="35" t="s">
        <v>22</v>
      </c>
      <c r="O1498" s="35" t="s">
        <v>23</v>
      </c>
      <c r="P1498" s="35" t="s">
        <v>19</v>
      </c>
      <c r="Q1498" s="35" t="s">
        <v>28</v>
      </c>
      <c r="R1498" s="35" t="s">
        <v>15</v>
      </c>
      <c r="S1498" s="35">
        <v>82842</v>
      </c>
      <c r="T1498" s="35">
        <v>22459</v>
      </c>
      <c r="U1498" s="84">
        <v>60383</v>
      </c>
    </row>
    <row r="1499" spans="12:21">
      <c r="L1499" s="31">
        <v>115494</v>
      </c>
      <c r="M1499" s="35" t="s">
        <v>10</v>
      </c>
      <c r="N1499" s="32" t="s">
        <v>25</v>
      </c>
      <c r="O1499" s="32" t="s">
        <v>30</v>
      </c>
      <c r="P1499" s="32" t="s">
        <v>19</v>
      </c>
      <c r="Q1499" s="32" t="s">
        <v>14</v>
      </c>
      <c r="R1499" s="32" t="s">
        <v>15</v>
      </c>
      <c r="S1499" s="32">
        <v>52533</v>
      </c>
      <c r="T1499" s="32">
        <v>2855</v>
      </c>
      <c r="U1499" s="83">
        <v>49678</v>
      </c>
    </row>
    <row r="1500" spans="12:21">
      <c r="L1500" s="34">
        <v>233072</v>
      </c>
      <c r="M1500" s="35" t="s">
        <v>10</v>
      </c>
      <c r="N1500" s="35" t="s">
        <v>25</v>
      </c>
      <c r="O1500" s="35" t="s">
        <v>32</v>
      </c>
      <c r="P1500" s="35" t="s">
        <v>19</v>
      </c>
      <c r="Q1500" s="35" t="s">
        <v>14</v>
      </c>
      <c r="R1500" s="35" t="s">
        <v>24</v>
      </c>
      <c r="S1500" s="35">
        <v>7</v>
      </c>
      <c r="T1500" s="35">
        <v>0</v>
      </c>
      <c r="U1500" s="84">
        <v>7</v>
      </c>
    </row>
    <row r="1501" spans="12:21">
      <c r="L1501" s="31">
        <v>201966</v>
      </c>
      <c r="M1501" s="35" t="s">
        <v>10</v>
      </c>
      <c r="N1501" s="32" t="s">
        <v>38</v>
      </c>
      <c r="O1501" s="32" t="s">
        <v>21</v>
      </c>
      <c r="P1501" s="32" t="s">
        <v>13</v>
      </c>
      <c r="Q1501" s="32" t="s">
        <v>14</v>
      </c>
      <c r="R1501" s="32" t="s">
        <v>15</v>
      </c>
      <c r="S1501" s="32">
        <v>36458</v>
      </c>
      <c r="T1501" s="32">
        <v>4209</v>
      </c>
      <c r="U1501" s="83">
        <v>32249</v>
      </c>
    </row>
    <row r="1502" spans="12:21">
      <c r="L1502" s="34">
        <v>27980</v>
      </c>
      <c r="M1502" s="35" t="s">
        <v>10</v>
      </c>
      <c r="N1502" s="35" t="s">
        <v>11</v>
      </c>
      <c r="O1502" s="35" t="s">
        <v>12</v>
      </c>
      <c r="P1502" s="35" t="s">
        <v>13</v>
      </c>
      <c r="Q1502" s="35" t="s">
        <v>14</v>
      </c>
      <c r="R1502" s="35" t="s">
        <v>15</v>
      </c>
      <c r="S1502" s="35">
        <v>66395</v>
      </c>
      <c r="T1502" s="35">
        <v>2319</v>
      </c>
      <c r="U1502" s="84">
        <v>64076</v>
      </c>
    </row>
    <row r="1503" spans="12:21">
      <c r="L1503" s="31">
        <v>215770</v>
      </c>
      <c r="M1503" s="35" t="s">
        <v>10</v>
      </c>
      <c r="N1503" s="32" t="s">
        <v>38</v>
      </c>
      <c r="O1503" s="32" t="s">
        <v>23</v>
      </c>
      <c r="P1503" s="32" t="s">
        <v>13</v>
      </c>
      <c r="Q1503" s="32" t="s">
        <v>14</v>
      </c>
      <c r="R1503" s="32" t="s">
        <v>15</v>
      </c>
      <c r="S1503" s="32">
        <v>50789</v>
      </c>
      <c r="T1503" s="32">
        <v>587</v>
      </c>
      <c r="U1503" s="83">
        <v>50202</v>
      </c>
    </row>
    <row r="1504" spans="12:21">
      <c r="L1504" s="34">
        <v>185739</v>
      </c>
      <c r="M1504" s="35" t="s">
        <v>10</v>
      </c>
      <c r="N1504" s="35" t="s">
        <v>39</v>
      </c>
      <c r="O1504" s="35" t="s">
        <v>36</v>
      </c>
      <c r="P1504" s="35" t="s">
        <v>13</v>
      </c>
      <c r="Q1504" s="35" t="s">
        <v>14</v>
      </c>
      <c r="R1504" s="35" t="s">
        <v>15</v>
      </c>
      <c r="S1504" s="35">
        <v>53674</v>
      </c>
      <c r="T1504" s="35">
        <v>4593</v>
      </c>
      <c r="U1504" s="84">
        <v>49081</v>
      </c>
    </row>
    <row r="1505" spans="12:21">
      <c r="L1505" s="31">
        <v>161231</v>
      </c>
      <c r="M1505" s="35" t="s">
        <v>10</v>
      </c>
      <c r="N1505" s="32" t="s">
        <v>25</v>
      </c>
      <c r="O1505" s="32" t="s">
        <v>26</v>
      </c>
      <c r="P1505" s="32" t="s">
        <v>19</v>
      </c>
      <c r="Q1505" s="32" t="s">
        <v>14</v>
      </c>
      <c r="R1505" s="32" t="s">
        <v>15</v>
      </c>
      <c r="S1505" s="32">
        <v>65394</v>
      </c>
      <c r="T1505" s="32">
        <v>9745</v>
      </c>
      <c r="U1505" s="83">
        <v>55649</v>
      </c>
    </row>
    <row r="1506" spans="12:21">
      <c r="L1506" s="34">
        <v>196033</v>
      </c>
      <c r="M1506" s="35" t="s">
        <v>10</v>
      </c>
      <c r="N1506" s="35" t="s">
        <v>11</v>
      </c>
      <c r="O1506" s="35" t="s">
        <v>23</v>
      </c>
      <c r="P1506" s="35" t="s">
        <v>19</v>
      </c>
      <c r="Q1506" s="35" t="s">
        <v>14</v>
      </c>
      <c r="R1506" s="35" t="s">
        <v>24</v>
      </c>
      <c r="S1506" s="35">
        <v>14066</v>
      </c>
      <c r="T1506" s="35">
        <v>0</v>
      </c>
      <c r="U1506" s="84">
        <v>14066</v>
      </c>
    </row>
    <row r="1507" spans="12:21">
      <c r="L1507" s="31">
        <v>175565</v>
      </c>
      <c r="M1507" s="35" t="s">
        <v>10</v>
      </c>
      <c r="N1507" s="32" t="s">
        <v>22</v>
      </c>
      <c r="O1507" s="32" t="s">
        <v>12</v>
      </c>
      <c r="P1507" s="32" t="s">
        <v>19</v>
      </c>
      <c r="Q1507" s="32" t="s">
        <v>28</v>
      </c>
      <c r="R1507" s="32" t="s">
        <v>15</v>
      </c>
      <c r="S1507" s="32">
        <v>133702</v>
      </c>
      <c r="T1507" s="32">
        <v>1665</v>
      </c>
      <c r="U1507" s="83">
        <v>132037</v>
      </c>
    </row>
    <row r="1508" spans="12:21">
      <c r="L1508" s="34">
        <v>183468</v>
      </c>
      <c r="M1508" s="35" t="s">
        <v>10</v>
      </c>
      <c r="N1508" s="35" t="s">
        <v>38</v>
      </c>
      <c r="O1508" s="35" t="s">
        <v>12</v>
      </c>
      <c r="P1508" s="35" t="s">
        <v>13</v>
      </c>
      <c r="Q1508" s="35" t="s">
        <v>14</v>
      </c>
      <c r="R1508" s="35" t="s">
        <v>15</v>
      </c>
      <c r="S1508" s="35">
        <v>202364</v>
      </c>
      <c r="T1508" s="35">
        <v>138</v>
      </c>
      <c r="U1508" s="84">
        <v>202226</v>
      </c>
    </row>
    <row r="1509" spans="12:21">
      <c r="L1509" s="31">
        <v>76988</v>
      </c>
      <c r="M1509" s="35" t="s">
        <v>10</v>
      </c>
      <c r="N1509" s="32" t="s">
        <v>35</v>
      </c>
      <c r="O1509" s="32" t="s">
        <v>32</v>
      </c>
      <c r="P1509" s="32" t="s">
        <v>13</v>
      </c>
      <c r="Q1509" s="32" t="s">
        <v>14</v>
      </c>
      <c r="R1509" s="32" t="s">
        <v>15</v>
      </c>
      <c r="S1509" s="32">
        <v>31504</v>
      </c>
      <c r="T1509" s="32">
        <v>0</v>
      </c>
      <c r="U1509" s="83">
        <v>31504</v>
      </c>
    </row>
    <row r="1510" spans="12:21">
      <c r="L1510" s="34">
        <v>73388</v>
      </c>
      <c r="M1510" s="35" t="s">
        <v>10</v>
      </c>
      <c r="N1510" s="35" t="s">
        <v>27</v>
      </c>
      <c r="O1510" s="35" t="s">
        <v>23</v>
      </c>
      <c r="P1510" s="35" t="s">
        <v>13</v>
      </c>
      <c r="Q1510" s="35" t="s">
        <v>14</v>
      </c>
      <c r="R1510" s="35" t="s">
        <v>15</v>
      </c>
      <c r="S1510" s="35">
        <v>146765</v>
      </c>
      <c r="T1510" s="35">
        <v>17627</v>
      </c>
      <c r="U1510" s="84">
        <v>129138</v>
      </c>
    </row>
    <row r="1511" spans="12:21">
      <c r="L1511" s="31">
        <v>216692</v>
      </c>
      <c r="M1511" s="35" t="s">
        <v>10</v>
      </c>
      <c r="N1511" s="32" t="s">
        <v>34</v>
      </c>
      <c r="O1511" s="32" t="s">
        <v>36</v>
      </c>
      <c r="P1511" s="32" t="s">
        <v>13</v>
      </c>
      <c r="Q1511" s="32" t="s">
        <v>14</v>
      </c>
      <c r="R1511" s="32" t="s">
        <v>15</v>
      </c>
      <c r="S1511" s="32">
        <v>36998</v>
      </c>
      <c r="T1511" s="32">
        <v>2000</v>
      </c>
      <c r="U1511" s="83">
        <v>34998</v>
      </c>
    </row>
    <row r="1512" spans="12:21">
      <c r="L1512" s="34">
        <v>119195</v>
      </c>
      <c r="M1512" s="35" t="s">
        <v>10</v>
      </c>
      <c r="N1512" s="35" t="s">
        <v>31</v>
      </c>
      <c r="O1512" s="35" t="s">
        <v>12</v>
      </c>
      <c r="P1512" s="35" t="s">
        <v>19</v>
      </c>
      <c r="Q1512" s="35" t="s">
        <v>14</v>
      </c>
      <c r="R1512" s="35" t="s">
        <v>24</v>
      </c>
      <c r="S1512" s="35">
        <v>1096</v>
      </c>
      <c r="T1512" s="35">
        <v>136</v>
      </c>
      <c r="U1512" s="84">
        <v>960</v>
      </c>
    </row>
    <row r="1513" spans="12:21">
      <c r="L1513" s="31">
        <v>92716</v>
      </c>
      <c r="M1513" s="35" t="s">
        <v>10</v>
      </c>
      <c r="N1513" s="32" t="s">
        <v>20</v>
      </c>
      <c r="O1513" s="32" t="s">
        <v>32</v>
      </c>
      <c r="P1513" s="32" t="s">
        <v>13</v>
      </c>
      <c r="Q1513" s="32" t="s">
        <v>14</v>
      </c>
      <c r="R1513" s="32" t="s">
        <v>15</v>
      </c>
      <c r="S1513" s="32">
        <v>14242</v>
      </c>
      <c r="T1513" s="32">
        <v>0</v>
      </c>
      <c r="U1513" s="83">
        <v>14242</v>
      </c>
    </row>
    <row r="1514" spans="12:21">
      <c r="L1514" s="34">
        <v>31739</v>
      </c>
      <c r="M1514" s="35" t="s">
        <v>10</v>
      </c>
      <c r="N1514" s="35" t="s">
        <v>35</v>
      </c>
      <c r="O1514" s="35" t="s">
        <v>32</v>
      </c>
      <c r="P1514" s="35" t="s">
        <v>19</v>
      </c>
      <c r="Q1514" s="35" t="s">
        <v>14</v>
      </c>
      <c r="R1514" s="35" t="s">
        <v>24</v>
      </c>
      <c r="S1514" s="35">
        <v>107291</v>
      </c>
      <c r="T1514" s="35">
        <v>145</v>
      </c>
      <c r="U1514" s="84">
        <v>107146</v>
      </c>
    </row>
    <row r="1515" spans="12:21">
      <c r="L1515" s="31">
        <v>225950</v>
      </c>
      <c r="M1515" s="35" t="s">
        <v>10</v>
      </c>
      <c r="N1515" s="32" t="s">
        <v>22</v>
      </c>
      <c r="O1515" s="32" t="s">
        <v>12</v>
      </c>
      <c r="P1515" s="32" t="s">
        <v>19</v>
      </c>
      <c r="Q1515" s="32" t="s">
        <v>14</v>
      </c>
      <c r="R1515" s="32" t="s">
        <v>15</v>
      </c>
      <c r="S1515" s="32">
        <v>56592</v>
      </c>
      <c r="T1515" s="32">
        <v>5715</v>
      </c>
      <c r="U1515" s="83">
        <v>50877</v>
      </c>
    </row>
    <row r="1516" spans="12:21">
      <c r="L1516" s="34">
        <v>83242</v>
      </c>
      <c r="M1516" s="35" t="s">
        <v>10</v>
      </c>
      <c r="N1516" s="35" t="s">
        <v>34</v>
      </c>
      <c r="O1516" s="35" t="s">
        <v>33</v>
      </c>
      <c r="P1516" s="35" t="s">
        <v>13</v>
      </c>
      <c r="Q1516" s="35" t="s">
        <v>14</v>
      </c>
      <c r="R1516" s="35" t="s">
        <v>15</v>
      </c>
      <c r="S1516" s="35">
        <v>114378</v>
      </c>
      <c r="T1516" s="35">
        <v>123</v>
      </c>
      <c r="U1516" s="84">
        <v>114255</v>
      </c>
    </row>
    <row r="1517" spans="12:21">
      <c r="L1517" s="31">
        <v>214200</v>
      </c>
      <c r="M1517" s="35" t="s">
        <v>10</v>
      </c>
      <c r="N1517" s="32" t="s">
        <v>11</v>
      </c>
      <c r="O1517" s="32" t="s">
        <v>32</v>
      </c>
      <c r="P1517" s="32" t="s">
        <v>13</v>
      </c>
      <c r="Q1517" s="32" t="s">
        <v>14</v>
      </c>
      <c r="R1517" s="32" t="s">
        <v>15</v>
      </c>
      <c r="S1517" s="32">
        <v>106685</v>
      </c>
      <c r="T1517" s="32">
        <v>2672</v>
      </c>
      <c r="U1517" s="83">
        <v>104013</v>
      </c>
    </row>
    <row r="1518" spans="12:21">
      <c r="L1518" s="34">
        <v>122898</v>
      </c>
      <c r="M1518" s="35" t="s">
        <v>10</v>
      </c>
      <c r="N1518" s="35" t="s">
        <v>25</v>
      </c>
      <c r="O1518" s="35" t="s">
        <v>18</v>
      </c>
      <c r="P1518" s="35" t="s">
        <v>13</v>
      </c>
      <c r="Q1518" s="35" t="s">
        <v>14</v>
      </c>
      <c r="R1518" s="35" t="s">
        <v>24</v>
      </c>
      <c r="S1518" s="35">
        <v>116064</v>
      </c>
      <c r="T1518" s="35">
        <v>2123</v>
      </c>
      <c r="U1518" s="84">
        <v>113941</v>
      </c>
    </row>
    <row r="1519" spans="12:21">
      <c r="L1519" s="31">
        <v>182979</v>
      </c>
      <c r="M1519" s="35" t="s">
        <v>10</v>
      </c>
      <c r="N1519" s="32" t="s">
        <v>20</v>
      </c>
      <c r="O1519" s="32" t="s">
        <v>32</v>
      </c>
      <c r="P1519" s="32" t="s">
        <v>13</v>
      </c>
      <c r="Q1519" s="32" t="s">
        <v>14</v>
      </c>
      <c r="R1519" s="32" t="s">
        <v>15</v>
      </c>
      <c r="S1519" s="32">
        <v>13719</v>
      </c>
      <c r="T1519" s="32">
        <v>704</v>
      </c>
      <c r="U1519" s="83">
        <v>13015</v>
      </c>
    </row>
    <row r="1520" spans="12:21">
      <c r="L1520" s="34">
        <v>8636</v>
      </c>
      <c r="M1520" s="35" t="s">
        <v>10</v>
      </c>
      <c r="N1520" s="35" t="s">
        <v>37</v>
      </c>
      <c r="O1520" s="35" t="s">
        <v>30</v>
      </c>
      <c r="P1520" s="35" t="s">
        <v>13</v>
      </c>
      <c r="Q1520" s="35" t="s">
        <v>28</v>
      </c>
      <c r="R1520" s="35" t="s">
        <v>15</v>
      </c>
      <c r="S1520" s="35">
        <v>227040</v>
      </c>
      <c r="T1520" s="35">
        <v>731</v>
      </c>
      <c r="U1520" s="84">
        <v>226309</v>
      </c>
    </row>
    <row r="1521" spans="12:21">
      <c r="L1521" s="31">
        <v>65269</v>
      </c>
      <c r="M1521" s="35" t="s">
        <v>10</v>
      </c>
      <c r="N1521" s="32" t="s">
        <v>27</v>
      </c>
      <c r="O1521" s="32" t="s">
        <v>29</v>
      </c>
      <c r="P1521" s="32" t="s">
        <v>13</v>
      </c>
      <c r="Q1521" s="32" t="s">
        <v>28</v>
      </c>
      <c r="R1521" s="32" t="s">
        <v>24</v>
      </c>
      <c r="S1521" s="32">
        <v>114363</v>
      </c>
      <c r="T1521" s="32">
        <v>5524</v>
      </c>
      <c r="U1521" s="83">
        <v>108839</v>
      </c>
    </row>
    <row r="1522" spans="12:21">
      <c r="L1522" s="34">
        <v>237604</v>
      </c>
      <c r="M1522" s="35" t="s">
        <v>10</v>
      </c>
      <c r="N1522" s="35" t="s">
        <v>25</v>
      </c>
      <c r="O1522" s="35" t="s">
        <v>18</v>
      </c>
      <c r="P1522" s="35" t="s">
        <v>19</v>
      </c>
      <c r="Q1522" s="35" t="s">
        <v>14</v>
      </c>
      <c r="R1522" s="35" t="s">
        <v>24</v>
      </c>
      <c r="S1522" s="35">
        <v>25872</v>
      </c>
      <c r="T1522" s="35">
        <v>382</v>
      </c>
      <c r="U1522" s="84">
        <v>25490</v>
      </c>
    </row>
    <row r="1523" spans="12:21">
      <c r="L1523" s="31">
        <v>181935</v>
      </c>
      <c r="M1523" s="35" t="s">
        <v>10</v>
      </c>
      <c r="N1523" s="32" t="s">
        <v>38</v>
      </c>
      <c r="O1523" s="32" t="s">
        <v>29</v>
      </c>
      <c r="P1523" s="32" t="s">
        <v>13</v>
      </c>
      <c r="Q1523" s="32" t="s">
        <v>14</v>
      </c>
      <c r="R1523" s="32" t="s">
        <v>24</v>
      </c>
      <c r="S1523" s="32">
        <v>81954</v>
      </c>
      <c r="T1523" s="32">
        <v>1890</v>
      </c>
      <c r="U1523" s="83">
        <v>80064</v>
      </c>
    </row>
    <row r="1524" spans="12:21">
      <c r="L1524" s="34">
        <v>198332</v>
      </c>
      <c r="M1524" s="35" t="s">
        <v>10</v>
      </c>
      <c r="N1524" s="35" t="s">
        <v>37</v>
      </c>
      <c r="O1524" s="35" t="s">
        <v>30</v>
      </c>
      <c r="P1524" s="35" t="s">
        <v>13</v>
      </c>
      <c r="Q1524" s="35" t="s">
        <v>28</v>
      </c>
      <c r="R1524" s="35" t="s">
        <v>15</v>
      </c>
      <c r="S1524" s="35">
        <v>145954</v>
      </c>
      <c r="T1524" s="35">
        <v>2851</v>
      </c>
      <c r="U1524" s="84">
        <v>143103</v>
      </c>
    </row>
    <row r="1525" spans="12:21">
      <c r="L1525" s="31">
        <v>99754</v>
      </c>
      <c r="M1525" s="35" t="s">
        <v>10</v>
      </c>
      <c r="N1525" s="32" t="s">
        <v>34</v>
      </c>
      <c r="O1525" s="32" t="s">
        <v>26</v>
      </c>
      <c r="P1525" s="32" t="s">
        <v>13</v>
      </c>
      <c r="Q1525" s="32" t="s">
        <v>14</v>
      </c>
      <c r="R1525" s="32" t="s">
        <v>24</v>
      </c>
      <c r="S1525" s="32">
        <v>25115</v>
      </c>
      <c r="T1525" s="32">
        <v>3060</v>
      </c>
      <c r="U1525" s="83">
        <v>22055</v>
      </c>
    </row>
    <row r="1526" spans="12:21">
      <c r="L1526" s="34">
        <v>109876</v>
      </c>
      <c r="M1526" s="35" t="s">
        <v>10</v>
      </c>
      <c r="N1526" s="35" t="s">
        <v>11</v>
      </c>
      <c r="O1526" s="35" t="s">
        <v>32</v>
      </c>
      <c r="P1526" s="35" t="s">
        <v>13</v>
      </c>
      <c r="Q1526" s="35" t="s">
        <v>14</v>
      </c>
      <c r="R1526" s="35" t="s">
        <v>15</v>
      </c>
      <c r="S1526" s="35">
        <v>3745</v>
      </c>
      <c r="T1526" s="35">
        <v>110</v>
      </c>
      <c r="U1526" s="84">
        <v>3635</v>
      </c>
    </row>
    <row r="1527" spans="12:21">
      <c r="L1527" s="31">
        <v>108536</v>
      </c>
      <c r="M1527" s="35" t="s">
        <v>10</v>
      </c>
      <c r="N1527" s="32" t="s">
        <v>25</v>
      </c>
      <c r="O1527" s="32" t="s">
        <v>23</v>
      </c>
      <c r="P1527" s="32" t="s">
        <v>19</v>
      </c>
      <c r="Q1527" s="32" t="s">
        <v>14</v>
      </c>
      <c r="R1527" s="32" t="s">
        <v>24</v>
      </c>
      <c r="S1527" s="32">
        <v>64752</v>
      </c>
      <c r="T1527" s="32">
        <v>6029</v>
      </c>
      <c r="U1527" s="83">
        <v>58723</v>
      </c>
    </row>
    <row r="1530" spans="12:21">
      <c r="L1530" t="s">
        <v>137</v>
      </c>
    </row>
    <row r="1531" spans="12:21">
      <c r="L1531" s="38" t="s">
        <v>0</v>
      </c>
      <c r="M1531" s="40" t="s">
        <v>1</v>
      </c>
      <c r="N1531" s="38" t="s">
        <v>2</v>
      </c>
      <c r="O1531" s="38" t="s">
        <v>3</v>
      </c>
      <c r="P1531" s="38" t="s">
        <v>4</v>
      </c>
      <c r="Q1531" s="38" t="s">
        <v>5</v>
      </c>
      <c r="R1531" s="38" t="s">
        <v>6</v>
      </c>
      <c r="S1531" s="38" t="s">
        <v>7</v>
      </c>
      <c r="T1531" s="38" t="s">
        <v>8</v>
      </c>
      <c r="U1531" s="85" t="s">
        <v>9</v>
      </c>
    </row>
    <row r="1532" spans="12:21">
      <c r="L1532" s="32">
        <v>138235</v>
      </c>
      <c r="M1532" s="35" t="s">
        <v>16</v>
      </c>
      <c r="N1532" s="32" t="s">
        <v>17</v>
      </c>
      <c r="O1532" s="32" t="s">
        <v>18</v>
      </c>
      <c r="P1532" s="32" t="s">
        <v>19</v>
      </c>
      <c r="Q1532" s="32" t="s">
        <v>14</v>
      </c>
      <c r="R1532" s="32" t="s">
        <v>15</v>
      </c>
      <c r="S1532" s="32">
        <v>62342</v>
      </c>
      <c r="T1532" s="32">
        <v>337</v>
      </c>
      <c r="U1532" s="81">
        <v>62005</v>
      </c>
    </row>
    <row r="1533" spans="12:21">
      <c r="L1533" s="35">
        <v>231743</v>
      </c>
      <c r="M1533" s="35" t="s">
        <v>16</v>
      </c>
      <c r="N1533" s="35" t="s">
        <v>17</v>
      </c>
      <c r="O1533" s="35" t="s">
        <v>30</v>
      </c>
      <c r="P1533" s="35" t="s">
        <v>13</v>
      </c>
      <c r="Q1533" s="35" t="s">
        <v>14</v>
      </c>
      <c r="R1533" s="35" t="s">
        <v>24</v>
      </c>
      <c r="S1533" s="35">
        <v>17427</v>
      </c>
      <c r="T1533" s="35">
        <v>2405</v>
      </c>
      <c r="U1533" s="81">
        <v>15022</v>
      </c>
    </row>
    <row r="1534" spans="12:21">
      <c r="L1534" s="32">
        <v>59709</v>
      </c>
      <c r="M1534" s="35" t="s">
        <v>16</v>
      </c>
      <c r="N1534" s="32" t="s">
        <v>27</v>
      </c>
      <c r="O1534" s="32" t="s">
        <v>33</v>
      </c>
      <c r="P1534" s="32" t="s">
        <v>13</v>
      </c>
      <c r="Q1534" s="32" t="s">
        <v>14</v>
      </c>
      <c r="R1534" s="32" t="s">
        <v>15</v>
      </c>
      <c r="S1534" s="32">
        <v>51006</v>
      </c>
      <c r="T1534" s="32">
        <v>2868</v>
      </c>
      <c r="U1534" s="81">
        <v>48138</v>
      </c>
    </row>
    <row r="1535" spans="12:21">
      <c r="L1535" s="35">
        <v>100739</v>
      </c>
      <c r="M1535" s="35" t="s">
        <v>16</v>
      </c>
      <c r="N1535" s="35" t="s">
        <v>34</v>
      </c>
      <c r="O1535" s="35" t="s">
        <v>26</v>
      </c>
      <c r="P1535" s="35" t="s">
        <v>13</v>
      </c>
      <c r="Q1535" s="35" t="s">
        <v>14</v>
      </c>
      <c r="R1535" s="35" t="s">
        <v>24</v>
      </c>
      <c r="S1535" s="35">
        <v>28047</v>
      </c>
      <c r="T1535" s="35">
        <v>2486</v>
      </c>
      <c r="U1535" s="81">
        <v>25561</v>
      </c>
    </row>
    <row r="1536" spans="12:21">
      <c r="L1536" s="32">
        <v>246052</v>
      </c>
      <c r="M1536" s="35" t="s">
        <v>16</v>
      </c>
      <c r="N1536" s="32" t="s">
        <v>25</v>
      </c>
      <c r="O1536" s="32" t="s">
        <v>21</v>
      </c>
      <c r="P1536" s="32" t="s">
        <v>19</v>
      </c>
      <c r="Q1536" s="32" t="s">
        <v>14</v>
      </c>
      <c r="R1536" s="32" t="s">
        <v>15</v>
      </c>
      <c r="S1536" s="32">
        <v>58304</v>
      </c>
      <c r="T1536" s="32">
        <v>5581</v>
      </c>
      <c r="U1536" s="81">
        <v>52723</v>
      </c>
    </row>
    <row r="1537" spans="12:21">
      <c r="L1537" s="35">
        <v>177001</v>
      </c>
      <c r="M1537" s="35" t="s">
        <v>16</v>
      </c>
      <c r="N1537" s="35" t="s">
        <v>25</v>
      </c>
      <c r="O1537" s="35" t="s">
        <v>30</v>
      </c>
      <c r="P1537" s="35" t="s">
        <v>19</v>
      </c>
      <c r="Q1537" s="35" t="s">
        <v>28</v>
      </c>
      <c r="R1537" s="35" t="s">
        <v>15</v>
      </c>
      <c r="S1537" s="35">
        <v>25172</v>
      </c>
      <c r="T1537" s="35">
        <v>7850</v>
      </c>
      <c r="U1537" s="81">
        <v>17322</v>
      </c>
    </row>
    <row r="1538" spans="12:21">
      <c r="L1538" s="32">
        <v>28041</v>
      </c>
      <c r="M1538" s="35" t="s">
        <v>16</v>
      </c>
      <c r="N1538" s="32" t="s">
        <v>11</v>
      </c>
      <c r="O1538" s="32" t="s">
        <v>33</v>
      </c>
      <c r="P1538" s="32" t="s">
        <v>13</v>
      </c>
      <c r="Q1538" s="32" t="s">
        <v>28</v>
      </c>
      <c r="R1538" s="32" t="s">
        <v>15</v>
      </c>
      <c r="S1538" s="32">
        <v>71962</v>
      </c>
      <c r="T1538" s="32">
        <v>344</v>
      </c>
      <c r="U1538" s="81">
        <v>71618</v>
      </c>
    </row>
    <row r="1539" spans="12:21">
      <c r="L1539" s="35">
        <v>122913</v>
      </c>
      <c r="M1539" s="35" t="s">
        <v>16</v>
      </c>
      <c r="N1539" s="35" t="s">
        <v>25</v>
      </c>
      <c r="O1539" s="35" t="s">
        <v>21</v>
      </c>
      <c r="P1539" s="35" t="s">
        <v>19</v>
      </c>
      <c r="Q1539" s="35" t="s">
        <v>28</v>
      </c>
      <c r="R1539" s="35" t="s">
        <v>24</v>
      </c>
      <c r="S1539" s="35">
        <v>7089</v>
      </c>
      <c r="T1539" s="35">
        <v>0</v>
      </c>
      <c r="U1539" s="81">
        <v>7089</v>
      </c>
    </row>
    <row r="1540" spans="12:21">
      <c r="L1540" s="32">
        <v>176823</v>
      </c>
      <c r="M1540" s="35" t="s">
        <v>16</v>
      </c>
      <c r="N1540" s="32" t="s">
        <v>25</v>
      </c>
      <c r="O1540" s="32" t="s">
        <v>30</v>
      </c>
      <c r="P1540" s="32" t="s">
        <v>13</v>
      </c>
      <c r="Q1540" s="32" t="s">
        <v>14</v>
      </c>
      <c r="R1540" s="32" t="s">
        <v>15</v>
      </c>
      <c r="S1540" s="32">
        <v>34603</v>
      </c>
      <c r="T1540" s="32">
        <v>3567</v>
      </c>
      <c r="U1540" s="81">
        <v>31036</v>
      </c>
    </row>
    <row r="1541" spans="12:21">
      <c r="L1541" s="35">
        <v>27050</v>
      </c>
      <c r="M1541" s="35" t="s">
        <v>16</v>
      </c>
      <c r="N1541" s="35" t="s">
        <v>35</v>
      </c>
      <c r="O1541" s="35" t="s">
        <v>33</v>
      </c>
      <c r="P1541" s="35" t="s">
        <v>13</v>
      </c>
      <c r="Q1541" s="35" t="s">
        <v>14</v>
      </c>
      <c r="R1541" s="35" t="s">
        <v>15</v>
      </c>
      <c r="S1541" s="35">
        <v>18824</v>
      </c>
      <c r="T1541" s="35">
        <v>371</v>
      </c>
      <c r="U1541" s="81">
        <v>18453</v>
      </c>
    </row>
    <row r="1542" spans="12:21">
      <c r="L1542" s="32">
        <v>26499</v>
      </c>
      <c r="M1542" s="35" t="s">
        <v>16</v>
      </c>
      <c r="N1542" s="32" t="s">
        <v>34</v>
      </c>
      <c r="O1542" s="32" t="s">
        <v>12</v>
      </c>
      <c r="P1542" s="32" t="s">
        <v>19</v>
      </c>
      <c r="Q1542" s="32" t="s">
        <v>14</v>
      </c>
      <c r="R1542" s="32" t="s">
        <v>15</v>
      </c>
      <c r="S1542" s="32">
        <v>80751</v>
      </c>
      <c r="T1542" s="32">
        <v>160</v>
      </c>
      <c r="U1542" s="81">
        <v>80591</v>
      </c>
    </row>
    <row r="1543" spans="12:21">
      <c r="L1543" s="35">
        <v>179586</v>
      </c>
      <c r="M1543" s="35" t="s">
        <v>16</v>
      </c>
      <c r="N1543" s="35" t="s">
        <v>17</v>
      </c>
      <c r="O1543" s="35" t="s">
        <v>36</v>
      </c>
      <c r="P1543" s="35" t="s">
        <v>19</v>
      </c>
      <c r="Q1543" s="35" t="s">
        <v>14</v>
      </c>
      <c r="R1543" s="35" t="s">
        <v>24</v>
      </c>
      <c r="S1543" s="35">
        <v>42233</v>
      </c>
      <c r="T1543" s="35">
        <v>1607</v>
      </c>
      <c r="U1543" s="81">
        <v>40626</v>
      </c>
    </row>
    <row r="1544" spans="12:21">
      <c r="L1544" s="32">
        <v>256331</v>
      </c>
      <c r="M1544" s="35" t="s">
        <v>16</v>
      </c>
      <c r="N1544" s="32" t="s">
        <v>17</v>
      </c>
      <c r="O1544" s="32" t="s">
        <v>18</v>
      </c>
      <c r="P1544" s="32" t="s">
        <v>19</v>
      </c>
      <c r="Q1544" s="32" t="s">
        <v>14</v>
      </c>
      <c r="R1544" s="32" t="s">
        <v>24</v>
      </c>
      <c r="S1544" s="32">
        <v>17386</v>
      </c>
      <c r="T1544" s="32">
        <v>716</v>
      </c>
      <c r="U1544" s="81">
        <v>16670</v>
      </c>
    </row>
    <row r="1545" spans="12:21">
      <c r="L1545" s="35">
        <v>11162</v>
      </c>
      <c r="M1545" s="35" t="s">
        <v>16</v>
      </c>
      <c r="N1545" s="35" t="s">
        <v>37</v>
      </c>
      <c r="O1545" s="35" t="s">
        <v>33</v>
      </c>
      <c r="P1545" s="35" t="s">
        <v>13</v>
      </c>
      <c r="Q1545" s="35" t="s">
        <v>14</v>
      </c>
      <c r="R1545" s="35" t="s">
        <v>15</v>
      </c>
      <c r="S1545" s="35">
        <v>60311</v>
      </c>
      <c r="T1545" s="35">
        <v>321</v>
      </c>
      <c r="U1545" s="81">
        <v>59990</v>
      </c>
    </row>
    <row r="1546" spans="12:21">
      <c r="L1546" s="32">
        <v>224846</v>
      </c>
      <c r="M1546" s="35" t="s">
        <v>16</v>
      </c>
      <c r="N1546" s="32" t="s">
        <v>17</v>
      </c>
      <c r="O1546" s="32" t="s">
        <v>30</v>
      </c>
      <c r="P1546" s="32" t="s">
        <v>13</v>
      </c>
      <c r="Q1546" s="32" t="s">
        <v>28</v>
      </c>
      <c r="R1546" s="32" t="s">
        <v>24</v>
      </c>
      <c r="S1546" s="32">
        <v>66457</v>
      </c>
      <c r="T1546" s="32">
        <v>822</v>
      </c>
      <c r="U1546" s="81">
        <v>65635</v>
      </c>
    </row>
    <row r="1547" spans="12:21">
      <c r="L1547" s="35">
        <v>226711</v>
      </c>
      <c r="M1547" s="35" t="s">
        <v>16</v>
      </c>
      <c r="N1547" s="35" t="s">
        <v>25</v>
      </c>
      <c r="O1547" s="35" t="s">
        <v>12</v>
      </c>
      <c r="P1547" s="35" t="s">
        <v>13</v>
      </c>
      <c r="Q1547" s="35" t="s">
        <v>28</v>
      </c>
      <c r="R1547" s="35" t="s">
        <v>15</v>
      </c>
      <c r="S1547" s="35">
        <v>21969</v>
      </c>
      <c r="T1547" s="35">
        <v>8136</v>
      </c>
      <c r="U1547" s="81">
        <v>13833</v>
      </c>
    </row>
    <row r="1548" spans="12:21">
      <c r="L1548" s="32">
        <v>98339</v>
      </c>
      <c r="M1548" s="35" t="s">
        <v>16</v>
      </c>
      <c r="N1548" s="32" t="s">
        <v>11</v>
      </c>
      <c r="O1548" s="32" t="s">
        <v>12</v>
      </c>
      <c r="P1548" s="32" t="s">
        <v>13</v>
      </c>
      <c r="Q1548" s="32" t="s">
        <v>14</v>
      </c>
      <c r="R1548" s="32" t="s">
        <v>15</v>
      </c>
      <c r="S1548" s="32">
        <v>98107</v>
      </c>
      <c r="T1548" s="32">
        <v>860</v>
      </c>
      <c r="U1548" s="81">
        <v>97247</v>
      </c>
    </row>
    <row r="1549" spans="12:21">
      <c r="L1549" s="35">
        <v>69724</v>
      </c>
      <c r="M1549" s="35" t="s">
        <v>16</v>
      </c>
      <c r="N1549" s="35" t="s">
        <v>35</v>
      </c>
      <c r="O1549" s="35" t="s">
        <v>32</v>
      </c>
      <c r="P1549" s="35" t="s">
        <v>13</v>
      </c>
      <c r="Q1549" s="35" t="s">
        <v>14</v>
      </c>
      <c r="R1549" s="35" t="s">
        <v>15</v>
      </c>
      <c r="S1549" s="35">
        <v>744</v>
      </c>
      <c r="T1549" s="35">
        <v>37</v>
      </c>
      <c r="U1549" s="81">
        <v>707</v>
      </c>
    </row>
    <row r="1550" spans="12:21">
      <c r="L1550" s="32">
        <v>225556</v>
      </c>
      <c r="M1550" s="35" t="s">
        <v>16</v>
      </c>
      <c r="N1550" s="32" t="s">
        <v>25</v>
      </c>
      <c r="O1550" s="32" t="s">
        <v>30</v>
      </c>
      <c r="P1550" s="32" t="s">
        <v>19</v>
      </c>
      <c r="Q1550" s="32" t="s">
        <v>14</v>
      </c>
      <c r="R1550" s="32" t="s">
        <v>15</v>
      </c>
      <c r="S1550" s="32">
        <v>73774</v>
      </c>
      <c r="T1550" s="32">
        <v>418</v>
      </c>
      <c r="U1550" s="81">
        <v>73356</v>
      </c>
    </row>
    <row r="1551" spans="12:21">
      <c r="L1551" s="35">
        <v>240008</v>
      </c>
      <c r="M1551" s="35" t="s">
        <v>16</v>
      </c>
      <c r="N1551" s="35" t="s">
        <v>27</v>
      </c>
      <c r="O1551" s="35" t="s">
        <v>12</v>
      </c>
      <c r="P1551" s="35" t="s">
        <v>13</v>
      </c>
      <c r="Q1551" s="35" t="s">
        <v>28</v>
      </c>
      <c r="R1551" s="35" t="s">
        <v>15</v>
      </c>
      <c r="S1551" s="35">
        <v>35404</v>
      </c>
      <c r="T1551" s="35">
        <v>366</v>
      </c>
      <c r="U1551" s="81">
        <v>35038</v>
      </c>
    </row>
    <row r="1552" spans="12:21">
      <c r="L1552" s="32">
        <v>96904</v>
      </c>
      <c r="M1552" s="35" t="s">
        <v>16</v>
      </c>
      <c r="N1552" s="32" t="s">
        <v>34</v>
      </c>
      <c r="O1552" s="32" t="s">
        <v>33</v>
      </c>
      <c r="P1552" s="32" t="s">
        <v>13</v>
      </c>
      <c r="Q1552" s="32" t="s">
        <v>14</v>
      </c>
      <c r="R1552" s="32" t="s">
        <v>15</v>
      </c>
      <c r="S1552" s="32">
        <v>77899</v>
      </c>
      <c r="T1552" s="32">
        <v>2867</v>
      </c>
      <c r="U1552" s="81">
        <v>75032</v>
      </c>
    </row>
    <row r="1553" spans="12:21">
      <c r="L1553" s="35">
        <v>170416</v>
      </c>
      <c r="M1553" s="35" t="s">
        <v>16</v>
      </c>
      <c r="N1553" s="35" t="s">
        <v>35</v>
      </c>
      <c r="O1553" s="35" t="s">
        <v>30</v>
      </c>
      <c r="P1553" s="35" t="s">
        <v>13</v>
      </c>
      <c r="Q1553" s="35" t="s">
        <v>28</v>
      </c>
      <c r="R1553" s="35" t="s">
        <v>15</v>
      </c>
      <c r="S1553" s="35">
        <v>113671</v>
      </c>
      <c r="T1553" s="35">
        <v>1610</v>
      </c>
      <c r="U1553" s="81">
        <v>112061</v>
      </c>
    </row>
    <row r="1554" spans="12:21">
      <c r="L1554" s="32">
        <v>165540</v>
      </c>
      <c r="M1554" s="35" t="s">
        <v>16</v>
      </c>
      <c r="N1554" s="32" t="s">
        <v>35</v>
      </c>
      <c r="O1554" s="32" t="s">
        <v>36</v>
      </c>
      <c r="P1554" s="32" t="s">
        <v>13</v>
      </c>
      <c r="Q1554" s="32" t="s">
        <v>14</v>
      </c>
      <c r="R1554" s="32" t="s">
        <v>24</v>
      </c>
      <c r="S1554" s="32">
        <v>45490</v>
      </c>
      <c r="T1554" s="32">
        <v>0</v>
      </c>
      <c r="U1554" s="81">
        <v>45490</v>
      </c>
    </row>
    <row r="1555" spans="12:21">
      <c r="L1555" s="35">
        <v>25300</v>
      </c>
      <c r="M1555" s="35" t="s">
        <v>16</v>
      </c>
      <c r="N1555" s="35" t="s">
        <v>35</v>
      </c>
      <c r="O1555" s="35" t="s">
        <v>36</v>
      </c>
      <c r="P1555" s="35" t="s">
        <v>13</v>
      </c>
      <c r="Q1555" s="35" t="s">
        <v>14</v>
      </c>
      <c r="R1555" s="35" t="s">
        <v>24</v>
      </c>
      <c r="S1555" s="35">
        <v>39061</v>
      </c>
      <c r="T1555" s="35">
        <v>6416</v>
      </c>
      <c r="U1555" s="81">
        <v>32645</v>
      </c>
    </row>
    <row r="1556" spans="12:21">
      <c r="L1556" s="32">
        <v>103799</v>
      </c>
      <c r="M1556" s="35" t="s">
        <v>16</v>
      </c>
      <c r="N1556" s="32" t="s">
        <v>27</v>
      </c>
      <c r="O1556" s="32" t="s">
        <v>33</v>
      </c>
      <c r="P1556" s="32" t="s">
        <v>19</v>
      </c>
      <c r="Q1556" s="32" t="s">
        <v>14</v>
      </c>
      <c r="R1556" s="32" t="s">
        <v>24</v>
      </c>
      <c r="S1556" s="32">
        <v>115567</v>
      </c>
      <c r="T1556" s="32">
        <v>1454</v>
      </c>
      <c r="U1556" s="81">
        <v>114113</v>
      </c>
    </row>
    <row r="1557" spans="12:21">
      <c r="L1557" s="35">
        <v>164959</v>
      </c>
      <c r="M1557" s="35" t="s">
        <v>16</v>
      </c>
      <c r="N1557" s="35" t="s">
        <v>25</v>
      </c>
      <c r="O1557" s="35" t="s">
        <v>26</v>
      </c>
      <c r="P1557" s="35" t="s">
        <v>19</v>
      </c>
      <c r="Q1557" s="35" t="s">
        <v>14</v>
      </c>
      <c r="R1557" s="35" t="s">
        <v>24</v>
      </c>
      <c r="S1557" s="35">
        <v>12417</v>
      </c>
      <c r="T1557" s="35">
        <v>0</v>
      </c>
      <c r="U1557" s="81">
        <v>12417</v>
      </c>
    </row>
    <row r="1558" spans="12:21">
      <c r="L1558" s="32">
        <v>205631</v>
      </c>
      <c r="M1558" s="35" t="s">
        <v>16</v>
      </c>
      <c r="N1558" s="32" t="s">
        <v>20</v>
      </c>
      <c r="O1558" s="32" t="s">
        <v>32</v>
      </c>
      <c r="P1558" s="32" t="s">
        <v>19</v>
      </c>
      <c r="Q1558" s="32" t="s">
        <v>28</v>
      </c>
      <c r="R1558" s="32" t="s">
        <v>24</v>
      </c>
      <c r="S1558" s="32">
        <v>395</v>
      </c>
      <c r="T1558" s="32">
        <v>0</v>
      </c>
      <c r="U1558" s="81">
        <v>395</v>
      </c>
    </row>
    <row r="1559" spans="12:21">
      <c r="L1559" s="35">
        <v>70733</v>
      </c>
      <c r="M1559" s="35" t="s">
        <v>16</v>
      </c>
      <c r="N1559" s="35" t="s">
        <v>17</v>
      </c>
      <c r="O1559" s="35" t="s">
        <v>33</v>
      </c>
      <c r="P1559" s="35" t="s">
        <v>19</v>
      </c>
      <c r="Q1559" s="35" t="s">
        <v>14</v>
      </c>
      <c r="R1559" s="35" t="s">
        <v>15</v>
      </c>
      <c r="S1559" s="35">
        <v>116422</v>
      </c>
      <c r="T1559" s="35">
        <v>78</v>
      </c>
      <c r="U1559" s="81">
        <v>116344</v>
      </c>
    </row>
    <row r="1560" spans="12:21">
      <c r="L1560" s="32">
        <v>97914</v>
      </c>
      <c r="M1560" s="35" t="s">
        <v>16</v>
      </c>
      <c r="N1560" s="32" t="s">
        <v>20</v>
      </c>
      <c r="O1560" s="32" t="s">
        <v>21</v>
      </c>
      <c r="P1560" s="32" t="s">
        <v>19</v>
      </c>
      <c r="Q1560" s="32" t="s">
        <v>14</v>
      </c>
      <c r="R1560" s="32" t="s">
        <v>24</v>
      </c>
      <c r="S1560" s="32">
        <v>40149</v>
      </c>
      <c r="T1560" s="32">
        <v>927</v>
      </c>
      <c r="U1560" s="81">
        <v>39222</v>
      </c>
    </row>
    <row r="1561" spans="12:21">
      <c r="L1561" s="35">
        <v>139001</v>
      </c>
      <c r="M1561" s="35" t="s">
        <v>16</v>
      </c>
      <c r="N1561" s="35" t="s">
        <v>25</v>
      </c>
      <c r="O1561" s="35" t="s">
        <v>12</v>
      </c>
      <c r="P1561" s="35" t="s">
        <v>13</v>
      </c>
      <c r="Q1561" s="35" t="s">
        <v>14</v>
      </c>
      <c r="R1561" s="35" t="s">
        <v>24</v>
      </c>
      <c r="S1561" s="35">
        <v>10157</v>
      </c>
      <c r="T1561" s="35">
        <v>1205</v>
      </c>
      <c r="U1561" s="81">
        <v>8952</v>
      </c>
    </row>
    <row r="1562" spans="12:21">
      <c r="L1562" s="32">
        <v>3096</v>
      </c>
      <c r="M1562" s="35" t="s">
        <v>16</v>
      </c>
      <c r="N1562" s="32" t="s">
        <v>37</v>
      </c>
      <c r="O1562" s="32" t="s">
        <v>30</v>
      </c>
      <c r="P1562" s="32" t="s">
        <v>13</v>
      </c>
      <c r="Q1562" s="32" t="s">
        <v>14</v>
      </c>
      <c r="R1562" s="32" t="s">
        <v>15</v>
      </c>
      <c r="S1562" s="32">
        <v>105262</v>
      </c>
      <c r="T1562" s="32">
        <v>1808</v>
      </c>
      <c r="U1562" s="81">
        <v>103454</v>
      </c>
    </row>
    <row r="1563" spans="12:21">
      <c r="L1563" s="35">
        <v>228574</v>
      </c>
      <c r="M1563" s="35" t="s">
        <v>16</v>
      </c>
      <c r="N1563" s="35" t="s">
        <v>27</v>
      </c>
      <c r="O1563" s="35" t="s">
        <v>29</v>
      </c>
      <c r="P1563" s="35" t="s">
        <v>19</v>
      </c>
      <c r="Q1563" s="35" t="s">
        <v>14</v>
      </c>
      <c r="R1563" s="35" t="s">
        <v>24</v>
      </c>
      <c r="S1563" s="35">
        <v>47980</v>
      </c>
      <c r="T1563" s="35">
        <v>829</v>
      </c>
      <c r="U1563" s="81">
        <v>47151</v>
      </c>
    </row>
    <row r="1564" spans="12:21">
      <c r="L1564" s="32">
        <v>212571</v>
      </c>
      <c r="M1564" s="35" t="s">
        <v>16</v>
      </c>
      <c r="N1564" s="32" t="s">
        <v>37</v>
      </c>
      <c r="O1564" s="32" t="s">
        <v>30</v>
      </c>
      <c r="P1564" s="32" t="s">
        <v>13</v>
      </c>
      <c r="Q1564" s="32" t="s">
        <v>14</v>
      </c>
      <c r="R1564" s="32" t="s">
        <v>15</v>
      </c>
      <c r="S1564" s="32">
        <v>98086</v>
      </c>
      <c r="T1564" s="32">
        <v>7636</v>
      </c>
      <c r="U1564" s="81">
        <v>90450</v>
      </c>
    </row>
    <row r="1565" spans="12:21">
      <c r="L1565" s="35">
        <v>145200</v>
      </c>
      <c r="M1565" s="35" t="s">
        <v>16</v>
      </c>
      <c r="N1565" s="35" t="s">
        <v>22</v>
      </c>
      <c r="O1565" s="35" t="s">
        <v>26</v>
      </c>
      <c r="P1565" s="35" t="s">
        <v>19</v>
      </c>
      <c r="Q1565" s="35" t="s">
        <v>14</v>
      </c>
      <c r="R1565" s="35" t="s">
        <v>24</v>
      </c>
      <c r="S1565" s="35">
        <v>14916</v>
      </c>
      <c r="T1565" s="35">
        <v>1197</v>
      </c>
      <c r="U1565" s="81">
        <v>13719</v>
      </c>
    </row>
    <row r="1566" spans="12:21">
      <c r="L1566" s="32">
        <v>20069</v>
      </c>
      <c r="M1566" s="35" t="s">
        <v>16</v>
      </c>
      <c r="N1566" s="32" t="s">
        <v>11</v>
      </c>
      <c r="O1566" s="32" t="s">
        <v>30</v>
      </c>
      <c r="P1566" s="32" t="s">
        <v>13</v>
      </c>
      <c r="Q1566" s="32" t="s">
        <v>28</v>
      </c>
      <c r="R1566" s="32" t="s">
        <v>15</v>
      </c>
      <c r="S1566" s="32">
        <v>127747</v>
      </c>
      <c r="T1566" s="32">
        <v>4</v>
      </c>
      <c r="U1566" s="81">
        <v>127743</v>
      </c>
    </row>
    <row r="1567" spans="12:21">
      <c r="L1567" s="35">
        <v>24750</v>
      </c>
      <c r="M1567" s="35" t="s">
        <v>16</v>
      </c>
      <c r="N1567" s="35" t="s">
        <v>37</v>
      </c>
      <c r="O1567" s="35" t="s">
        <v>30</v>
      </c>
      <c r="P1567" s="35" t="s">
        <v>19</v>
      </c>
      <c r="Q1567" s="35" t="s">
        <v>14</v>
      </c>
      <c r="R1567" s="35" t="s">
        <v>24</v>
      </c>
      <c r="S1567" s="35">
        <v>64774</v>
      </c>
      <c r="T1567" s="35">
        <v>1858</v>
      </c>
      <c r="U1567" s="81">
        <v>62916</v>
      </c>
    </row>
    <row r="1568" spans="12:21">
      <c r="L1568" s="32">
        <v>39226</v>
      </c>
      <c r="M1568" s="35" t="s">
        <v>16</v>
      </c>
      <c r="N1568" s="32" t="s">
        <v>34</v>
      </c>
      <c r="O1568" s="32" t="s">
        <v>30</v>
      </c>
      <c r="P1568" s="32" t="s">
        <v>13</v>
      </c>
      <c r="Q1568" s="32" t="s">
        <v>14</v>
      </c>
      <c r="R1568" s="32" t="s">
        <v>15</v>
      </c>
      <c r="S1568" s="32">
        <v>37583</v>
      </c>
      <c r="T1568" s="32">
        <v>9783</v>
      </c>
      <c r="U1568" s="81">
        <v>27800</v>
      </c>
    </row>
    <row r="1569" spans="12:21">
      <c r="L1569" s="35">
        <v>20067</v>
      </c>
      <c r="M1569" s="35" t="s">
        <v>16</v>
      </c>
      <c r="N1569" s="35" t="s">
        <v>11</v>
      </c>
      <c r="O1569" s="35" t="s">
        <v>30</v>
      </c>
      <c r="P1569" s="35" t="s">
        <v>13</v>
      </c>
      <c r="Q1569" s="35" t="s">
        <v>14</v>
      </c>
      <c r="R1569" s="35" t="s">
        <v>24</v>
      </c>
      <c r="S1569" s="35">
        <v>81937</v>
      </c>
      <c r="T1569" s="35">
        <v>3496</v>
      </c>
      <c r="U1569" s="81">
        <v>78441</v>
      </c>
    </row>
    <row r="1570" spans="12:21">
      <c r="L1570" s="32">
        <v>214504</v>
      </c>
      <c r="M1570" s="35" t="s">
        <v>16</v>
      </c>
      <c r="N1570" s="32" t="s">
        <v>11</v>
      </c>
      <c r="O1570" s="32" t="s">
        <v>33</v>
      </c>
      <c r="P1570" s="32" t="s">
        <v>13</v>
      </c>
      <c r="Q1570" s="32" t="s">
        <v>14</v>
      </c>
      <c r="R1570" s="32" t="s">
        <v>15</v>
      </c>
      <c r="S1570" s="32">
        <v>76936</v>
      </c>
      <c r="T1570" s="32">
        <v>2577</v>
      </c>
      <c r="U1570" s="81">
        <v>74359</v>
      </c>
    </row>
    <row r="1571" spans="12:21">
      <c r="L1571" s="35">
        <v>34434</v>
      </c>
      <c r="M1571" s="35" t="s">
        <v>16</v>
      </c>
      <c r="N1571" s="35" t="s">
        <v>34</v>
      </c>
      <c r="O1571" s="35" t="s">
        <v>30</v>
      </c>
      <c r="P1571" s="35" t="s">
        <v>19</v>
      </c>
      <c r="Q1571" s="35" t="s">
        <v>14</v>
      </c>
      <c r="R1571" s="35" t="s">
        <v>15</v>
      </c>
      <c r="S1571" s="35">
        <v>122207</v>
      </c>
      <c r="T1571" s="35">
        <v>1583</v>
      </c>
      <c r="U1571" s="81">
        <v>120624</v>
      </c>
    </row>
    <row r="1572" spans="12:21">
      <c r="L1572" s="32">
        <v>5323</v>
      </c>
      <c r="M1572" s="35" t="s">
        <v>16</v>
      </c>
      <c r="N1572" s="32" t="s">
        <v>37</v>
      </c>
      <c r="O1572" s="32" t="s">
        <v>30</v>
      </c>
      <c r="P1572" s="32" t="s">
        <v>13</v>
      </c>
      <c r="Q1572" s="32" t="s">
        <v>14</v>
      </c>
      <c r="R1572" s="32" t="s">
        <v>15</v>
      </c>
      <c r="S1572" s="32">
        <v>50782</v>
      </c>
      <c r="T1572" s="32">
        <v>2692</v>
      </c>
      <c r="U1572" s="81">
        <v>48090</v>
      </c>
    </row>
    <row r="1573" spans="12:21">
      <c r="L1573" s="35">
        <v>126666</v>
      </c>
      <c r="M1573" s="35" t="s">
        <v>16</v>
      </c>
      <c r="N1573" s="35" t="s">
        <v>25</v>
      </c>
      <c r="O1573" s="35" t="s">
        <v>33</v>
      </c>
      <c r="P1573" s="35" t="s">
        <v>19</v>
      </c>
      <c r="Q1573" s="35" t="s">
        <v>14</v>
      </c>
      <c r="R1573" s="35" t="s">
        <v>24</v>
      </c>
      <c r="S1573" s="35">
        <v>53826</v>
      </c>
      <c r="T1573" s="35">
        <v>0</v>
      </c>
      <c r="U1573" s="81">
        <v>53826</v>
      </c>
    </row>
    <row r="1574" spans="12:21">
      <c r="L1574" s="32">
        <v>121124</v>
      </c>
      <c r="M1574" s="35" t="s">
        <v>16</v>
      </c>
      <c r="N1574" s="32" t="s">
        <v>22</v>
      </c>
      <c r="O1574" s="32" t="s">
        <v>36</v>
      </c>
      <c r="P1574" s="32" t="s">
        <v>19</v>
      </c>
      <c r="Q1574" s="32" t="s">
        <v>14</v>
      </c>
      <c r="R1574" s="32" t="s">
        <v>15</v>
      </c>
      <c r="S1574" s="32">
        <v>42556</v>
      </c>
      <c r="T1574" s="32">
        <v>1199</v>
      </c>
      <c r="U1574" s="81">
        <v>41357</v>
      </c>
    </row>
    <row r="1575" spans="12:21">
      <c r="L1575" s="35">
        <v>34160</v>
      </c>
      <c r="M1575" s="35" t="s">
        <v>16</v>
      </c>
      <c r="N1575" s="35" t="s">
        <v>11</v>
      </c>
      <c r="O1575" s="35" t="s">
        <v>18</v>
      </c>
      <c r="P1575" s="35" t="s">
        <v>19</v>
      </c>
      <c r="Q1575" s="35" t="s">
        <v>14</v>
      </c>
      <c r="R1575" s="35" t="s">
        <v>24</v>
      </c>
      <c r="S1575" s="35">
        <v>42654</v>
      </c>
      <c r="T1575" s="35">
        <v>1192</v>
      </c>
      <c r="U1575" s="81">
        <v>41462</v>
      </c>
    </row>
    <row r="1576" spans="12:21">
      <c r="L1576" s="32">
        <v>52120</v>
      </c>
      <c r="M1576" s="35" t="s">
        <v>16</v>
      </c>
      <c r="N1576" s="32" t="s">
        <v>34</v>
      </c>
      <c r="O1576" s="32" t="s">
        <v>32</v>
      </c>
      <c r="P1576" s="32" t="s">
        <v>13</v>
      </c>
      <c r="Q1576" s="32" t="s">
        <v>14</v>
      </c>
      <c r="R1576" s="32" t="s">
        <v>15</v>
      </c>
      <c r="S1576" s="32">
        <v>79984</v>
      </c>
      <c r="T1576" s="32">
        <v>0</v>
      </c>
      <c r="U1576" s="81">
        <v>79984</v>
      </c>
    </row>
    <row r="1577" spans="12:21">
      <c r="L1577" s="35">
        <v>175058</v>
      </c>
      <c r="M1577" s="35" t="s">
        <v>16</v>
      </c>
      <c r="N1577" s="35" t="s">
        <v>22</v>
      </c>
      <c r="O1577" s="35" t="s">
        <v>30</v>
      </c>
      <c r="P1577" s="35" t="s">
        <v>13</v>
      </c>
      <c r="Q1577" s="35" t="s">
        <v>14</v>
      </c>
      <c r="R1577" s="35" t="s">
        <v>15</v>
      </c>
      <c r="S1577" s="35">
        <v>315</v>
      </c>
      <c r="T1577" s="35">
        <v>1298</v>
      </c>
      <c r="U1577" s="81">
        <v>-983</v>
      </c>
    </row>
    <row r="1578" spans="12:21">
      <c r="L1578" s="32">
        <v>96356</v>
      </c>
      <c r="M1578" s="35" t="s">
        <v>16</v>
      </c>
      <c r="N1578" s="32" t="s">
        <v>20</v>
      </c>
      <c r="O1578" s="32" t="s">
        <v>32</v>
      </c>
      <c r="P1578" s="32" t="s">
        <v>19</v>
      </c>
      <c r="Q1578" s="32" t="s">
        <v>14</v>
      </c>
      <c r="R1578" s="32" t="s">
        <v>24</v>
      </c>
      <c r="S1578" s="32">
        <v>25773</v>
      </c>
      <c r="T1578" s="32">
        <v>0</v>
      </c>
      <c r="U1578" s="81">
        <v>25773</v>
      </c>
    </row>
    <row r="1579" spans="12:21">
      <c r="L1579" s="35">
        <v>235723</v>
      </c>
      <c r="M1579" s="35" t="s">
        <v>16</v>
      </c>
      <c r="N1579" s="35" t="s">
        <v>17</v>
      </c>
      <c r="O1579" s="35" t="s">
        <v>30</v>
      </c>
      <c r="P1579" s="35" t="s">
        <v>19</v>
      </c>
      <c r="Q1579" s="35" t="s">
        <v>28</v>
      </c>
      <c r="R1579" s="35" t="s">
        <v>15</v>
      </c>
      <c r="S1579" s="35">
        <v>45033</v>
      </c>
      <c r="T1579" s="35">
        <v>2422</v>
      </c>
      <c r="U1579" s="81">
        <v>42611</v>
      </c>
    </row>
    <row r="1580" spans="12:21">
      <c r="L1580" s="32">
        <v>246762</v>
      </c>
      <c r="M1580" s="35" t="s">
        <v>16</v>
      </c>
      <c r="N1580" s="32" t="s">
        <v>17</v>
      </c>
      <c r="O1580" s="32" t="s">
        <v>18</v>
      </c>
      <c r="P1580" s="32" t="s">
        <v>19</v>
      </c>
      <c r="Q1580" s="32" t="s">
        <v>14</v>
      </c>
      <c r="R1580" s="32" t="s">
        <v>15</v>
      </c>
      <c r="S1580" s="32">
        <v>23903</v>
      </c>
      <c r="T1580" s="32">
        <v>270</v>
      </c>
      <c r="U1580" s="81">
        <v>23633</v>
      </c>
    </row>
    <row r="1581" spans="12:21">
      <c r="L1581" s="35">
        <v>222188</v>
      </c>
      <c r="M1581" s="35" t="s">
        <v>16</v>
      </c>
      <c r="N1581" s="35" t="s">
        <v>20</v>
      </c>
      <c r="O1581" s="35" t="s">
        <v>32</v>
      </c>
      <c r="P1581" s="35" t="s">
        <v>19</v>
      </c>
      <c r="Q1581" s="35" t="s">
        <v>28</v>
      </c>
      <c r="R1581" s="35" t="s">
        <v>15</v>
      </c>
      <c r="S1581" s="35">
        <v>107373</v>
      </c>
      <c r="T1581" s="35">
        <v>0</v>
      </c>
      <c r="U1581" s="81">
        <v>107373</v>
      </c>
    </row>
    <row r="1582" spans="12:21">
      <c r="L1582" s="32">
        <v>148276</v>
      </c>
      <c r="M1582" s="35" t="s">
        <v>16</v>
      </c>
      <c r="N1582" s="32" t="s">
        <v>25</v>
      </c>
      <c r="O1582" s="32" t="s">
        <v>36</v>
      </c>
      <c r="P1582" s="32" t="s">
        <v>19</v>
      </c>
      <c r="Q1582" s="32" t="s">
        <v>28</v>
      </c>
      <c r="R1582" s="32" t="s">
        <v>24</v>
      </c>
      <c r="S1582" s="32">
        <v>65323</v>
      </c>
      <c r="T1582" s="32">
        <v>355</v>
      </c>
      <c r="U1582" s="81">
        <v>64968</v>
      </c>
    </row>
    <row r="1583" spans="12:21">
      <c r="L1583" s="35">
        <v>71850</v>
      </c>
      <c r="M1583" s="35" t="s">
        <v>16</v>
      </c>
      <c r="N1583" s="35" t="s">
        <v>27</v>
      </c>
      <c r="O1583" s="35" t="s">
        <v>30</v>
      </c>
      <c r="P1583" s="35" t="s">
        <v>13</v>
      </c>
      <c r="Q1583" s="35" t="s">
        <v>14</v>
      </c>
      <c r="R1583" s="35" t="s">
        <v>15</v>
      </c>
      <c r="S1583" s="35">
        <v>43748</v>
      </c>
      <c r="T1583" s="35">
        <v>2569</v>
      </c>
      <c r="U1583" s="81">
        <v>41179</v>
      </c>
    </row>
    <row r="1584" spans="12:21">
      <c r="L1584" s="32">
        <v>72632</v>
      </c>
      <c r="M1584" s="35" t="s">
        <v>16</v>
      </c>
      <c r="N1584" s="32" t="s">
        <v>27</v>
      </c>
      <c r="O1584" s="32" t="s">
        <v>30</v>
      </c>
      <c r="P1584" s="32" t="s">
        <v>13</v>
      </c>
      <c r="Q1584" s="32" t="s">
        <v>14</v>
      </c>
      <c r="R1584" s="32" t="s">
        <v>15</v>
      </c>
      <c r="S1584" s="32">
        <v>133566</v>
      </c>
      <c r="T1584" s="32">
        <v>5948</v>
      </c>
      <c r="U1584" s="81">
        <v>127618</v>
      </c>
    </row>
    <row r="1585" spans="12:21">
      <c r="L1585" s="35">
        <v>254457</v>
      </c>
      <c r="M1585" s="35" t="s">
        <v>16</v>
      </c>
      <c r="N1585" s="35" t="s">
        <v>34</v>
      </c>
      <c r="O1585" s="35" t="s">
        <v>36</v>
      </c>
      <c r="P1585" s="35" t="s">
        <v>13</v>
      </c>
      <c r="Q1585" s="35" t="s">
        <v>14</v>
      </c>
      <c r="R1585" s="35" t="s">
        <v>15</v>
      </c>
      <c r="S1585" s="35">
        <v>12158</v>
      </c>
      <c r="T1585" s="35">
        <v>111</v>
      </c>
      <c r="U1585" s="81">
        <v>12047</v>
      </c>
    </row>
    <row r="1586" spans="12:21">
      <c r="L1586" s="32">
        <v>247583</v>
      </c>
      <c r="M1586" s="35" t="s">
        <v>16</v>
      </c>
      <c r="N1586" s="32" t="s">
        <v>17</v>
      </c>
      <c r="O1586" s="32" t="s">
        <v>23</v>
      </c>
      <c r="P1586" s="32" t="s">
        <v>19</v>
      </c>
      <c r="Q1586" s="32" t="s">
        <v>28</v>
      </c>
      <c r="R1586" s="32" t="s">
        <v>15</v>
      </c>
      <c r="S1586" s="32">
        <v>26704</v>
      </c>
      <c r="T1586" s="32">
        <v>286</v>
      </c>
      <c r="U1586" s="81">
        <v>26418</v>
      </c>
    </row>
    <row r="1587" spans="12:21">
      <c r="L1587" s="35">
        <v>189937</v>
      </c>
      <c r="M1587" s="35" t="s">
        <v>16</v>
      </c>
      <c r="N1587" s="35" t="s">
        <v>37</v>
      </c>
      <c r="O1587" s="35" t="s">
        <v>30</v>
      </c>
      <c r="P1587" s="35" t="s">
        <v>13</v>
      </c>
      <c r="Q1587" s="35" t="s">
        <v>14</v>
      </c>
      <c r="R1587" s="35" t="s">
        <v>15</v>
      </c>
      <c r="S1587" s="35">
        <v>47597</v>
      </c>
      <c r="T1587" s="35">
        <v>602</v>
      </c>
      <c r="U1587" s="81">
        <v>46995</v>
      </c>
    </row>
    <row r="1588" spans="12:21">
      <c r="L1588" s="32">
        <v>253899</v>
      </c>
      <c r="M1588" s="35" t="s">
        <v>16</v>
      </c>
      <c r="N1588" s="32" t="s">
        <v>17</v>
      </c>
      <c r="O1588" s="32" t="s">
        <v>33</v>
      </c>
      <c r="P1588" s="32" t="s">
        <v>19</v>
      </c>
      <c r="Q1588" s="32" t="s">
        <v>14</v>
      </c>
      <c r="R1588" s="32" t="s">
        <v>24</v>
      </c>
      <c r="S1588" s="32">
        <v>40434</v>
      </c>
      <c r="T1588" s="32">
        <v>1065</v>
      </c>
      <c r="U1588" s="81">
        <v>39369</v>
      </c>
    </row>
    <row r="1589" spans="12:21">
      <c r="L1589" s="35">
        <v>98678</v>
      </c>
      <c r="M1589" s="35" t="s">
        <v>16</v>
      </c>
      <c r="N1589" s="35" t="s">
        <v>37</v>
      </c>
      <c r="O1589" s="35" t="s">
        <v>12</v>
      </c>
      <c r="P1589" s="35" t="s">
        <v>13</v>
      </c>
      <c r="Q1589" s="35" t="s">
        <v>14</v>
      </c>
      <c r="R1589" s="35" t="s">
        <v>15</v>
      </c>
      <c r="S1589" s="35">
        <v>23118</v>
      </c>
      <c r="T1589" s="35">
        <v>332</v>
      </c>
      <c r="U1589" s="81">
        <v>22786</v>
      </c>
    </row>
    <row r="1590" spans="12:21">
      <c r="L1590" s="32">
        <v>233812</v>
      </c>
      <c r="M1590" s="35" t="s">
        <v>16</v>
      </c>
      <c r="N1590" s="32" t="s">
        <v>17</v>
      </c>
      <c r="O1590" s="32" t="s">
        <v>12</v>
      </c>
      <c r="P1590" s="32" t="s">
        <v>19</v>
      </c>
      <c r="Q1590" s="32" t="s">
        <v>14</v>
      </c>
      <c r="R1590" s="32" t="s">
        <v>24</v>
      </c>
      <c r="S1590" s="32">
        <v>33626</v>
      </c>
      <c r="T1590" s="32">
        <v>1337</v>
      </c>
      <c r="U1590" s="81">
        <v>32289</v>
      </c>
    </row>
    <row r="1591" spans="12:21">
      <c r="L1591" s="35">
        <v>238918</v>
      </c>
      <c r="M1591" s="35" t="s">
        <v>16</v>
      </c>
      <c r="N1591" s="35" t="s">
        <v>17</v>
      </c>
      <c r="O1591" s="35" t="s">
        <v>18</v>
      </c>
      <c r="P1591" s="35" t="s">
        <v>19</v>
      </c>
      <c r="Q1591" s="35" t="s">
        <v>28</v>
      </c>
      <c r="R1591" s="35" t="s">
        <v>24</v>
      </c>
      <c r="S1591" s="35">
        <v>30551</v>
      </c>
      <c r="T1591" s="35">
        <v>0</v>
      </c>
      <c r="U1591" s="81">
        <v>30551</v>
      </c>
    </row>
    <row r="1592" spans="12:21">
      <c r="L1592" s="32">
        <v>179467</v>
      </c>
      <c r="M1592" s="35" t="s">
        <v>16</v>
      </c>
      <c r="N1592" s="32" t="s">
        <v>35</v>
      </c>
      <c r="O1592" s="32" t="s">
        <v>21</v>
      </c>
      <c r="P1592" s="32" t="s">
        <v>19</v>
      </c>
      <c r="Q1592" s="32" t="s">
        <v>14</v>
      </c>
      <c r="R1592" s="32" t="s">
        <v>24</v>
      </c>
      <c r="S1592" s="32">
        <v>40291</v>
      </c>
      <c r="T1592" s="32">
        <v>132</v>
      </c>
      <c r="U1592" s="81">
        <v>40159</v>
      </c>
    </row>
    <row r="1593" spans="12:21">
      <c r="L1593" s="35">
        <v>84077</v>
      </c>
      <c r="M1593" s="35" t="s">
        <v>16</v>
      </c>
      <c r="N1593" s="35" t="s">
        <v>34</v>
      </c>
      <c r="O1593" s="35" t="s">
        <v>26</v>
      </c>
      <c r="P1593" s="35" t="s">
        <v>13</v>
      </c>
      <c r="Q1593" s="35" t="s">
        <v>14</v>
      </c>
      <c r="R1593" s="35" t="s">
        <v>24</v>
      </c>
      <c r="S1593" s="35">
        <v>48649</v>
      </c>
      <c r="T1593" s="35">
        <v>3338</v>
      </c>
      <c r="U1593" s="81">
        <v>45311</v>
      </c>
    </row>
    <row r="1594" spans="12:21">
      <c r="L1594" s="32">
        <v>10417</v>
      </c>
      <c r="M1594" s="35" t="s">
        <v>16</v>
      </c>
      <c r="N1594" s="32" t="s">
        <v>34</v>
      </c>
      <c r="O1594" s="32" t="s">
        <v>33</v>
      </c>
      <c r="P1594" s="32" t="s">
        <v>13</v>
      </c>
      <c r="Q1594" s="32" t="s">
        <v>14</v>
      </c>
      <c r="R1594" s="32" t="s">
        <v>24</v>
      </c>
      <c r="S1594" s="32">
        <v>23126</v>
      </c>
      <c r="T1594" s="32">
        <v>975</v>
      </c>
      <c r="U1594" s="81">
        <v>22151</v>
      </c>
    </row>
    <row r="1595" spans="12:21">
      <c r="L1595" s="35">
        <v>106184</v>
      </c>
      <c r="M1595" s="35" t="s">
        <v>16</v>
      </c>
      <c r="N1595" s="35" t="s">
        <v>22</v>
      </c>
      <c r="O1595" s="35" t="s">
        <v>23</v>
      </c>
      <c r="P1595" s="35" t="s">
        <v>13</v>
      </c>
      <c r="Q1595" s="35" t="s">
        <v>14</v>
      </c>
      <c r="R1595" s="35" t="s">
        <v>15</v>
      </c>
      <c r="S1595" s="35">
        <v>61574</v>
      </c>
      <c r="T1595" s="35">
        <v>305</v>
      </c>
      <c r="U1595" s="81">
        <v>61269</v>
      </c>
    </row>
    <row r="1596" spans="12:21">
      <c r="L1596" s="32">
        <v>183036</v>
      </c>
      <c r="M1596" s="35" t="s">
        <v>16</v>
      </c>
      <c r="N1596" s="32" t="s">
        <v>20</v>
      </c>
      <c r="O1596" s="32" t="s">
        <v>32</v>
      </c>
      <c r="P1596" s="32" t="s">
        <v>19</v>
      </c>
      <c r="Q1596" s="32" t="s">
        <v>14</v>
      </c>
      <c r="R1596" s="32" t="s">
        <v>24</v>
      </c>
      <c r="S1596" s="32">
        <v>81512</v>
      </c>
      <c r="T1596" s="32">
        <v>585</v>
      </c>
      <c r="U1596" s="81">
        <v>80927</v>
      </c>
    </row>
    <row r="1597" spans="12:21">
      <c r="L1597" s="35">
        <v>115457</v>
      </c>
      <c r="M1597" s="35" t="s">
        <v>16</v>
      </c>
      <c r="N1597" s="35" t="s">
        <v>25</v>
      </c>
      <c r="O1597" s="35" t="s">
        <v>18</v>
      </c>
      <c r="P1597" s="35" t="s">
        <v>19</v>
      </c>
      <c r="Q1597" s="35" t="s">
        <v>14</v>
      </c>
      <c r="R1597" s="35" t="s">
        <v>24</v>
      </c>
      <c r="S1597" s="35">
        <v>54378</v>
      </c>
      <c r="T1597" s="35">
        <v>11234</v>
      </c>
      <c r="U1597" s="81">
        <v>43144</v>
      </c>
    </row>
    <row r="1598" spans="12:21">
      <c r="L1598" s="32">
        <v>135972</v>
      </c>
      <c r="M1598" s="35" t="s">
        <v>16</v>
      </c>
      <c r="N1598" s="32" t="s">
        <v>22</v>
      </c>
      <c r="O1598" s="32" t="s">
        <v>33</v>
      </c>
      <c r="P1598" s="32" t="s">
        <v>19</v>
      </c>
      <c r="Q1598" s="32" t="s">
        <v>14</v>
      </c>
      <c r="R1598" s="32" t="s">
        <v>15</v>
      </c>
      <c r="S1598" s="32">
        <v>67993</v>
      </c>
      <c r="T1598" s="32">
        <v>323</v>
      </c>
      <c r="U1598" s="81">
        <v>67670</v>
      </c>
    </row>
    <row r="1599" spans="12:21">
      <c r="L1599" s="35">
        <v>121500</v>
      </c>
      <c r="M1599" s="35" t="s">
        <v>16</v>
      </c>
      <c r="N1599" s="35" t="s">
        <v>22</v>
      </c>
      <c r="O1599" s="35" t="s">
        <v>30</v>
      </c>
      <c r="P1599" s="35" t="s">
        <v>13</v>
      </c>
      <c r="Q1599" s="35" t="s">
        <v>14</v>
      </c>
      <c r="R1599" s="35" t="s">
        <v>15</v>
      </c>
      <c r="S1599" s="35">
        <v>38749</v>
      </c>
      <c r="T1599" s="35">
        <v>4745</v>
      </c>
      <c r="U1599" s="81">
        <v>34004</v>
      </c>
    </row>
    <row r="1600" spans="12:21">
      <c r="L1600" s="32">
        <v>82959</v>
      </c>
      <c r="M1600" s="35" t="s">
        <v>16</v>
      </c>
      <c r="N1600" s="32" t="s">
        <v>34</v>
      </c>
      <c r="O1600" s="32" t="s">
        <v>32</v>
      </c>
      <c r="P1600" s="32" t="s">
        <v>13</v>
      </c>
      <c r="Q1600" s="32" t="s">
        <v>14</v>
      </c>
      <c r="R1600" s="32" t="s">
        <v>24</v>
      </c>
      <c r="S1600" s="32">
        <v>18500</v>
      </c>
      <c r="T1600" s="32">
        <v>0</v>
      </c>
      <c r="U1600" s="81">
        <v>18500</v>
      </c>
    </row>
    <row r="1601" spans="12:21">
      <c r="L1601" s="35">
        <v>76082</v>
      </c>
      <c r="M1601" s="35" t="s">
        <v>16</v>
      </c>
      <c r="N1601" s="35" t="s">
        <v>20</v>
      </c>
      <c r="O1601" s="35" t="s">
        <v>32</v>
      </c>
      <c r="P1601" s="35" t="s">
        <v>19</v>
      </c>
      <c r="Q1601" s="35" t="s">
        <v>28</v>
      </c>
      <c r="R1601" s="35" t="s">
        <v>24</v>
      </c>
      <c r="S1601" s="35">
        <v>303</v>
      </c>
      <c r="T1601" s="35">
        <v>0</v>
      </c>
      <c r="U1601" s="81">
        <v>303</v>
      </c>
    </row>
    <row r="1602" spans="12:21">
      <c r="L1602" s="32">
        <v>72102</v>
      </c>
      <c r="M1602" s="35" t="s">
        <v>16</v>
      </c>
      <c r="N1602" s="32" t="s">
        <v>27</v>
      </c>
      <c r="O1602" s="32" t="s">
        <v>26</v>
      </c>
      <c r="P1602" s="32" t="s">
        <v>13</v>
      </c>
      <c r="Q1602" s="32" t="s">
        <v>28</v>
      </c>
      <c r="R1602" s="32" t="s">
        <v>24</v>
      </c>
      <c r="S1602" s="32">
        <v>13558</v>
      </c>
      <c r="T1602" s="32">
        <v>404</v>
      </c>
      <c r="U1602" s="81">
        <v>13154</v>
      </c>
    </row>
    <row r="1603" spans="12:21">
      <c r="L1603" s="35">
        <v>241528</v>
      </c>
      <c r="M1603" s="35" t="s">
        <v>16</v>
      </c>
      <c r="N1603" s="35" t="s">
        <v>25</v>
      </c>
      <c r="O1603" s="35" t="s">
        <v>36</v>
      </c>
      <c r="P1603" s="35" t="s">
        <v>19</v>
      </c>
      <c r="Q1603" s="35" t="s">
        <v>28</v>
      </c>
      <c r="R1603" s="35" t="s">
        <v>24</v>
      </c>
      <c r="S1603" s="35">
        <v>19823</v>
      </c>
      <c r="T1603" s="35">
        <v>0</v>
      </c>
      <c r="U1603" s="81">
        <v>19823</v>
      </c>
    </row>
    <row r="1604" spans="12:21">
      <c r="L1604" s="32">
        <v>113419</v>
      </c>
      <c r="M1604" s="35" t="s">
        <v>16</v>
      </c>
      <c r="N1604" s="32" t="s">
        <v>22</v>
      </c>
      <c r="O1604" s="32" t="s">
        <v>33</v>
      </c>
      <c r="P1604" s="32" t="s">
        <v>19</v>
      </c>
      <c r="Q1604" s="32" t="s">
        <v>14</v>
      </c>
      <c r="R1604" s="32" t="s">
        <v>24</v>
      </c>
      <c r="S1604" s="32">
        <v>53957</v>
      </c>
      <c r="T1604" s="32">
        <v>896</v>
      </c>
      <c r="U1604" s="81">
        <v>53061</v>
      </c>
    </row>
    <row r="1605" spans="12:21">
      <c r="L1605" s="35">
        <v>36718</v>
      </c>
      <c r="M1605" s="35" t="s">
        <v>16</v>
      </c>
      <c r="N1605" s="35" t="s">
        <v>35</v>
      </c>
      <c r="O1605" s="35" t="s">
        <v>36</v>
      </c>
      <c r="P1605" s="35" t="s">
        <v>19</v>
      </c>
      <c r="Q1605" s="35" t="s">
        <v>14</v>
      </c>
      <c r="R1605" s="35" t="s">
        <v>24</v>
      </c>
      <c r="S1605" s="35">
        <v>71502</v>
      </c>
      <c r="T1605" s="35">
        <v>312</v>
      </c>
      <c r="U1605" s="81">
        <v>71190</v>
      </c>
    </row>
    <row r="1606" spans="12:21">
      <c r="L1606" s="32">
        <v>83444</v>
      </c>
      <c r="M1606" s="35" t="s">
        <v>16</v>
      </c>
      <c r="N1606" s="32" t="s">
        <v>34</v>
      </c>
      <c r="O1606" s="32" t="s">
        <v>32</v>
      </c>
      <c r="P1606" s="32" t="s">
        <v>13</v>
      </c>
      <c r="Q1606" s="32" t="s">
        <v>14</v>
      </c>
      <c r="R1606" s="32" t="s">
        <v>24</v>
      </c>
      <c r="S1606" s="32">
        <v>868</v>
      </c>
      <c r="T1606" s="32">
        <v>0</v>
      </c>
      <c r="U1606" s="81">
        <v>868</v>
      </c>
    </row>
    <row r="1607" spans="12:21">
      <c r="L1607" s="35">
        <v>27822</v>
      </c>
      <c r="M1607" s="35" t="s">
        <v>16</v>
      </c>
      <c r="N1607" s="35" t="s">
        <v>11</v>
      </c>
      <c r="O1607" s="35" t="s">
        <v>30</v>
      </c>
      <c r="P1607" s="35" t="s">
        <v>13</v>
      </c>
      <c r="Q1607" s="35" t="s">
        <v>14</v>
      </c>
      <c r="R1607" s="35" t="s">
        <v>15</v>
      </c>
      <c r="S1607" s="35">
        <v>65452</v>
      </c>
      <c r="T1607" s="35">
        <v>2248</v>
      </c>
      <c r="U1607" s="81">
        <v>63204</v>
      </c>
    </row>
    <row r="1608" spans="12:21">
      <c r="L1608" s="32">
        <v>38261</v>
      </c>
      <c r="M1608" s="35" t="s">
        <v>16</v>
      </c>
      <c r="N1608" s="32" t="s">
        <v>35</v>
      </c>
      <c r="O1608" s="32" t="s">
        <v>36</v>
      </c>
      <c r="P1608" s="32" t="s">
        <v>13</v>
      </c>
      <c r="Q1608" s="32" t="s">
        <v>14</v>
      </c>
      <c r="R1608" s="32" t="s">
        <v>15</v>
      </c>
      <c r="S1608" s="32">
        <v>37616</v>
      </c>
      <c r="T1608" s="32">
        <v>368</v>
      </c>
      <c r="U1608" s="81">
        <v>37248</v>
      </c>
    </row>
    <row r="1609" spans="12:21">
      <c r="L1609" s="35">
        <v>60699</v>
      </c>
      <c r="M1609" s="35" t="s">
        <v>16</v>
      </c>
      <c r="N1609" s="35" t="s">
        <v>20</v>
      </c>
      <c r="O1609" s="35" t="s">
        <v>32</v>
      </c>
      <c r="P1609" s="35" t="s">
        <v>13</v>
      </c>
      <c r="Q1609" s="35" t="s">
        <v>14</v>
      </c>
      <c r="R1609" s="35" t="s">
        <v>15</v>
      </c>
      <c r="S1609" s="35">
        <v>17057</v>
      </c>
      <c r="T1609" s="35">
        <v>1881</v>
      </c>
      <c r="U1609" s="81">
        <v>15176</v>
      </c>
    </row>
    <row r="1610" spans="12:21">
      <c r="L1610" s="32">
        <v>92612</v>
      </c>
      <c r="M1610" s="35" t="s">
        <v>16</v>
      </c>
      <c r="N1610" s="32" t="s">
        <v>39</v>
      </c>
      <c r="O1610" s="32" t="s">
        <v>33</v>
      </c>
      <c r="P1610" s="32" t="s">
        <v>19</v>
      </c>
      <c r="Q1610" s="32" t="s">
        <v>14</v>
      </c>
      <c r="R1610" s="32" t="s">
        <v>15</v>
      </c>
      <c r="S1610" s="32">
        <v>65677</v>
      </c>
      <c r="T1610" s="32">
        <v>592</v>
      </c>
      <c r="U1610" s="81">
        <v>65085</v>
      </c>
    </row>
    <row r="1611" spans="12:21">
      <c r="L1611" s="35">
        <v>166867</v>
      </c>
      <c r="M1611" s="35" t="s">
        <v>16</v>
      </c>
      <c r="N1611" s="35" t="s">
        <v>22</v>
      </c>
      <c r="O1611" s="35" t="s">
        <v>30</v>
      </c>
      <c r="P1611" s="35" t="s">
        <v>13</v>
      </c>
      <c r="Q1611" s="35" t="s">
        <v>28</v>
      </c>
      <c r="R1611" s="35" t="s">
        <v>15</v>
      </c>
      <c r="S1611" s="35">
        <v>84287</v>
      </c>
      <c r="T1611" s="35">
        <v>0</v>
      </c>
      <c r="U1611" s="81">
        <v>84287</v>
      </c>
    </row>
    <row r="1612" spans="12:21">
      <c r="L1612" s="32">
        <v>123928</v>
      </c>
      <c r="M1612" s="35" t="s">
        <v>16</v>
      </c>
      <c r="N1612" s="32" t="s">
        <v>25</v>
      </c>
      <c r="O1612" s="32" t="s">
        <v>33</v>
      </c>
      <c r="P1612" s="32" t="s">
        <v>19</v>
      </c>
      <c r="Q1612" s="32" t="s">
        <v>28</v>
      </c>
      <c r="R1612" s="32" t="s">
        <v>15</v>
      </c>
      <c r="S1612" s="32">
        <v>64006</v>
      </c>
      <c r="T1612" s="32">
        <v>494</v>
      </c>
      <c r="U1612" s="81">
        <v>63512</v>
      </c>
    </row>
    <row r="1613" spans="12:21">
      <c r="L1613" s="35">
        <v>161550</v>
      </c>
      <c r="M1613" s="35" t="s">
        <v>16</v>
      </c>
      <c r="N1613" s="35" t="s">
        <v>25</v>
      </c>
      <c r="O1613" s="35" t="s">
        <v>21</v>
      </c>
      <c r="P1613" s="35" t="s">
        <v>19</v>
      </c>
      <c r="Q1613" s="35" t="s">
        <v>28</v>
      </c>
      <c r="R1613" s="35" t="s">
        <v>15</v>
      </c>
      <c r="S1613" s="35">
        <v>65714</v>
      </c>
      <c r="T1613" s="35">
        <v>536</v>
      </c>
      <c r="U1613" s="81">
        <v>65178</v>
      </c>
    </row>
    <row r="1614" spans="12:21">
      <c r="L1614" s="32">
        <v>181624</v>
      </c>
      <c r="M1614" s="35" t="s">
        <v>16</v>
      </c>
      <c r="N1614" s="32" t="s">
        <v>34</v>
      </c>
      <c r="O1614" s="32" t="s">
        <v>18</v>
      </c>
      <c r="P1614" s="32" t="s">
        <v>13</v>
      </c>
      <c r="Q1614" s="32" t="s">
        <v>14</v>
      </c>
      <c r="R1614" s="32" t="s">
        <v>15</v>
      </c>
      <c r="S1614" s="32">
        <v>40743</v>
      </c>
      <c r="T1614" s="32">
        <v>151</v>
      </c>
      <c r="U1614" s="81">
        <v>40592</v>
      </c>
    </row>
    <row r="1615" spans="12:21">
      <c r="L1615" s="35">
        <v>25026</v>
      </c>
      <c r="M1615" s="35" t="s">
        <v>16</v>
      </c>
      <c r="N1615" s="35" t="s">
        <v>11</v>
      </c>
      <c r="O1615" s="35" t="s">
        <v>12</v>
      </c>
      <c r="P1615" s="35" t="s">
        <v>19</v>
      </c>
      <c r="Q1615" s="35" t="s">
        <v>14</v>
      </c>
      <c r="R1615" s="35" t="s">
        <v>15</v>
      </c>
      <c r="S1615" s="35">
        <v>87091</v>
      </c>
      <c r="T1615" s="35">
        <v>2691</v>
      </c>
      <c r="U1615" s="81">
        <v>84400</v>
      </c>
    </row>
    <row r="1616" spans="12:21">
      <c r="L1616" s="32">
        <v>54112</v>
      </c>
      <c r="M1616" s="35" t="s">
        <v>16</v>
      </c>
      <c r="N1616" s="32" t="s">
        <v>22</v>
      </c>
      <c r="O1616" s="32" t="s">
        <v>12</v>
      </c>
      <c r="P1616" s="32" t="s">
        <v>19</v>
      </c>
      <c r="Q1616" s="32" t="s">
        <v>14</v>
      </c>
      <c r="R1616" s="32" t="s">
        <v>15</v>
      </c>
      <c r="S1616" s="32">
        <v>151829</v>
      </c>
      <c r="T1616" s="32">
        <v>7641</v>
      </c>
      <c r="U1616" s="81">
        <v>144188</v>
      </c>
    </row>
    <row r="1617" spans="12:21">
      <c r="L1617" s="35">
        <v>101283</v>
      </c>
      <c r="M1617" s="35" t="s">
        <v>16</v>
      </c>
      <c r="N1617" s="35" t="s">
        <v>34</v>
      </c>
      <c r="O1617" s="35" t="s">
        <v>30</v>
      </c>
      <c r="P1617" s="35" t="s">
        <v>13</v>
      </c>
      <c r="Q1617" s="35" t="s">
        <v>28</v>
      </c>
      <c r="R1617" s="35" t="s">
        <v>24</v>
      </c>
      <c r="S1617" s="35">
        <v>36104</v>
      </c>
      <c r="T1617" s="35">
        <v>2838</v>
      </c>
      <c r="U1617" s="81">
        <v>33266</v>
      </c>
    </row>
    <row r="1618" spans="12:21">
      <c r="L1618" s="32">
        <v>23797</v>
      </c>
      <c r="M1618" s="35" t="s">
        <v>16</v>
      </c>
      <c r="N1618" s="32" t="s">
        <v>11</v>
      </c>
      <c r="O1618" s="32" t="s">
        <v>33</v>
      </c>
      <c r="P1618" s="32" t="s">
        <v>19</v>
      </c>
      <c r="Q1618" s="32" t="s">
        <v>14</v>
      </c>
      <c r="R1618" s="32" t="s">
        <v>24</v>
      </c>
      <c r="S1618" s="32">
        <v>27462</v>
      </c>
      <c r="T1618" s="32">
        <v>433</v>
      </c>
      <c r="U1618" s="81">
        <v>27029</v>
      </c>
    </row>
    <row r="1619" spans="12:21">
      <c r="L1619" s="35">
        <v>174356</v>
      </c>
      <c r="M1619" s="35" t="s">
        <v>16</v>
      </c>
      <c r="N1619" s="35" t="s">
        <v>34</v>
      </c>
      <c r="O1619" s="35" t="s">
        <v>32</v>
      </c>
      <c r="P1619" s="35" t="s">
        <v>19</v>
      </c>
      <c r="Q1619" s="35" t="s">
        <v>14</v>
      </c>
      <c r="R1619" s="35" t="s">
        <v>24</v>
      </c>
      <c r="S1619" s="35">
        <v>20258</v>
      </c>
      <c r="T1619" s="35">
        <v>0</v>
      </c>
      <c r="U1619" s="81">
        <v>20258</v>
      </c>
    </row>
    <row r="1620" spans="12:21">
      <c r="L1620" s="32">
        <v>158404</v>
      </c>
      <c r="M1620" s="35" t="s">
        <v>16</v>
      </c>
      <c r="N1620" s="32" t="s">
        <v>27</v>
      </c>
      <c r="O1620" s="32" t="s">
        <v>29</v>
      </c>
      <c r="P1620" s="32" t="s">
        <v>13</v>
      </c>
      <c r="Q1620" s="32" t="s">
        <v>14</v>
      </c>
      <c r="R1620" s="32" t="s">
        <v>24</v>
      </c>
      <c r="S1620" s="32">
        <v>63833</v>
      </c>
      <c r="T1620" s="32">
        <v>1014</v>
      </c>
      <c r="U1620" s="81">
        <v>62819</v>
      </c>
    </row>
    <row r="1621" spans="12:21">
      <c r="L1621" s="35">
        <v>96521</v>
      </c>
      <c r="M1621" s="35" t="s">
        <v>16</v>
      </c>
      <c r="N1621" s="35" t="s">
        <v>20</v>
      </c>
      <c r="O1621" s="35" t="s">
        <v>32</v>
      </c>
      <c r="P1621" s="35" t="s">
        <v>13</v>
      </c>
      <c r="Q1621" s="35" t="s">
        <v>28</v>
      </c>
      <c r="R1621" s="35" t="s">
        <v>15</v>
      </c>
      <c r="S1621" s="35">
        <v>32345</v>
      </c>
      <c r="T1621" s="35">
        <v>3093</v>
      </c>
      <c r="U1621" s="81">
        <v>29252</v>
      </c>
    </row>
    <row r="1622" spans="12:21">
      <c r="L1622" s="32">
        <v>141908</v>
      </c>
      <c r="M1622" s="35" t="s">
        <v>16</v>
      </c>
      <c r="N1622" s="32" t="s">
        <v>25</v>
      </c>
      <c r="O1622" s="32" t="s">
        <v>18</v>
      </c>
      <c r="P1622" s="32" t="s">
        <v>19</v>
      </c>
      <c r="Q1622" s="32" t="s">
        <v>14</v>
      </c>
      <c r="R1622" s="32" t="s">
        <v>24</v>
      </c>
      <c r="S1622" s="32">
        <v>21540</v>
      </c>
      <c r="T1622" s="32">
        <v>237</v>
      </c>
      <c r="U1622" s="81">
        <v>21303</v>
      </c>
    </row>
    <row r="1623" spans="12:21">
      <c r="L1623" s="35">
        <v>69938</v>
      </c>
      <c r="M1623" s="35" t="s">
        <v>16</v>
      </c>
      <c r="N1623" s="35" t="s">
        <v>22</v>
      </c>
      <c r="O1623" s="35" t="s">
        <v>30</v>
      </c>
      <c r="P1623" s="35" t="s">
        <v>13</v>
      </c>
      <c r="Q1623" s="35" t="s">
        <v>28</v>
      </c>
      <c r="R1623" s="35" t="s">
        <v>15</v>
      </c>
      <c r="S1623" s="35">
        <v>121177</v>
      </c>
      <c r="T1623" s="35">
        <v>2529</v>
      </c>
      <c r="U1623" s="81">
        <v>118648</v>
      </c>
    </row>
    <row r="1624" spans="12:21">
      <c r="L1624" s="32">
        <v>97908</v>
      </c>
      <c r="M1624" s="35" t="s">
        <v>16</v>
      </c>
      <c r="N1624" s="32" t="s">
        <v>34</v>
      </c>
      <c r="O1624" s="32" t="s">
        <v>26</v>
      </c>
      <c r="P1624" s="32" t="s">
        <v>13</v>
      </c>
      <c r="Q1624" s="32" t="s">
        <v>14</v>
      </c>
      <c r="R1624" s="32" t="s">
        <v>24</v>
      </c>
      <c r="S1624" s="32">
        <v>42603</v>
      </c>
      <c r="T1624" s="32">
        <v>1519</v>
      </c>
      <c r="U1624" s="81">
        <v>41084</v>
      </c>
    </row>
    <row r="1625" spans="12:21">
      <c r="L1625" s="35">
        <v>213263</v>
      </c>
      <c r="M1625" s="35" t="s">
        <v>16</v>
      </c>
      <c r="N1625" s="35" t="s">
        <v>34</v>
      </c>
      <c r="O1625" s="35" t="s">
        <v>32</v>
      </c>
      <c r="P1625" s="35" t="s">
        <v>13</v>
      </c>
      <c r="Q1625" s="35" t="s">
        <v>14</v>
      </c>
      <c r="R1625" s="35" t="s">
        <v>15</v>
      </c>
      <c r="S1625" s="35">
        <v>134744</v>
      </c>
      <c r="T1625" s="35">
        <v>391</v>
      </c>
      <c r="U1625" s="81">
        <v>134353</v>
      </c>
    </row>
    <row r="1626" spans="12:21">
      <c r="L1626" s="32">
        <v>182469</v>
      </c>
      <c r="M1626" s="35" t="s">
        <v>16</v>
      </c>
      <c r="N1626" s="32" t="s">
        <v>20</v>
      </c>
      <c r="O1626" s="32" t="s">
        <v>32</v>
      </c>
      <c r="P1626" s="32" t="s">
        <v>19</v>
      </c>
      <c r="Q1626" s="32" t="s">
        <v>14</v>
      </c>
      <c r="R1626" s="32" t="s">
        <v>15</v>
      </c>
      <c r="S1626" s="32">
        <v>16680</v>
      </c>
      <c r="T1626" s="32">
        <v>0</v>
      </c>
      <c r="U1626" s="81">
        <v>16680</v>
      </c>
    </row>
    <row r="1627" spans="12:21">
      <c r="L1627" s="35">
        <v>58333</v>
      </c>
      <c r="M1627" s="35" t="s">
        <v>16</v>
      </c>
      <c r="N1627" s="35" t="s">
        <v>20</v>
      </c>
      <c r="O1627" s="35" t="s">
        <v>32</v>
      </c>
      <c r="P1627" s="35" t="s">
        <v>13</v>
      </c>
      <c r="Q1627" s="35" t="s">
        <v>14</v>
      </c>
      <c r="R1627" s="35" t="s">
        <v>15</v>
      </c>
      <c r="S1627" s="35">
        <v>23195</v>
      </c>
      <c r="T1627" s="35">
        <v>1969</v>
      </c>
      <c r="U1627" s="81">
        <v>21226</v>
      </c>
    </row>
    <row r="1628" spans="12:21">
      <c r="L1628" s="32">
        <v>151788</v>
      </c>
      <c r="M1628" s="35" t="s">
        <v>16</v>
      </c>
      <c r="N1628" s="32" t="s">
        <v>22</v>
      </c>
      <c r="O1628" s="32" t="s">
        <v>12</v>
      </c>
      <c r="P1628" s="32" t="s">
        <v>19</v>
      </c>
      <c r="Q1628" s="32" t="s">
        <v>28</v>
      </c>
      <c r="R1628" s="32" t="s">
        <v>15</v>
      </c>
      <c r="S1628" s="32">
        <v>57058</v>
      </c>
      <c r="T1628" s="32">
        <v>377</v>
      </c>
      <c r="U1628" s="81">
        <v>56681</v>
      </c>
    </row>
    <row r="1629" spans="12:21">
      <c r="L1629" s="35">
        <v>68466</v>
      </c>
      <c r="M1629" s="35" t="s">
        <v>16</v>
      </c>
      <c r="N1629" s="35" t="s">
        <v>27</v>
      </c>
      <c r="O1629" s="35" t="s">
        <v>21</v>
      </c>
      <c r="P1629" s="35" t="s">
        <v>13</v>
      </c>
      <c r="Q1629" s="35" t="s">
        <v>14</v>
      </c>
      <c r="R1629" s="35" t="s">
        <v>15</v>
      </c>
      <c r="S1629" s="35">
        <v>68293</v>
      </c>
      <c r="T1629" s="35">
        <v>763</v>
      </c>
      <c r="U1629" s="81">
        <v>67530</v>
      </c>
    </row>
    <row r="1630" spans="12:21">
      <c r="L1630" s="32">
        <v>215456</v>
      </c>
      <c r="M1630" s="35" t="s">
        <v>16</v>
      </c>
      <c r="N1630" s="32" t="s">
        <v>38</v>
      </c>
      <c r="O1630" s="32" t="s">
        <v>12</v>
      </c>
      <c r="P1630" s="32" t="s">
        <v>13</v>
      </c>
      <c r="Q1630" s="32" t="s">
        <v>14</v>
      </c>
      <c r="R1630" s="32" t="s">
        <v>15</v>
      </c>
      <c r="S1630" s="32">
        <v>18519</v>
      </c>
      <c r="T1630" s="32">
        <v>156</v>
      </c>
      <c r="U1630" s="81">
        <v>18363</v>
      </c>
    </row>
    <row r="1631" spans="12:21">
      <c r="L1631" s="35">
        <v>49336</v>
      </c>
      <c r="M1631" s="35" t="s">
        <v>16</v>
      </c>
      <c r="N1631" s="35" t="s">
        <v>38</v>
      </c>
      <c r="O1631" s="35" t="s">
        <v>33</v>
      </c>
      <c r="P1631" s="35" t="s">
        <v>13</v>
      </c>
      <c r="Q1631" s="35" t="s">
        <v>14</v>
      </c>
      <c r="R1631" s="35" t="s">
        <v>15</v>
      </c>
      <c r="S1631" s="35">
        <v>28742</v>
      </c>
      <c r="T1631" s="35">
        <v>413</v>
      </c>
      <c r="U1631" s="81">
        <v>28329</v>
      </c>
    </row>
    <row r="1632" spans="12:21">
      <c r="L1632" s="32">
        <v>15105</v>
      </c>
      <c r="M1632" s="35" t="s">
        <v>16</v>
      </c>
      <c r="N1632" s="32" t="s">
        <v>37</v>
      </c>
      <c r="O1632" s="32" t="s">
        <v>33</v>
      </c>
      <c r="P1632" s="32" t="s">
        <v>19</v>
      </c>
      <c r="Q1632" s="32" t="s">
        <v>14</v>
      </c>
      <c r="R1632" s="32" t="s">
        <v>15</v>
      </c>
      <c r="S1632" s="32">
        <v>49107</v>
      </c>
      <c r="T1632" s="32">
        <v>457</v>
      </c>
      <c r="U1632" s="81">
        <v>48650</v>
      </c>
    </row>
    <row r="1633" spans="12:21">
      <c r="L1633" s="35">
        <v>147591</v>
      </c>
      <c r="M1633" s="35" t="s">
        <v>16</v>
      </c>
      <c r="N1633" s="35" t="s">
        <v>17</v>
      </c>
      <c r="O1633" s="35" t="s">
        <v>36</v>
      </c>
      <c r="P1633" s="35" t="s">
        <v>19</v>
      </c>
      <c r="Q1633" s="35" t="s">
        <v>14</v>
      </c>
      <c r="R1633" s="35" t="s">
        <v>24</v>
      </c>
      <c r="S1633" s="35">
        <v>36653</v>
      </c>
      <c r="T1633" s="35">
        <v>4968</v>
      </c>
      <c r="U1633" s="81">
        <v>31685</v>
      </c>
    </row>
    <row r="1634" spans="12:21">
      <c r="L1634" s="32">
        <v>27917</v>
      </c>
      <c r="M1634" s="35" t="s">
        <v>16</v>
      </c>
      <c r="N1634" s="32" t="s">
        <v>37</v>
      </c>
      <c r="O1634" s="32" t="s">
        <v>30</v>
      </c>
      <c r="P1634" s="32" t="s">
        <v>13</v>
      </c>
      <c r="Q1634" s="32" t="s">
        <v>14</v>
      </c>
      <c r="R1634" s="32" t="s">
        <v>15</v>
      </c>
      <c r="S1634" s="32">
        <v>22172</v>
      </c>
      <c r="T1634" s="32">
        <v>384</v>
      </c>
      <c r="U1634" s="81">
        <v>21788</v>
      </c>
    </row>
    <row r="1635" spans="12:21">
      <c r="L1635" s="35">
        <v>231834</v>
      </c>
      <c r="M1635" s="35" t="s">
        <v>16</v>
      </c>
      <c r="N1635" s="35" t="s">
        <v>17</v>
      </c>
      <c r="O1635" s="35" t="s">
        <v>18</v>
      </c>
      <c r="P1635" s="35" t="s">
        <v>19</v>
      </c>
      <c r="Q1635" s="35" t="s">
        <v>28</v>
      </c>
      <c r="R1635" s="35" t="s">
        <v>24</v>
      </c>
      <c r="S1635" s="35">
        <v>17201</v>
      </c>
      <c r="T1635" s="35">
        <v>0</v>
      </c>
      <c r="U1635" s="81">
        <v>17201</v>
      </c>
    </row>
    <row r="1636" spans="12:21">
      <c r="L1636" s="32">
        <v>77396</v>
      </c>
      <c r="M1636" s="35" t="s">
        <v>16</v>
      </c>
      <c r="N1636" s="32" t="s">
        <v>35</v>
      </c>
      <c r="O1636" s="32" t="s">
        <v>30</v>
      </c>
      <c r="P1636" s="32" t="s">
        <v>13</v>
      </c>
      <c r="Q1636" s="32" t="s">
        <v>14</v>
      </c>
      <c r="R1636" s="32" t="s">
        <v>15</v>
      </c>
      <c r="S1636" s="32">
        <v>75441</v>
      </c>
      <c r="T1636" s="32">
        <v>3</v>
      </c>
      <c r="U1636" s="81">
        <v>75438</v>
      </c>
    </row>
    <row r="1637" spans="12:21">
      <c r="L1637" s="35">
        <v>217366</v>
      </c>
      <c r="M1637" s="35" t="s">
        <v>16</v>
      </c>
      <c r="N1637" s="35" t="s">
        <v>38</v>
      </c>
      <c r="O1637" s="35" t="s">
        <v>33</v>
      </c>
      <c r="P1637" s="35" t="s">
        <v>19</v>
      </c>
      <c r="Q1637" s="35" t="s">
        <v>14</v>
      </c>
      <c r="R1637" s="35" t="s">
        <v>15</v>
      </c>
      <c r="S1637" s="35">
        <v>78487</v>
      </c>
      <c r="T1637" s="35">
        <v>9548</v>
      </c>
      <c r="U1637" s="81">
        <v>68939</v>
      </c>
    </row>
    <row r="1638" spans="12:21">
      <c r="L1638" s="32">
        <v>242141</v>
      </c>
      <c r="M1638" s="35" t="s">
        <v>16</v>
      </c>
      <c r="N1638" s="32" t="s">
        <v>22</v>
      </c>
      <c r="O1638" s="32" t="s">
        <v>30</v>
      </c>
      <c r="P1638" s="32" t="s">
        <v>19</v>
      </c>
      <c r="Q1638" s="32" t="s">
        <v>28</v>
      </c>
      <c r="R1638" s="32" t="s">
        <v>24</v>
      </c>
      <c r="S1638" s="32">
        <v>69216</v>
      </c>
      <c r="T1638" s="32">
        <v>1182</v>
      </c>
      <c r="U1638" s="81">
        <v>68034</v>
      </c>
    </row>
    <row r="1639" spans="12:21">
      <c r="L1639" s="35">
        <v>97468</v>
      </c>
      <c r="M1639" s="35" t="s">
        <v>16</v>
      </c>
      <c r="N1639" s="35" t="s">
        <v>34</v>
      </c>
      <c r="O1639" s="35" t="s">
        <v>33</v>
      </c>
      <c r="P1639" s="35" t="s">
        <v>13</v>
      </c>
      <c r="Q1639" s="35" t="s">
        <v>14</v>
      </c>
      <c r="R1639" s="35" t="s">
        <v>15</v>
      </c>
      <c r="S1639" s="35">
        <v>74018</v>
      </c>
      <c r="T1639" s="35">
        <v>6829</v>
      </c>
      <c r="U1639" s="81">
        <v>67189</v>
      </c>
    </row>
    <row r="1640" spans="12:21">
      <c r="L1640" s="32">
        <v>85569</v>
      </c>
      <c r="M1640" s="35" t="s">
        <v>16</v>
      </c>
      <c r="N1640" s="32" t="s">
        <v>34</v>
      </c>
      <c r="O1640" s="32" t="s">
        <v>30</v>
      </c>
      <c r="P1640" s="32" t="s">
        <v>13</v>
      </c>
      <c r="Q1640" s="32" t="s">
        <v>28</v>
      </c>
      <c r="R1640" s="32" t="s">
        <v>15</v>
      </c>
      <c r="S1640" s="32">
        <v>41702</v>
      </c>
      <c r="T1640" s="32">
        <v>553</v>
      </c>
      <c r="U1640" s="81">
        <v>41149</v>
      </c>
    </row>
    <row r="1641" spans="12:21">
      <c r="L1641" s="35">
        <v>155266</v>
      </c>
      <c r="M1641" s="35" t="s">
        <v>16</v>
      </c>
      <c r="N1641" s="35" t="s">
        <v>17</v>
      </c>
      <c r="O1641" s="35" t="s">
        <v>26</v>
      </c>
      <c r="P1641" s="35" t="s">
        <v>19</v>
      </c>
      <c r="Q1641" s="35" t="s">
        <v>28</v>
      </c>
      <c r="R1641" s="35" t="s">
        <v>24</v>
      </c>
      <c r="S1641" s="35">
        <v>15157</v>
      </c>
      <c r="T1641" s="35">
        <v>249</v>
      </c>
      <c r="U1641" s="81">
        <v>14908</v>
      </c>
    </row>
    <row r="1642" spans="12:21">
      <c r="L1642" s="32">
        <v>5768</v>
      </c>
      <c r="M1642" s="35" t="s">
        <v>16</v>
      </c>
      <c r="N1642" s="32" t="s">
        <v>20</v>
      </c>
      <c r="O1642" s="32" t="s">
        <v>32</v>
      </c>
      <c r="P1642" s="32" t="s">
        <v>19</v>
      </c>
      <c r="Q1642" s="32" t="s">
        <v>28</v>
      </c>
      <c r="R1642" s="32" t="s">
        <v>24</v>
      </c>
      <c r="S1642" s="32">
        <v>586</v>
      </c>
      <c r="T1642" s="32">
        <v>0</v>
      </c>
      <c r="U1642" s="81">
        <v>586</v>
      </c>
    </row>
    <row r="1643" spans="12:21">
      <c r="L1643" s="35">
        <v>34646</v>
      </c>
      <c r="M1643" s="35" t="s">
        <v>16</v>
      </c>
      <c r="N1643" s="35" t="s">
        <v>34</v>
      </c>
      <c r="O1643" s="35" t="s">
        <v>26</v>
      </c>
      <c r="P1643" s="35" t="s">
        <v>19</v>
      </c>
      <c r="Q1643" s="35" t="s">
        <v>14</v>
      </c>
      <c r="R1643" s="35" t="s">
        <v>24</v>
      </c>
      <c r="S1643" s="35">
        <v>38693</v>
      </c>
      <c r="T1643" s="35">
        <v>736</v>
      </c>
      <c r="U1643" s="81">
        <v>37957</v>
      </c>
    </row>
    <row r="1644" spans="12:21">
      <c r="L1644" s="32">
        <v>204823</v>
      </c>
      <c r="M1644" s="35" t="s">
        <v>16</v>
      </c>
      <c r="N1644" s="32" t="s">
        <v>34</v>
      </c>
      <c r="O1644" s="32" t="s">
        <v>33</v>
      </c>
      <c r="P1644" s="32" t="s">
        <v>13</v>
      </c>
      <c r="Q1644" s="32" t="s">
        <v>14</v>
      </c>
      <c r="R1644" s="32" t="s">
        <v>15</v>
      </c>
      <c r="S1644" s="32">
        <v>72696</v>
      </c>
      <c r="T1644" s="32">
        <v>1176</v>
      </c>
      <c r="U1644" s="81">
        <v>71520</v>
      </c>
    </row>
    <row r="1645" spans="12:21">
      <c r="L1645" s="35">
        <v>1111</v>
      </c>
      <c r="M1645" s="35" t="s">
        <v>16</v>
      </c>
      <c r="N1645" s="35" t="s">
        <v>20</v>
      </c>
      <c r="O1645" s="35" t="s">
        <v>32</v>
      </c>
      <c r="P1645" s="35" t="s">
        <v>19</v>
      </c>
      <c r="Q1645" s="35" t="s">
        <v>28</v>
      </c>
      <c r="R1645" s="35" t="s">
        <v>24</v>
      </c>
      <c r="S1645" s="35">
        <v>222</v>
      </c>
      <c r="T1645" s="35">
        <v>0</v>
      </c>
      <c r="U1645" s="81">
        <v>222</v>
      </c>
    </row>
    <row r="1646" spans="12:21">
      <c r="L1646" s="32">
        <v>145524</v>
      </c>
      <c r="M1646" s="35" t="s">
        <v>16</v>
      </c>
      <c r="N1646" s="32" t="s">
        <v>22</v>
      </c>
      <c r="O1646" s="32" t="s">
        <v>30</v>
      </c>
      <c r="P1646" s="32" t="s">
        <v>13</v>
      </c>
      <c r="Q1646" s="32" t="s">
        <v>14</v>
      </c>
      <c r="R1646" s="32" t="s">
        <v>15</v>
      </c>
      <c r="S1646" s="32">
        <v>19880</v>
      </c>
      <c r="T1646" s="32">
        <v>425</v>
      </c>
      <c r="U1646" s="81">
        <v>19455</v>
      </c>
    </row>
    <row r="1647" spans="12:21">
      <c r="L1647" s="35">
        <v>160653</v>
      </c>
      <c r="M1647" s="35" t="s">
        <v>16</v>
      </c>
      <c r="N1647" s="35" t="s">
        <v>22</v>
      </c>
      <c r="O1647" s="35" t="s">
        <v>33</v>
      </c>
      <c r="P1647" s="35" t="s">
        <v>13</v>
      </c>
      <c r="Q1647" s="35" t="s">
        <v>14</v>
      </c>
      <c r="R1647" s="35" t="s">
        <v>15</v>
      </c>
      <c r="S1647" s="35">
        <v>8754</v>
      </c>
      <c r="T1647" s="35">
        <v>277</v>
      </c>
      <c r="U1647" s="81">
        <v>8477</v>
      </c>
    </row>
    <row r="1648" spans="12:21">
      <c r="L1648" s="32">
        <v>155562</v>
      </c>
      <c r="M1648" s="35" t="s">
        <v>16</v>
      </c>
      <c r="N1648" s="32" t="s">
        <v>25</v>
      </c>
      <c r="O1648" s="32" t="s">
        <v>30</v>
      </c>
      <c r="P1648" s="32" t="s">
        <v>19</v>
      </c>
      <c r="Q1648" s="32" t="s">
        <v>14</v>
      </c>
      <c r="R1648" s="32" t="s">
        <v>24</v>
      </c>
      <c r="S1648" s="32">
        <v>53738</v>
      </c>
      <c r="T1648" s="32">
        <v>2279</v>
      </c>
      <c r="U1648" s="81">
        <v>51459</v>
      </c>
    </row>
    <row r="1649" spans="12:21">
      <c r="L1649" s="35">
        <v>189908</v>
      </c>
      <c r="M1649" s="35" t="s">
        <v>16</v>
      </c>
      <c r="N1649" s="35" t="s">
        <v>37</v>
      </c>
      <c r="O1649" s="35" t="s">
        <v>33</v>
      </c>
      <c r="P1649" s="35" t="s">
        <v>13</v>
      </c>
      <c r="Q1649" s="35" t="s">
        <v>28</v>
      </c>
      <c r="R1649" s="35" t="s">
        <v>15</v>
      </c>
      <c r="S1649" s="35">
        <v>49797</v>
      </c>
      <c r="T1649" s="35">
        <v>1748</v>
      </c>
      <c r="U1649" s="81">
        <v>48049</v>
      </c>
    </row>
    <row r="1650" spans="12:21">
      <c r="L1650" s="32">
        <v>248679</v>
      </c>
      <c r="M1650" s="35" t="s">
        <v>16</v>
      </c>
      <c r="N1650" s="32" t="s">
        <v>17</v>
      </c>
      <c r="O1650" s="32" t="s">
        <v>26</v>
      </c>
      <c r="P1650" s="32" t="s">
        <v>19</v>
      </c>
      <c r="Q1650" s="32" t="s">
        <v>14</v>
      </c>
      <c r="R1650" s="32" t="s">
        <v>24</v>
      </c>
      <c r="S1650" s="32">
        <v>17061</v>
      </c>
      <c r="T1650" s="32">
        <v>629</v>
      </c>
      <c r="U1650" s="81">
        <v>16432</v>
      </c>
    </row>
    <row r="1651" spans="12:21">
      <c r="L1651" s="35">
        <v>211071</v>
      </c>
      <c r="M1651" s="35" t="s">
        <v>16</v>
      </c>
      <c r="N1651" s="35" t="s">
        <v>34</v>
      </c>
      <c r="O1651" s="35" t="s">
        <v>32</v>
      </c>
      <c r="P1651" s="35" t="s">
        <v>13</v>
      </c>
      <c r="Q1651" s="35" t="s">
        <v>14</v>
      </c>
      <c r="R1651" s="35" t="s">
        <v>15</v>
      </c>
      <c r="S1651" s="35">
        <v>46032</v>
      </c>
      <c r="T1651" s="35">
        <v>0</v>
      </c>
      <c r="U1651" s="81">
        <v>46032</v>
      </c>
    </row>
    <row r="1652" spans="12:21">
      <c r="L1652" s="32">
        <v>199778</v>
      </c>
      <c r="M1652" s="35" t="s">
        <v>16</v>
      </c>
      <c r="N1652" s="32" t="s">
        <v>37</v>
      </c>
      <c r="O1652" s="32" t="s">
        <v>12</v>
      </c>
      <c r="P1652" s="32" t="s">
        <v>13</v>
      </c>
      <c r="Q1652" s="32" t="s">
        <v>28</v>
      </c>
      <c r="R1652" s="32" t="s">
        <v>15</v>
      </c>
      <c r="S1652" s="32">
        <v>164860</v>
      </c>
      <c r="T1652" s="32">
        <v>1078</v>
      </c>
      <c r="U1652" s="81">
        <v>163782</v>
      </c>
    </row>
    <row r="1653" spans="12:21">
      <c r="L1653" s="35">
        <v>178274</v>
      </c>
      <c r="M1653" s="35" t="s">
        <v>16</v>
      </c>
      <c r="N1653" s="35" t="s">
        <v>27</v>
      </c>
      <c r="O1653" s="35" t="s">
        <v>12</v>
      </c>
      <c r="P1653" s="35" t="s">
        <v>13</v>
      </c>
      <c r="Q1653" s="35" t="s">
        <v>28</v>
      </c>
      <c r="R1653" s="35" t="s">
        <v>15</v>
      </c>
      <c r="S1653" s="35">
        <v>84012</v>
      </c>
      <c r="T1653" s="35">
        <v>414</v>
      </c>
      <c r="U1653" s="81">
        <v>83598</v>
      </c>
    </row>
    <row r="1654" spans="12:21">
      <c r="L1654" s="32">
        <v>180373</v>
      </c>
      <c r="M1654" s="35" t="s">
        <v>16</v>
      </c>
      <c r="N1654" s="32" t="s">
        <v>31</v>
      </c>
      <c r="O1654" s="32" t="s">
        <v>18</v>
      </c>
      <c r="P1654" s="32" t="s">
        <v>19</v>
      </c>
      <c r="Q1654" s="32" t="s">
        <v>28</v>
      </c>
      <c r="R1654" s="32" t="s">
        <v>24</v>
      </c>
      <c r="S1654" s="32">
        <v>11932</v>
      </c>
      <c r="T1654" s="32">
        <v>47</v>
      </c>
      <c r="U1654" s="81">
        <v>11885</v>
      </c>
    </row>
    <row r="1655" spans="12:21">
      <c r="L1655" s="35">
        <v>20849</v>
      </c>
      <c r="M1655" s="35" t="s">
        <v>16</v>
      </c>
      <c r="N1655" s="35" t="s">
        <v>11</v>
      </c>
      <c r="O1655" s="35" t="s">
        <v>32</v>
      </c>
      <c r="P1655" s="35" t="s">
        <v>13</v>
      </c>
      <c r="Q1655" s="35" t="s">
        <v>14</v>
      </c>
      <c r="R1655" s="35" t="s">
        <v>24</v>
      </c>
      <c r="S1655" s="35">
        <v>-989</v>
      </c>
      <c r="T1655" s="35">
        <v>0</v>
      </c>
      <c r="U1655" s="81">
        <v>-989</v>
      </c>
    </row>
    <row r="1656" spans="12:21">
      <c r="L1656" s="32">
        <v>46731</v>
      </c>
      <c r="M1656" s="35" t="s">
        <v>16</v>
      </c>
      <c r="N1656" s="32" t="s">
        <v>37</v>
      </c>
      <c r="O1656" s="32" t="s">
        <v>33</v>
      </c>
      <c r="P1656" s="32" t="s">
        <v>13</v>
      </c>
      <c r="Q1656" s="32" t="s">
        <v>14</v>
      </c>
      <c r="R1656" s="32" t="s">
        <v>15</v>
      </c>
      <c r="S1656" s="32">
        <v>46660</v>
      </c>
      <c r="T1656" s="32">
        <v>963</v>
      </c>
      <c r="U1656" s="81">
        <v>45697</v>
      </c>
    </row>
    <row r="1657" spans="12:21">
      <c r="L1657" s="35">
        <v>222043</v>
      </c>
      <c r="M1657" s="35" t="s">
        <v>16</v>
      </c>
      <c r="N1657" s="35" t="s">
        <v>25</v>
      </c>
      <c r="O1657" s="35" t="s">
        <v>33</v>
      </c>
      <c r="P1657" s="35" t="s">
        <v>13</v>
      </c>
      <c r="Q1657" s="35" t="s">
        <v>14</v>
      </c>
      <c r="R1657" s="35" t="s">
        <v>15</v>
      </c>
      <c r="S1657" s="35">
        <v>43868</v>
      </c>
      <c r="T1657" s="35">
        <v>471</v>
      </c>
      <c r="U1657" s="81">
        <v>43397</v>
      </c>
    </row>
    <row r="1658" spans="12:21">
      <c r="L1658" s="32">
        <v>78939</v>
      </c>
      <c r="M1658" s="35" t="s">
        <v>16</v>
      </c>
      <c r="N1658" s="32" t="s">
        <v>20</v>
      </c>
      <c r="O1658" s="32" t="s">
        <v>32</v>
      </c>
      <c r="P1658" s="32" t="s">
        <v>13</v>
      </c>
      <c r="Q1658" s="32" t="s">
        <v>28</v>
      </c>
      <c r="R1658" s="32" t="s">
        <v>15</v>
      </c>
      <c r="S1658" s="32">
        <v>10966</v>
      </c>
      <c r="T1658" s="32">
        <v>0</v>
      </c>
      <c r="U1658" s="81">
        <v>10966</v>
      </c>
    </row>
    <row r="1659" spans="12:21">
      <c r="L1659" s="35">
        <v>128173</v>
      </c>
      <c r="M1659" s="35" t="s">
        <v>16</v>
      </c>
      <c r="N1659" s="35" t="s">
        <v>22</v>
      </c>
      <c r="O1659" s="35" t="s">
        <v>30</v>
      </c>
      <c r="P1659" s="35" t="s">
        <v>13</v>
      </c>
      <c r="Q1659" s="35" t="s">
        <v>28</v>
      </c>
      <c r="R1659" s="35" t="s">
        <v>15</v>
      </c>
      <c r="S1659" s="35">
        <v>75468</v>
      </c>
      <c r="T1659" s="35">
        <v>12</v>
      </c>
      <c r="U1659" s="81">
        <v>75456</v>
      </c>
    </row>
    <row r="1660" spans="12:21">
      <c r="L1660" s="32">
        <v>13408</v>
      </c>
      <c r="M1660" s="35" t="s">
        <v>16</v>
      </c>
      <c r="N1660" s="32" t="s">
        <v>34</v>
      </c>
      <c r="O1660" s="32" t="s">
        <v>36</v>
      </c>
      <c r="P1660" s="32" t="s">
        <v>13</v>
      </c>
      <c r="Q1660" s="32" t="s">
        <v>14</v>
      </c>
      <c r="R1660" s="32" t="s">
        <v>24</v>
      </c>
      <c r="S1660" s="32">
        <v>19340</v>
      </c>
      <c r="T1660" s="32">
        <v>4583</v>
      </c>
      <c r="U1660" s="81">
        <v>14757</v>
      </c>
    </row>
    <row r="1661" spans="12:21">
      <c r="L1661" s="35">
        <v>176095</v>
      </c>
      <c r="M1661" s="35" t="s">
        <v>16</v>
      </c>
      <c r="N1661" s="35" t="s">
        <v>22</v>
      </c>
      <c r="O1661" s="35" t="s">
        <v>30</v>
      </c>
      <c r="P1661" s="35" t="s">
        <v>13</v>
      </c>
      <c r="Q1661" s="35" t="s">
        <v>28</v>
      </c>
      <c r="R1661" s="35" t="s">
        <v>15</v>
      </c>
      <c r="S1661" s="35">
        <v>204515</v>
      </c>
      <c r="T1661" s="35">
        <v>3131</v>
      </c>
      <c r="U1661" s="81">
        <v>201384</v>
      </c>
    </row>
    <row r="1662" spans="12:21">
      <c r="L1662" s="32">
        <v>226207</v>
      </c>
      <c r="M1662" s="35" t="s">
        <v>16</v>
      </c>
      <c r="N1662" s="32" t="s">
        <v>25</v>
      </c>
      <c r="O1662" s="32" t="s">
        <v>18</v>
      </c>
      <c r="P1662" s="32" t="s">
        <v>19</v>
      </c>
      <c r="Q1662" s="32" t="s">
        <v>28</v>
      </c>
      <c r="R1662" s="32" t="s">
        <v>24</v>
      </c>
      <c r="S1662" s="32">
        <v>22865</v>
      </c>
      <c r="T1662" s="32">
        <v>1045</v>
      </c>
      <c r="U1662" s="81">
        <v>21820</v>
      </c>
    </row>
    <row r="1663" spans="12:21">
      <c r="L1663" s="35">
        <v>79718</v>
      </c>
      <c r="M1663" s="35" t="s">
        <v>16</v>
      </c>
      <c r="N1663" s="35" t="s">
        <v>38</v>
      </c>
      <c r="O1663" s="35" t="s">
        <v>30</v>
      </c>
      <c r="P1663" s="35" t="s">
        <v>19</v>
      </c>
      <c r="Q1663" s="35" t="s">
        <v>14</v>
      </c>
      <c r="R1663" s="35" t="s">
        <v>15</v>
      </c>
      <c r="S1663" s="35">
        <v>170613</v>
      </c>
      <c r="T1663" s="35">
        <v>9240</v>
      </c>
      <c r="U1663" s="81">
        <v>161373</v>
      </c>
    </row>
    <row r="1664" spans="12:21">
      <c r="L1664" s="32">
        <v>22739</v>
      </c>
      <c r="M1664" s="35" t="s">
        <v>16</v>
      </c>
      <c r="N1664" s="32" t="s">
        <v>11</v>
      </c>
      <c r="O1664" s="32" t="s">
        <v>18</v>
      </c>
      <c r="P1664" s="32" t="s">
        <v>13</v>
      </c>
      <c r="Q1664" s="32" t="s">
        <v>14</v>
      </c>
      <c r="R1664" s="32" t="s">
        <v>15</v>
      </c>
      <c r="S1664" s="32">
        <v>39073</v>
      </c>
      <c r="T1664" s="32">
        <v>135</v>
      </c>
      <c r="U1664" s="81">
        <v>38938</v>
      </c>
    </row>
    <row r="1665" spans="12:21">
      <c r="L1665" s="35">
        <v>246317</v>
      </c>
      <c r="M1665" s="35" t="s">
        <v>16</v>
      </c>
      <c r="N1665" s="35" t="s">
        <v>17</v>
      </c>
      <c r="O1665" s="35" t="s">
        <v>18</v>
      </c>
      <c r="P1665" s="35" t="s">
        <v>19</v>
      </c>
      <c r="Q1665" s="35" t="s">
        <v>14</v>
      </c>
      <c r="R1665" s="35" t="s">
        <v>15</v>
      </c>
      <c r="S1665" s="35">
        <v>15649</v>
      </c>
      <c r="T1665" s="35">
        <v>130</v>
      </c>
      <c r="U1665" s="81">
        <v>15519</v>
      </c>
    </row>
    <row r="1666" spans="12:21">
      <c r="L1666" s="32">
        <v>138220</v>
      </c>
      <c r="M1666" s="35" t="s">
        <v>16</v>
      </c>
      <c r="N1666" s="32" t="s">
        <v>25</v>
      </c>
      <c r="O1666" s="32" t="s">
        <v>23</v>
      </c>
      <c r="P1666" s="32" t="s">
        <v>19</v>
      </c>
      <c r="Q1666" s="32" t="s">
        <v>14</v>
      </c>
      <c r="R1666" s="32" t="s">
        <v>15</v>
      </c>
      <c r="S1666" s="32">
        <v>50117</v>
      </c>
      <c r="T1666" s="32">
        <v>1579</v>
      </c>
      <c r="U1666" s="81">
        <v>48538</v>
      </c>
    </row>
    <row r="1667" spans="12:21">
      <c r="L1667" s="35">
        <v>14608</v>
      </c>
      <c r="M1667" s="35" t="s">
        <v>16</v>
      </c>
      <c r="N1667" s="35" t="s">
        <v>39</v>
      </c>
      <c r="O1667" s="35" t="s">
        <v>32</v>
      </c>
      <c r="P1667" s="35" t="s">
        <v>13</v>
      </c>
      <c r="Q1667" s="35" t="s">
        <v>14</v>
      </c>
      <c r="R1667" s="35" t="s">
        <v>15</v>
      </c>
      <c r="S1667" s="35">
        <v>10032</v>
      </c>
      <c r="T1667" s="35">
        <v>1311</v>
      </c>
      <c r="U1667" s="81">
        <v>8721</v>
      </c>
    </row>
    <row r="1668" spans="12:21">
      <c r="L1668" s="32">
        <v>176137</v>
      </c>
      <c r="M1668" s="35" t="s">
        <v>16</v>
      </c>
      <c r="N1668" s="32" t="s">
        <v>25</v>
      </c>
      <c r="O1668" s="32" t="s">
        <v>33</v>
      </c>
      <c r="P1668" s="32" t="s">
        <v>13</v>
      </c>
      <c r="Q1668" s="32" t="s">
        <v>14</v>
      </c>
      <c r="R1668" s="32" t="s">
        <v>15</v>
      </c>
      <c r="S1668" s="32">
        <v>145393</v>
      </c>
      <c r="T1668" s="32">
        <v>3046</v>
      </c>
      <c r="U1668" s="81">
        <v>142347</v>
      </c>
    </row>
    <row r="1669" spans="12:21">
      <c r="L1669" s="35">
        <v>122150</v>
      </c>
      <c r="M1669" s="35" t="s">
        <v>16</v>
      </c>
      <c r="N1669" s="35" t="s">
        <v>25</v>
      </c>
      <c r="O1669" s="35" t="s">
        <v>30</v>
      </c>
      <c r="P1669" s="35" t="s">
        <v>19</v>
      </c>
      <c r="Q1669" s="35" t="s">
        <v>14</v>
      </c>
      <c r="R1669" s="35" t="s">
        <v>15</v>
      </c>
      <c r="S1669" s="35">
        <v>45494</v>
      </c>
      <c r="T1669" s="35">
        <v>2619</v>
      </c>
      <c r="U1669" s="81">
        <v>42875</v>
      </c>
    </row>
    <row r="1670" spans="12:21">
      <c r="L1670" s="32">
        <v>214004</v>
      </c>
      <c r="M1670" s="35" t="s">
        <v>16</v>
      </c>
      <c r="N1670" s="32" t="s">
        <v>38</v>
      </c>
      <c r="O1670" s="32" t="s">
        <v>21</v>
      </c>
      <c r="P1670" s="32" t="s">
        <v>19</v>
      </c>
      <c r="Q1670" s="32" t="s">
        <v>14</v>
      </c>
      <c r="R1670" s="32" t="s">
        <v>24</v>
      </c>
      <c r="S1670" s="32">
        <v>33927</v>
      </c>
      <c r="T1670" s="32">
        <v>625</v>
      </c>
      <c r="U1670" s="81">
        <v>33302</v>
      </c>
    </row>
    <row r="1671" spans="12:21">
      <c r="L1671" s="35">
        <v>212726</v>
      </c>
      <c r="M1671" s="35" t="s">
        <v>16</v>
      </c>
      <c r="N1671" s="35" t="s">
        <v>34</v>
      </c>
      <c r="O1671" s="35" t="s">
        <v>30</v>
      </c>
      <c r="P1671" s="35" t="s">
        <v>13</v>
      </c>
      <c r="Q1671" s="35" t="s">
        <v>14</v>
      </c>
      <c r="R1671" s="35" t="s">
        <v>15</v>
      </c>
      <c r="S1671" s="35">
        <v>40478</v>
      </c>
      <c r="T1671" s="35">
        <v>1196</v>
      </c>
      <c r="U1671" s="81">
        <v>39282</v>
      </c>
    </row>
    <row r="1672" spans="12:21">
      <c r="L1672" s="32">
        <v>16982</v>
      </c>
      <c r="M1672" s="35" t="s">
        <v>16</v>
      </c>
      <c r="N1672" s="32" t="s">
        <v>11</v>
      </c>
      <c r="O1672" s="32" t="s">
        <v>36</v>
      </c>
      <c r="P1672" s="32" t="s">
        <v>13</v>
      </c>
      <c r="Q1672" s="32" t="s">
        <v>14</v>
      </c>
      <c r="R1672" s="32" t="s">
        <v>24</v>
      </c>
      <c r="S1672" s="32">
        <v>278</v>
      </c>
      <c r="T1672" s="32">
        <v>0</v>
      </c>
      <c r="U1672" s="81">
        <v>278</v>
      </c>
    </row>
    <row r="1673" spans="12:21">
      <c r="L1673" s="35">
        <v>93997</v>
      </c>
      <c r="M1673" s="35" t="s">
        <v>16</v>
      </c>
      <c r="N1673" s="35" t="s">
        <v>38</v>
      </c>
      <c r="O1673" s="35" t="s">
        <v>32</v>
      </c>
      <c r="P1673" s="35" t="s">
        <v>13</v>
      </c>
      <c r="Q1673" s="35" t="s">
        <v>14</v>
      </c>
      <c r="R1673" s="35" t="s">
        <v>15</v>
      </c>
      <c r="S1673" s="35">
        <v>3202</v>
      </c>
      <c r="T1673" s="35">
        <v>1089</v>
      </c>
      <c r="U1673" s="81">
        <v>2113</v>
      </c>
    </row>
    <row r="1674" spans="12:21">
      <c r="L1674" s="32">
        <v>95481</v>
      </c>
      <c r="M1674" s="35" t="s">
        <v>16</v>
      </c>
      <c r="N1674" s="32" t="s">
        <v>37</v>
      </c>
      <c r="O1674" s="32" t="s">
        <v>30</v>
      </c>
      <c r="P1674" s="32" t="s">
        <v>13</v>
      </c>
      <c r="Q1674" s="32" t="s">
        <v>14</v>
      </c>
      <c r="R1674" s="32" t="s">
        <v>15</v>
      </c>
      <c r="S1674" s="32">
        <v>45498</v>
      </c>
      <c r="T1674" s="32">
        <v>3331</v>
      </c>
      <c r="U1674" s="81">
        <v>42167</v>
      </c>
    </row>
    <row r="1675" spans="12:21">
      <c r="L1675" s="35">
        <v>89401</v>
      </c>
      <c r="M1675" s="35" t="s">
        <v>16</v>
      </c>
      <c r="N1675" s="35" t="s">
        <v>37</v>
      </c>
      <c r="O1675" s="35" t="s">
        <v>30</v>
      </c>
      <c r="P1675" s="35" t="s">
        <v>19</v>
      </c>
      <c r="Q1675" s="35" t="s">
        <v>14</v>
      </c>
      <c r="R1675" s="35" t="s">
        <v>24</v>
      </c>
      <c r="S1675" s="35">
        <v>31488</v>
      </c>
      <c r="T1675" s="35">
        <v>1881</v>
      </c>
      <c r="U1675" s="81">
        <v>29607</v>
      </c>
    </row>
    <row r="1676" spans="12:21">
      <c r="L1676" s="32">
        <v>5070</v>
      </c>
      <c r="M1676" s="35" t="s">
        <v>16</v>
      </c>
      <c r="N1676" s="32" t="s">
        <v>37</v>
      </c>
      <c r="O1676" s="32" t="s">
        <v>23</v>
      </c>
      <c r="P1676" s="32" t="s">
        <v>13</v>
      </c>
      <c r="Q1676" s="32" t="s">
        <v>14</v>
      </c>
      <c r="R1676" s="32" t="s">
        <v>24</v>
      </c>
      <c r="S1676" s="32">
        <v>15171</v>
      </c>
      <c r="T1676" s="32">
        <v>1358</v>
      </c>
      <c r="U1676" s="81">
        <v>13813</v>
      </c>
    </row>
    <row r="1677" spans="12:21">
      <c r="L1677" s="35">
        <v>48077</v>
      </c>
      <c r="M1677" s="35" t="s">
        <v>16</v>
      </c>
      <c r="N1677" s="35" t="s">
        <v>34</v>
      </c>
      <c r="O1677" s="35" t="s">
        <v>36</v>
      </c>
      <c r="P1677" s="35" t="s">
        <v>13</v>
      </c>
      <c r="Q1677" s="35" t="s">
        <v>14</v>
      </c>
      <c r="R1677" s="35" t="s">
        <v>24</v>
      </c>
      <c r="S1677" s="35">
        <v>74453</v>
      </c>
      <c r="T1677" s="35">
        <v>689</v>
      </c>
      <c r="U1677" s="81">
        <v>73764</v>
      </c>
    </row>
    <row r="1678" spans="12:21">
      <c r="L1678" s="32">
        <v>16539</v>
      </c>
      <c r="M1678" s="35" t="s">
        <v>16</v>
      </c>
      <c r="N1678" s="32" t="s">
        <v>11</v>
      </c>
      <c r="O1678" s="32" t="s">
        <v>32</v>
      </c>
      <c r="P1678" s="32" t="s">
        <v>13</v>
      </c>
      <c r="Q1678" s="32" t="s">
        <v>28</v>
      </c>
      <c r="R1678" s="32" t="s">
        <v>24</v>
      </c>
      <c r="S1678" s="32">
        <v>19648</v>
      </c>
      <c r="T1678" s="32">
        <v>675</v>
      </c>
      <c r="U1678" s="81">
        <v>18973</v>
      </c>
    </row>
    <row r="1679" spans="12:21">
      <c r="L1679" s="35">
        <v>213966</v>
      </c>
      <c r="M1679" s="35" t="s">
        <v>16</v>
      </c>
      <c r="N1679" s="35" t="s">
        <v>11</v>
      </c>
      <c r="O1679" s="35" t="s">
        <v>12</v>
      </c>
      <c r="P1679" s="35" t="s">
        <v>13</v>
      </c>
      <c r="Q1679" s="35" t="s">
        <v>28</v>
      </c>
      <c r="R1679" s="35" t="s">
        <v>15</v>
      </c>
      <c r="S1679" s="35">
        <v>119681</v>
      </c>
      <c r="T1679" s="35">
        <v>9</v>
      </c>
      <c r="U1679" s="81">
        <v>119672</v>
      </c>
    </row>
    <row r="1680" spans="12:21">
      <c r="L1680" s="32">
        <v>184551</v>
      </c>
      <c r="M1680" s="35" t="s">
        <v>16</v>
      </c>
      <c r="N1680" s="32" t="s">
        <v>34</v>
      </c>
      <c r="O1680" s="32" t="s">
        <v>32</v>
      </c>
      <c r="P1680" s="32" t="s">
        <v>13</v>
      </c>
      <c r="Q1680" s="32" t="s">
        <v>14</v>
      </c>
      <c r="R1680" s="32" t="s">
        <v>24</v>
      </c>
      <c r="S1680" s="32">
        <v>2629</v>
      </c>
      <c r="T1680" s="32">
        <v>0</v>
      </c>
      <c r="U1680" s="81">
        <v>2629</v>
      </c>
    </row>
    <row r="1681" spans="12:21">
      <c r="L1681" s="35">
        <v>95674</v>
      </c>
      <c r="M1681" s="35" t="s">
        <v>16</v>
      </c>
      <c r="N1681" s="35" t="s">
        <v>37</v>
      </c>
      <c r="O1681" s="35" t="s">
        <v>33</v>
      </c>
      <c r="P1681" s="35" t="s">
        <v>13</v>
      </c>
      <c r="Q1681" s="35" t="s">
        <v>14</v>
      </c>
      <c r="R1681" s="35" t="s">
        <v>15</v>
      </c>
      <c r="S1681" s="35">
        <v>42586</v>
      </c>
      <c r="T1681" s="35">
        <v>0</v>
      </c>
      <c r="U1681" s="81">
        <v>42586</v>
      </c>
    </row>
    <row r="1682" spans="12:21">
      <c r="L1682" s="32">
        <v>15144</v>
      </c>
      <c r="M1682" s="35" t="s">
        <v>16</v>
      </c>
      <c r="N1682" s="32" t="s">
        <v>11</v>
      </c>
      <c r="O1682" s="32" t="s">
        <v>36</v>
      </c>
      <c r="P1682" s="32" t="s">
        <v>19</v>
      </c>
      <c r="Q1682" s="32" t="s">
        <v>14</v>
      </c>
      <c r="R1682" s="32" t="s">
        <v>24</v>
      </c>
      <c r="S1682" s="32">
        <v>77766</v>
      </c>
      <c r="T1682" s="32">
        <v>3966</v>
      </c>
      <c r="U1682" s="81">
        <v>73800</v>
      </c>
    </row>
    <row r="1683" spans="12:21">
      <c r="L1683" s="35">
        <v>85804</v>
      </c>
      <c r="M1683" s="35" t="s">
        <v>16</v>
      </c>
      <c r="N1683" s="35" t="s">
        <v>34</v>
      </c>
      <c r="O1683" s="35" t="s">
        <v>18</v>
      </c>
      <c r="P1683" s="35" t="s">
        <v>19</v>
      </c>
      <c r="Q1683" s="35" t="s">
        <v>28</v>
      </c>
      <c r="R1683" s="35" t="s">
        <v>15</v>
      </c>
      <c r="S1683" s="35">
        <v>28863</v>
      </c>
      <c r="T1683" s="35">
        <v>643</v>
      </c>
      <c r="U1683" s="81">
        <v>28220</v>
      </c>
    </row>
    <row r="1684" spans="12:21">
      <c r="L1684" s="32">
        <v>224954</v>
      </c>
      <c r="M1684" s="35" t="s">
        <v>16</v>
      </c>
      <c r="N1684" s="32" t="s">
        <v>25</v>
      </c>
      <c r="O1684" s="32" t="s">
        <v>21</v>
      </c>
      <c r="P1684" s="32" t="s">
        <v>19</v>
      </c>
      <c r="Q1684" s="32" t="s">
        <v>14</v>
      </c>
      <c r="R1684" s="32" t="s">
        <v>24</v>
      </c>
      <c r="S1684" s="32">
        <v>67510</v>
      </c>
      <c r="T1684" s="32">
        <v>328</v>
      </c>
      <c r="U1684" s="81">
        <v>67182</v>
      </c>
    </row>
    <row r="1685" spans="12:21">
      <c r="L1685" s="35">
        <v>160367</v>
      </c>
      <c r="M1685" s="35" t="s">
        <v>16</v>
      </c>
      <c r="N1685" s="35" t="s">
        <v>25</v>
      </c>
      <c r="O1685" s="35" t="s">
        <v>30</v>
      </c>
      <c r="P1685" s="35" t="s">
        <v>19</v>
      </c>
      <c r="Q1685" s="35" t="s">
        <v>28</v>
      </c>
      <c r="R1685" s="35" t="s">
        <v>24</v>
      </c>
      <c r="S1685" s="35">
        <v>59184</v>
      </c>
      <c r="T1685" s="35">
        <v>3283</v>
      </c>
      <c r="U1685" s="81">
        <v>55901</v>
      </c>
    </row>
    <row r="1686" spans="12:21">
      <c r="L1686" s="32">
        <v>97324</v>
      </c>
      <c r="M1686" s="35" t="s">
        <v>16</v>
      </c>
      <c r="N1686" s="32" t="s">
        <v>38</v>
      </c>
      <c r="O1686" s="32" t="s">
        <v>12</v>
      </c>
      <c r="P1686" s="32" t="s">
        <v>13</v>
      </c>
      <c r="Q1686" s="32" t="s">
        <v>14</v>
      </c>
      <c r="R1686" s="32" t="s">
        <v>15</v>
      </c>
      <c r="S1686" s="32">
        <v>69530</v>
      </c>
      <c r="T1686" s="32">
        <v>1666</v>
      </c>
      <c r="U1686" s="81">
        <v>67864</v>
      </c>
    </row>
    <row r="1687" spans="12:21">
      <c r="L1687" s="35">
        <v>9440</v>
      </c>
      <c r="M1687" s="35" t="s">
        <v>16</v>
      </c>
      <c r="N1687" s="35" t="s">
        <v>20</v>
      </c>
      <c r="O1687" s="35" t="s">
        <v>32</v>
      </c>
      <c r="P1687" s="35" t="s">
        <v>13</v>
      </c>
      <c r="Q1687" s="35" t="s">
        <v>14</v>
      </c>
      <c r="R1687" s="35" t="s">
        <v>15</v>
      </c>
      <c r="S1687" s="35">
        <v>138540</v>
      </c>
      <c r="T1687" s="35">
        <v>0</v>
      </c>
      <c r="U1687" s="81">
        <v>138540</v>
      </c>
    </row>
    <row r="1688" spans="12:21">
      <c r="L1688" s="32">
        <v>204160</v>
      </c>
      <c r="M1688" s="35" t="s">
        <v>16</v>
      </c>
      <c r="N1688" s="32" t="s">
        <v>37</v>
      </c>
      <c r="O1688" s="32" t="s">
        <v>33</v>
      </c>
      <c r="P1688" s="32" t="s">
        <v>19</v>
      </c>
      <c r="Q1688" s="32" t="s">
        <v>28</v>
      </c>
      <c r="R1688" s="32" t="s">
        <v>15</v>
      </c>
      <c r="S1688" s="32">
        <v>48662</v>
      </c>
      <c r="T1688" s="32">
        <v>5455</v>
      </c>
      <c r="U1688" s="81">
        <v>43207</v>
      </c>
    </row>
    <row r="1689" spans="12:21">
      <c r="L1689" s="35">
        <v>30658</v>
      </c>
      <c r="M1689" s="35" t="s">
        <v>16</v>
      </c>
      <c r="N1689" s="35" t="s">
        <v>35</v>
      </c>
      <c r="O1689" s="35" t="s">
        <v>36</v>
      </c>
      <c r="P1689" s="35" t="s">
        <v>13</v>
      </c>
      <c r="Q1689" s="35" t="s">
        <v>14</v>
      </c>
      <c r="R1689" s="35" t="s">
        <v>24</v>
      </c>
      <c r="S1689" s="35">
        <v>11159</v>
      </c>
      <c r="T1689" s="35">
        <v>725</v>
      </c>
      <c r="U1689" s="81">
        <v>10434</v>
      </c>
    </row>
    <row r="1690" spans="12:21">
      <c r="L1690" s="32">
        <v>192430</v>
      </c>
      <c r="M1690" s="35" t="s">
        <v>16</v>
      </c>
      <c r="N1690" s="32" t="s">
        <v>20</v>
      </c>
      <c r="O1690" s="32" t="s">
        <v>32</v>
      </c>
      <c r="P1690" s="32" t="s">
        <v>19</v>
      </c>
      <c r="Q1690" s="32" t="s">
        <v>14</v>
      </c>
      <c r="R1690" s="32" t="s">
        <v>24</v>
      </c>
      <c r="S1690" s="32">
        <v>58984</v>
      </c>
      <c r="T1690" s="32">
        <v>232</v>
      </c>
      <c r="U1690" s="81">
        <v>58752</v>
      </c>
    </row>
    <row r="1691" spans="12:21">
      <c r="L1691" s="35">
        <v>134946</v>
      </c>
      <c r="M1691" s="35" t="s">
        <v>16</v>
      </c>
      <c r="N1691" s="35" t="s">
        <v>27</v>
      </c>
      <c r="O1691" s="35" t="s">
        <v>18</v>
      </c>
      <c r="P1691" s="35" t="s">
        <v>19</v>
      </c>
      <c r="Q1691" s="35" t="s">
        <v>14</v>
      </c>
      <c r="R1691" s="35" t="s">
        <v>24</v>
      </c>
      <c r="S1691" s="35">
        <v>15205</v>
      </c>
      <c r="T1691" s="35">
        <v>674</v>
      </c>
      <c r="U1691" s="81">
        <v>14531</v>
      </c>
    </row>
    <row r="1692" spans="12:21">
      <c r="L1692" s="32">
        <v>197088</v>
      </c>
      <c r="M1692" s="35" t="s">
        <v>16</v>
      </c>
      <c r="N1692" s="32" t="s">
        <v>11</v>
      </c>
      <c r="O1692" s="32" t="s">
        <v>32</v>
      </c>
      <c r="P1692" s="32" t="s">
        <v>13</v>
      </c>
      <c r="Q1692" s="32" t="s">
        <v>28</v>
      </c>
      <c r="R1692" s="32" t="s">
        <v>15</v>
      </c>
      <c r="S1692" s="32">
        <v>36653</v>
      </c>
      <c r="T1692" s="32">
        <v>164</v>
      </c>
      <c r="U1692" s="81">
        <v>36489</v>
      </c>
    </row>
    <row r="1693" spans="12:21">
      <c r="L1693" s="35">
        <v>101764</v>
      </c>
      <c r="M1693" s="35" t="s">
        <v>16</v>
      </c>
      <c r="N1693" s="35" t="s">
        <v>37</v>
      </c>
      <c r="O1693" s="35" t="s">
        <v>26</v>
      </c>
      <c r="P1693" s="35" t="s">
        <v>13</v>
      </c>
      <c r="Q1693" s="35" t="s">
        <v>28</v>
      </c>
      <c r="R1693" s="35" t="s">
        <v>24</v>
      </c>
      <c r="S1693" s="35">
        <v>27258</v>
      </c>
      <c r="T1693" s="35">
        <v>718</v>
      </c>
      <c r="U1693" s="81">
        <v>26540</v>
      </c>
    </row>
    <row r="1694" spans="12:21">
      <c r="L1694" s="32">
        <v>48965</v>
      </c>
      <c r="M1694" s="35" t="s">
        <v>16</v>
      </c>
      <c r="N1694" s="32" t="s">
        <v>34</v>
      </c>
      <c r="O1694" s="32" t="s">
        <v>33</v>
      </c>
      <c r="P1694" s="32" t="s">
        <v>13</v>
      </c>
      <c r="Q1694" s="32" t="s">
        <v>28</v>
      </c>
      <c r="R1694" s="32" t="s">
        <v>24</v>
      </c>
      <c r="S1694" s="32">
        <v>24223</v>
      </c>
      <c r="T1694" s="32">
        <v>249</v>
      </c>
      <c r="U1694" s="81">
        <v>23974</v>
      </c>
    </row>
    <row r="1695" spans="12:21">
      <c r="L1695" s="35">
        <v>5440</v>
      </c>
      <c r="M1695" s="35" t="s">
        <v>16</v>
      </c>
      <c r="N1695" s="35" t="s">
        <v>20</v>
      </c>
      <c r="O1695" s="35" t="s">
        <v>32</v>
      </c>
      <c r="P1695" s="35" t="s">
        <v>13</v>
      </c>
      <c r="Q1695" s="35" t="s">
        <v>14</v>
      </c>
      <c r="R1695" s="35" t="s">
        <v>15</v>
      </c>
      <c r="S1695" s="35">
        <v>41210</v>
      </c>
      <c r="T1695" s="35">
        <v>0</v>
      </c>
      <c r="U1695" s="81">
        <v>41210</v>
      </c>
    </row>
    <row r="1696" spans="12:21">
      <c r="L1696" s="32">
        <v>245387</v>
      </c>
      <c r="M1696" s="35" t="s">
        <v>16</v>
      </c>
      <c r="N1696" s="32" t="s">
        <v>35</v>
      </c>
      <c r="O1696" s="32" t="s">
        <v>30</v>
      </c>
      <c r="P1696" s="32" t="s">
        <v>13</v>
      </c>
      <c r="Q1696" s="32" t="s">
        <v>14</v>
      </c>
      <c r="R1696" s="32" t="s">
        <v>15</v>
      </c>
      <c r="S1696" s="32">
        <v>177747</v>
      </c>
      <c r="T1696" s="32">
        <v>9284</v>
      </c>
      <c r="U1696" s="81">
        <v>168463</v>
      </c>
    </row>
    <row r="1697" spans="12:21">
      <c r="L1697" s="35">
        <v>97118</v>
      </c>
      <c r="M1697" s="35" t="s">
        <v>16</v>
      </c>
      <c r="N1697" s="35" t="s">
        <v>34</v>
      </c>
      <c r="O1697" s="35" t="s">
        <v>36</v>
      </c>
      <c r="P1697" s="35" t="s">
        <v>13</v>
      </c>
      <c r="Q1697" s="35" t="s">
        <v>14</v>
      </c>
      <c r="R1697" s="35" t="s">
        <v>24</v>
      </c>
      <c r="S1697" s="35">
        <v>26670</v>
      </c>
      <c r="T1697" s="35">
        <v>253</v>
      </c>
      <c r="U1697" s="81">
        <v>26417</v>
      </c>
    </row>
    <row r="1698" spans="12:21">
      <c r="L1698" s="32">
        <v>71915</v>
      </c>
      <c r="M1698" s="35" t="s">
        <v>16</v>
      </c>
      <c r="N1698" s="32" t="s">
        <v>34</v>
      </c>
      <c r="O1698" s="32" t="s">
        <v>32</v>
      </c>
      <c r="P1698" s="32" t="s">
        <v>19</v>
      </c>
      <c r="Q1698" s="32" t="s">
        <v>14</v>
      </c>
      <c r="R1698" s="32" t="s">
        <v>24</v>
      </c>
      <c r="S1698" s="32">
        <v>6392</v>
      </c>
      <c r="T1698" s="32">
        <v>0</v>
      </c>
      <c r="U1698" s="81">
        <v>6392</v>
      </c>
    </row>
    <row r="1699" spans="12:21">
      <c r="L1699" s="35">
        <v>70130</v>
      </c>
      <c r="M1699" s="35" t="s">
        <v>16</v>
      </c>
      <c r="N1699" s="35" t="s">
        <v>34</v>
      </c>
      <c r="O1699" s="35" t="s">
        <v>36</v>
      </c>
      <c r="P1699" s="35" t="s">
        <v>19</v>
      </c>
      <c r="Q1699" s="35" t="s">
        <v>14</v>
      </c>
      <c r="R1699" s="35" t="s">
        <v>15</v>
      </c>
      <c r="S1699" s="35">
        <v>59677</v>
      </c>
      <c r="T1699" s="35">
        <v>347</v>
      </c>
      <c r="U1699" s="81">
        <v>59330</v>
      </c>
    </row>
    <row r="1700" spans="12:21">
      <c r="L1700" s="32">
        <v>207543</v>
      </c>
      <c r="M1700" s="35" t="s">
        <v>16</v>
      </c>
      <c r="N1700" s="32" t="s">
        <v>20</v>
      </c>
      <c r="O1700" s="32" t="s">
        <v>32</v>
      </c>
      <c r="P1700" s="32" t="s">
        <v>19</v>
      </c>
      <c r="Q1700" s="32" t="s">
        <v>28</v>
      </c>
      <c r="R1700" s="32" t="s">
        <v>15</v>
      </c>
      <c r="S1700" s="32">
        <v>205028</v>
      </c>
      <c r="T1700" s="32">
        <v>2841</v>
      </c>
      <c r="U1700" s="81">
        <v>202187</v>
      </c>
    </row>
    <row r="1701" spans="12:21">
      <c r="L1701" s="35">
        <v>7084</v>
      </c>
      <c r="M1701" s="35" t="s">
        <v>16</v>
      </c>
      <c r="N1701" s="35" t="s">
        <v>20</v>
      </c>
      <c r="O1701" s="35" t="s">
        <v>32</v>
      </c>
      <c r="P1701" s="35" t="s">
        <v>19</v>
      </c>
      <c r="Q1701" s="35" t="s">
        <v>14</v>
      </c>
      <c r="R1701" s="35" t="s">
        <v>24</v>
      </c>
      <c r="S1701" s="35">
        <v>121759</v>
      </c>
      <c r="T1701" s="35">
        <v>678</v>
      </c>
      <c r="U1701" s="81">
        <v>121081</v>
      </c>
    </row>
    <row r="1702" spans="12:21">
      <c r="L1702" s="32">
        <v>218811</v>
      </c>
      <c r="M1702" s="35" t="s">
        <v>16</v>
      </c>
      <c r="N1702" s="32" t="s">
        <v>34</v>
      </c>
      <c r="O1702" s="32" t="s">
        <v>36</v>
      </c>
      <c r="P1702" s="32" t="s">
        <v>13</v>
      </c>
      <c r="Q1702" s="32" t="s">
        <v>14</v>
      </c>
      <c r="R1702" s="32" t="s">
        <v>15</v>
      </c>
      <c r="S1702" s="32">
        <v>50248</v>
      </c>
      <c r="T1702" s="32">
        <v>735</v>
      </c>
      <c r="U1702" s="81">
        <v>49513</v>
      </c>
    </row>
    <row r="1703" spans="12:21">
      <c r="L1703" s="35">
        <v>61612</v>
      </c>
      <c r="M1703" s="35" t="s">
        <v>16</v>
      </c>
      <c r="N1703" s="35" t="s">
        <v>27</v>
      </c>
      <c r="O1703" s="35" t="s">
        <v>30</v>
      </c>
      <c r="P1703" s="35" t="s">
        <v>13</v>
      </c>
      <c r="Q1703" s="35" t="s">
        <v>14</v>
      </c>
      <c r="R1703" s="35" t="s">
        <v>15</v>
      </c>
      <c r="S1703" s="35">
        <v>81260</v>
      </c>
      <c r="T1703" s="35">
        <v>3698</v>
      </c>
      <c r="U1703" s="81">
        <v>77562</v>
      </c>
    </row>
    <row r="1704" spans="12:21">
      <c r="L1704" s="32">
        <v>130394</v>
      </c>
      <c r="M1704" s="35" t="s">
        <v>16</v>
      </c>
      <c r="N1704" s="32" t="s">
        <v>25</v>
      </c>
      <c r="O1704" s="32" t="s">
        <v>33</v>
      </c>
      <c r="P1704" s="32" t="s">
        <v>13</v>
      </c>
      <c r="Q1704" s="32" t="s">
        <v>28</v>
      </c>
      <c r="R1704" s="32" t="s">
        <v>15</v>
      </c>
      <c r="S1704" s="32">
        <v>26314</v>
      </c>
      <c r="T1704" s="32">
        <v>965</v>
      </c>
      <c r="U1704" s="81">
        <v>25349</v>
      </c>
    </row>
    <row r="1705" spans="12:21">
      <c r="L1705" s="35">
        <v>81720</v>
      </c>
      <c r="M1705" s="35" t="s">
        <v>16</v>
      </c>
      <c r="N1705" s="35" t="s">
        <v>20</v>
      </c>
      <c r="O1705" s="35" t="s">
        <v>32</v>
      </c>
      <c r="P1705" s="35" t="s">
        <v>19</v>
      </c>
      <c r="Q1705" s="35" t="s">
        <v>14</v>
      </c>
      <c r="R1705" s="35" t="s">
        <v>24</v>
      </c>
      <c r="S1705" s="35">
        <v>308266</v>
      </c>
      <c r="T1705" s="35">
        <v>154</v>
      </c>
      <c r="U1705" s="81">
        <v>308112</v>
      </c>
    </row>
    <row r="1706" spans="12:21">
      <c r="L1706" s="32">
        <v>139376</v>
      </c>
      <c r="M1706" s="35" t="s">
        <v>16</v>
      </c>
      <c r="N1706" s="32" t="s">
        <v>35</v>
      </c>
      <c r="O1706" s="32" t="s">
        <v>21</v>
      </c>
      <c r="P1706" s="32" t="s">
        <v>19</v>
      </c>
      <c r="Q1706" s="32" t="s">
        <v>14</v>
      </c>
      <c r="R1706" s="32" t="s">
        <v>15</v>
      </c>
      <c r="S1706" s="32">
        <v>101018</v>
      </c>
      <c r="T1706" s="32">
        <v>7032</v>
      </c>
      <c r="U1706" s="81">
        <v>93986</v>
      </c>
    </row>
    <row r="1707" spans="12:21">
      <c r="L1707" s="35">
        <v>183710</v>
      </c>
      <c r="M1707" s="35" t="s">
        <v>16</v>
      </c>
      <c r="N1707" s="35" t="s">
        <v>37</v>
      </c>
      <c r="O1707" s="35" t="s">
        <v>30</v>
      </c>
      <c r="P1707" s="35" t="s">
        <v>13</v>
      </c>
      <c r="Q1707" s="35" t="s">
        <v>14</v>
      </c>
      <c r="R1707" s="35" t="s">
        <v>15</v>
      </c>
      <c r="S1707" s="35">
        <v>88363</v>
      </c>
      <c r="T1707" s="35">
        <v>2264</v>
      </c>
      <c r="U1707" s="81">
        <v>86099</v>
      </c>
    </row>
    <row r="1708" spans="12:21">
      <c r="L1708" s="32">
        <v>135276</v>
      </c>
      <c r="M1708" s="35" t="s">
        <v>16</v>
      </c>
      <c r="N1708" s="32" t="s">
        <v>27</v>
      </c>
      <c r="O1708" s="32" t="s">
        <v>30</v>
      </c>
      <c r="P1708" s="32" t="s">
        <v>13</v>
      </c>
      <c r="Q1708" s="32" t="s">
        <v>14</v>
      </c>
      <c r="R1708" s="32" t="s">
        <v>15</v>
      </c>
      <c r="S1708" s="32">
        <v>125755</v>
      </c>
      <c r="T1708" s="32">
        <v>7855</v>
      </c>
      <c r="U1708" s="81">
        <v>117900</v>
      </c>
    </row>
    <row r="1709" spans="12:21">
      <c r="L1709" s="35">
        <v>21306</v>
      </c>
      <c r="M1709" s="35" t="s">
        <v>16</v>
      </c>
      <c r="N1709" s="35" t="s">
        <v>11</v>
      </c>
      <c r="O1709" s="35" t="s">
        <v>30</v>
      </c>
      <c r="P1709" s="35" t="s">
        <v>19</v>
      </c>
      <c r="Q1709" s="35" t="s">
        <v>14</v>
      </c>
      <c r="R1709" s="35" t="s">
        <v>15</v>
      </c>
      <c r="S1709" s="35">
        <v>102712</v>
      </c>
      <c r="T1709" s="35">
        <v>5118</v>
      </c>
      <c r="U1709" s="81">
        <v>97594</v>
      </c>
    </row>
    <row r="1710" spans="12:21">
      <c r="L1710" s="32">
        <v>179834</v>
      </c>
      <c r="M1710" s="35" t="s">
        <v>16</v>
      </c>
      <c r="N1710" s="32" t="s">
        <v>17</v>
      </c>
      <c r="O1710" s="32" t="s">
        <v>33</v>
      </c>
      <c r="P1710" s="32" t="s">
        <v>19</v>
      </c>
      <c r="Q1710" s="32" t="s">
        <v>14</v>
      </c>
      <c r="R1710" s="32" t="s">
        <v>24</v>
      </c>
      <c r="S1710" s="32">
        <v>62999</v>
      </c>
      <c r="T1710" s="32">
        <v>503</v>
      </c>
      <c r="U1710" s="81">
        <v>62496</v>
      </c>
    </row>
    <row r="1711" spans="12:21">
      <c r="L1711" s="35">
        <v>140296</v>
      </c>
      <c r="M1711" s="35" t="s">
        <v>16</v>
      </c>
      <c r="N1711" s="35" t="s">
        <v>25</v>
      </c>
      <c r="O1711" s="35" t="s">
        <v>36</v>
      </c>
      <c r="P1711" s="35" t="s">
        <v>19</v>
      </c>
      <c r="Q1711" s="35" t="s">
        <v>28</v>
      </c>
      <c r="R1711" s="35" t="s">
        <v>24</v>
      </c>
      <c r="S1711" s="35">
        <v>35008</v>
      </c>
      <c r="T1711" s="35">
        <v>0</v>
      </c>
      <c r="U1711" s="81">
        <v>35008</v>
      </c>
    </row>
    <row r="1712" spans="12:21">
      <c r="L1712" s="32">
        <v>19161</v>
      </c>
      <c r="M1712" s="35" t="s">
        <v>16</v>
      </c>
      <c r="N1712" s="32" t="s">
        <v>11</v>
      </c>
      <c r="O1712" s="32" t="s">
        <v>26</v>
      </c>
      <c r="P1712" s="32" t="s">
        <v>13</v>
      </c>
      <c r="Q1712" s="32" t="s">
        <v>14</v>
      </c>
      <c r="R1712" s="32" t="s">
        <v>15</v>
      </c>
      <c r="S1712" s="32">
        <v>37744</v>
      </c>
      <c r="T1712" s="32">
        <v>2773</v>
      </c>
      <c r="U1712" s="81">
        <v>34971</v>
      </c>
    </row>
    <row r="1713" spans="12:21">
      <c r="L1713" s="35">
        <v>212937</v>
      </c>
      <c r="M1713" s="35" t="s">
        <v>16</v>
      </c>
      <c r="N1713" s="35" t="s">
        <v>38</v>
      </c>
      <c r="O1713" s="35" t="s">
        <v>32</v>
      </c>
      <c r="P1713" s="35" t="s">
        <v>13</v>
      </c>
      <c r="Q1713" s="35" t="s">
        <v>14</v>
      </c>
      <c r="R1713" s="35" t="s">
        <v>15</v>
      </c>
      <c r="S1713" s="35">
        <v>1011</v>
      </c>
      <c r="T1713" s="35">
        <v>0</v>
      </c>
      <c r="U1713" s="81">
        <v>1011</v>
      </c>
    </row>
    <row r="1714" spans="12:21">
      <c r="L1714" s="32">
        <v>225887</v>
      </c>
      <c r="M1714" s="35" t="s">
        <v>16</v>
      </c>
      <c r="N1714" s="32" t="s">
        <v>27</v>
      </c>
      <c r="O1714" s="32" t="s">
        <v>23</v>
      </c>
      <c r="P1714" s="32" t="s">
        <v>13</v>
      </c>
      <c r="Q1714" s="32" t="s">
        <v>28</v>
      </c>
      <c r="R1714" s="32" t="s">
        <v>24</v>
      </c>
      <c r="S1714" s="32">
        <v>18363</v>
      </c>
      <c r="T1714" s="32">
        <v>0</v>
      </c>
      <c r="U1714" s="81">
        <v>18363</v>
      </c>
    </row>
    <row r="1715" spans="12:21">
      <c r="L1715" s="35">
        <v>128724</v>
      </c>
      <c r="M1715" s="35" t="s">
        <v>16</v>
      </c>
      <c r="N1715" s="35" t="s">
        <v>22</v>
      </c>
      <c r="O1715" s="35" t="s">
        <v>12</v>
      </c>
      <c r="P1715" s="35" t="s">
        <v>19</v>
      </c>
      <c r="Q1715" s="35" t="s">
        <v>28</v>
      </c>
      <c r="R1715" s="35" t="s">
        <v>15</v>
      </c>
      <c r="S1715" s="35">
        <v>78850</v>
      </c>
      <c r="T1715" s="35">
        <v>63</v>
      </c>
      <c r="U1715" s="81">
        <v>78787</v>
      </c>
    </row>
    <row r="1716" spans="12:21">
      <c r="L1716" s="32">
        <v>209290</v>
      </c>
      <c r="M1716" s="35" t="s">
        <v>16</v>
      </c>
      <c r="N1716" s="32" t="s">
        <v>38</v>
      </c>
      <c r="O1716" s="32" t="s">
        <v>12</v>
      </c>
      <c r="P1716" s="32" t="s">
        <v>13</v>
      </c>
      <c r="Q1716" s="32" t="s">
        <v>14</v>
      </c>
      <c r="R1716" s="32" t="s">
        <v>15</v>
      </c>
      <c r="S1716" s="32">
        <v>87181</v>
      </c>
      <c r="T1716" s="32">
        <v>0</v>
      </c>
      <c r="U1716" s="81">
        <v>87181</v>
      </c>
    </row>
    <row r="1717" spans="12:21">
      <c r="L1717" s="35">
        <v>200944</v>
      </c>
      <c r="M1717" s="35" t="s">
        <v>16</v>
      </c>
      <c r="N1717" s="35" t="s">
        <v>38</v>
      </c>
      <c r="O1717" s="35" t="s">
        <v>21</v>
      </c>
      <c r="P1717" s="35" t="s">
        <v>19</v>
      </c>
      <c r="Q1717" s="35" t="s">
        <v>14</v>
      </c>
      <c r="R1717" s="35" t="s">
        <v>15</v>
      </c>
      <c r="S1717" s="35">
        <v>38618</v>
      </c>
      <c r="T1717" s="35">
        <v>5701</v>
      </c>
      <c r="U1717" s="81">
        <v>32917</v>
      </c>
    </row>
    <row r="1718" spans="12:21">
      <c r="L1718" s="32">
        <v>211554</v>
      </c>
      <c r="M1718" s="35" t="s">
        <v>16</v>
      </c>
      <c r="N1718" s="32" t="s">
        <v>38</v>
      </c>
      <c r="O1718" s="32" t="s">
        <v>12</v>
      </c>
      <c r="P1718" s="32" t="s">
        <v>13</v>
      </c>
      <c r="Q1718" s="32" t="s">
        <v>28</v>
      </c>
      <c r="R1718" s="32" t="s">
        <v>24</v>
      </c>
      <c r="S1718" s="32">
        <v>33655</v>
      </c>
      <c r="T1718" s="32">
        <v>157</v>
      </c>
      <c r="U1718" s="81">
        <v>33498</v>
      </c>
    </row>
    <row r="1719" spans="12:21">
      <c r="L1719" s="35">
        <v>186395</v>
      </c>
      <c r="M1719" s="35" t="s">
        <v>16</v>
      </c>
      <c r="N1719" s="35" t="s">
        <v>38</v>
      </c>
      <c r="O1719" s="35" t="s">
        <v>33</v>
      </c>
      <c r="P1719" s="35" t="s">
        <v>13</v>
      </c>
      <c r="Q1719" s="35" t="s">
        <v>14</v>
      </c>
      <c r="R1719" s="35" t="s">
        <v>15</v>
      </c>
      <c r="S1719" s="35">
        <v>91742</v>
      </c>
      <c r="T1719" s="35">
        <v>2148</v>
      </c>
      <c r="U1719" s="81">
        <v>89594</v>
      </c>
    </row>
    <row r="1720" spans="12:21">
      <c r="L1720" s="32">
        <v>129259</v>
      </c>
      <c r="M1720" s="35" t="s">
        <v>16</v>
      </c>
      <c r="N1720" s="32" t="s">
        <v>22</v>
      </c>
      <c r="O1720" s="32" t="s">
        <v>36</v>
      </c>
      <c r="P1720" s="32" t="s">
        <v>19</v>
      </c>
      <c r="Q1720" s="32" t="s">
        <v>28</v>
      </c>
      <c r="R1720" s="32" t="s">
        <v>24</v>
      </c>
      <c r="S1720" s="32">
        <v>35360</v>
      </c>
      <c r="T1720" s="32">
        <v>9295</v>
      </c>
      <c r="U1720" s="81">
        <v>26065</v>
      </c>
    </row>
    <row r="1721" spans="12:21">
      <c r="L1721" s="35">
        <v>73845</v>
      </c>
      <c r="M1721" s="35" t="s">
        <v>16</v>
      </c>
      <c r="N1721" s="35" t="s">
        <v>11</v>
      </c>
      <c r="O1721" s="35" t="s">
        <v>18</v>
      </c>
      <c r="P1721" s="35" t="s">
        <v>19</v>
      </c>
      <c r="Q1721" s="35" t="s">
        <v>14</v>
      </c>
      <c r="R1721" s="35" t="s">
        <v>24</v>
      </c>
      <c r="S1721" s="35">
        <v>72218</v>
      </c>
      <c r="T1721" s="35">
        <v>1140</v>
      </c>
      <c r="U1721" s="81">
        <v>71078</v>
      </c>
    </row>
    <row r="1722" spans="12:21">
      <c r="L1722" s="32">
        <v>190050</v>
      </c>
      <c r="M1722" s="35" t="s">
        <v>16</v>
      </c>
      <c r="N1722" s="32" t="s">
        <v>37</v>
      </c>
      <c r="O1722" s="32" t="s">
        <v>32</v>
      </c>
      <c r="P1722" s="32" t="s">
        <v>19</v>
      </c>
      <c r="Q1722" s="32" t="s">
        <v>28</v>
      </c>
      <c r="R1722" s="32" t="s">
        <v>24</v>
      </c>
      <c r="S1722" s="32">
        <v>1144</v>
      </c>
      <c r="T1722" s="32">
        <v>0</v>
      </c>
      <c r="U1722" s="81">
        <v>1144</v>
      </c>
    </row>
    <row r="1723" spans="12:21">
      <c r="L1723" s="35">
        <v>194148</v>
      </c>
      <c r="M1723" s="35" t="s">
        <v>16</v>
      </c>
      <c r="N1723" s="35" t="s">
        <v>34</v>
      </c>
      <c r="O1723" s="35" t="s">
        <v>26</v>
      </c>
      <c r="P1723" s="35" t="s">
        <v>19</v>
      </c>
      <c r="Q1723" s="35" t="s">
        <v>14</v>
      </c>
      <c r="R1723" s="35" t="s">
        <v>24</v>
      </c>
      <c r="S1723" s="35">
        <v>19039</v>
      </c>
      <c r="T1723" s="35">
        <v>678</v>
      </c>
      <c r="U1723" s="81">
        <v>18361</v>
      </c>
    </row>
    <row r="1724" spans="12:21">
      <c r="L1724" s="32">
        <v>165016</v>
      </c>
      <c r="M1724" s="35" t="s">
        <v>16</v>
      </c>
      <c r="N1724" s="32" t="s">
        <v>17</v>
      </c>
      <c r="O1724" s="32" t="s">
        <v>21</v>
      </c>
      <c r="P1724" s="32" t="s">
        <v>19</v>
      </c>
      <c r="Q1724" s="32" t="s">
        <v>14</v>
      </c>
      <c r="R1724" s="32" t="s">
        <v>24</v>
      </c>
      <c r="S1724" s="32">
        <v>31289</v>
      </c>
      <c r="T1724" s="32">
        <v>308</v>
      </c>
      <c r="U1724" s="81">
        <v>30981</v>
      </c>
    </row>
    <row r="1725" spans="12:21">
      <c r="L1725" s="35">
        <v>57633</v>
      </c>
      <c r="M1725" s="35" t="s">
        <v>16</v>
      </c>
      <c r="N1725" s="35" t="s">
        <v>11</v>
      </c>
      <c r="O1725" s="35" t="s">
        <v>36</v>
      </c>
      <c r="P1725" s="35" t="s">
        <v>13</v>
      </c>
      <c r="Q1725" s="35" t="s">
        <v>14</v>
      </c>
      <c r="R1725" s="35" t="s">
        <v>24</v>
      </c>
      <c r="S1725" s="35">
        <v>12492</v>
      </c>
      <c r="T1725" s="35">
        <v>47</v>
      </c>
      <c r="U1725" s="81">
        <v>12445</v>
      </c>
    </row>
    <row r="1726" spans="12:21">
      <c r="L1726" s="32">
        <v>171585</v>
      </c>
      <c r="M1726" s="35" t="s">
        <v>16</v>
      </c>
      <c r="N1726" s="32" t="s">
        <v>31</v>
      </c>
      <c r="O1726" s="32" t="s">
        <v>21</v>
      </c>
      <c r="P1726" s="32" t="s">
        <v>19</v>
      </c>
      <c r="Q1726" s="32" t="s">
        <v>14</v>
      </c>
      <c r="R1726" s="32" t="s">
        <v>24</v>
      </c>
      <c r="S1726" s="32">
        <v>37787</v>
      </c>
      <c r="T1726" s="32">
        <v>0</v>
      </c>
      <c r="U1726" s="81">
        <v>37787</v>
      </c>
    </row>
    <row r="1727" spans="12:21">
      <c r="L1727" s="35">
        <v>132046</v>
      </c>
      <c r="M1727" s="35" t="s">
        <v>16</v>
      </c>
      <c r="N1727" s="35" t="s">
        <v>25</v>
      </c>
      <c r="O1727" s="35" t="s">
        <v>33</v>
      </c>
      <c r="P1727" s="35" t="s">
        <v>19</v>
      </c>
      <c r="Q1727" s="35" t="s">
        <v>14</v>
      </c>
      <c r="R1727" s="35" t="s">
        <v>15</v>
      </c>
      <c r="S1727" s="35">
        <v>67807</v>
      </c>
      <c r="T1727" s="35">
        <v>1266</v>
      </c>
      <c r="U1727" s="81">
        <v>66541</v>
      </c>
    </row>
    <row r="1728" spans="12:21">
      <c r="L1728" s="32">
        <v>196833</v>
      </c>
      <c r="M1728" s="35" t="s">
        <v>16</v>
      </c>
      <c r="N1728" s="32" t="s">
        <v>11</v>
      </c>
      <c r="O1728" s="32" t="s">
        <v>33</v>
      </c>
      <c r="P1728" s="32" t="s">
        <v>13</v>
      </c>
      <c r="Q1728" s="32" t="s">
        <v>14</v>
      </c>
      <c r="R1728" s="32" t="s">
        <v>15</v>
      </c>
      <c r="S1728" s="32">
        <v>66885</v>
      </c>
      <c r="T1728" s="32">
        <v>2920</v>
      </c>
      <c r="U1728" s="81">
        <v>63965</v>
      </c>
    </row>
    <row r="1729" spans="12:21">
      <c r="L1729" s="35">
        <v>116001</v>
      </c>
      <c r="M1729" s="35" t="s">
        <v>16</v>
      </c>
      <c r="N1729" s="35" t="s">
        <v>25</v>
      </c>
      <c r="O1729" s="35" t="s">
        <v>30</v>
      </c>
      <c r="P1729" s="35" t="s">
        <v>13</v>
      </c>
      <c r="Q1729" s="35" t="s">
        <v>14</v>
      </c>
      <c r="R1729" s="35" t="s">
        <v>24</v>
      </c>
      <c r="S1729" s="35">
        <v>32101</v>
      </c>
      <c r="T1729" s="35">
        <v>375</v>
      </c>
      <c r="U1729" s="81">
        <v>31726</v>
      </c>
    </row>
    <row r="1730" spans="12:21">
      <c r="L1730" s="32">
        <v>152663</v>
      </c>
      <c r="M1730" s="35" t="s">
        <v>16</v>
      </c>
      <c r="N1730" s="32" t="s">
        <v>22</v>
      </c>
      <c r="O1730" s="32" t="s">
        <v>12</v>
      </c>
      <c r="P1730" s="32" t="s">
        <v>13</v>
      </c>
      <c r="Q1730" s="32" t="s">
        <v>14</v>
      </c>
      <c r="R1730" s="32" t="s">
        <v>15</v>
      </c>
      <c r="S1730" s="32">
        <v>61922</v>
      </c>
      <c r="T1730" s="32">
        <v>2084</v>
      </c>
      <c r="U1730" s="81">
        <v>59838</v>
      </c>
    </row>
    <row r="1731" spans="12:21">
      <c r="L1731" s="35">
        <v>236789</v>
      </c>
      <c r="M1731" s="35" t="s">
        <v>16</v>
      </c>
      <c r="N1731" s="35" t="s">
        <v>17</v>
      </c>
      <c r="O1731" s="35" t="s">
        <v>21</v>
      </c>
      <c r="P1731" s="35" t="s">
        <v>19</v>
      </c>
      <c r="Q1731" s="35" t="s">
        <v>28</v>
      </c>
      <c r="R1731" s="35" t="s">
        <v>24</v>
      </c>
      <c r="S1731" s="35">
        <v>9150</v>
      </c>
      <c r="T1731" s="35">
        <v>135</v>
      </c>
      <c r="U1731" s="81">
        <v>9015</v>
      </c>
    </row>
    <row r="1732" spans="12:21">
      <c r="L1732" s="32">
        <v>178503</v>
      </c>
      <c r="M1732" s="35" t="s">
        <v>16</v>
      </c>
      <c r="N1732" s="32" t="s">
        <v>22</v>
      </c>
      <c r="O1732" s="32" t="s">
        <v>30</v>
      </c>
      <c r="P1732" s="32" t="s">
        <v>19</v>
      </c>
      <c r="Q1732" s="32" t="s">
        <v>28</v>
      </c>
      <c r="R1732" s="32" t="s">
        <v>24</v>
      </c>
      <c r="S1732" s="32">
        <v>56215</v>
      </c>
      <c r="T1732" s="32">
        <v>1479</v>
      </c>
      <c r="U1732" s="81">
        <v>54736</v>
      </c>
    </row>
    <row r="1733" spans="12:21">
      <c r="L1733" s="35">
        <v>156832</v>
      </c>
      <c r="M1733" s="35" t="s">
        <v>16</v>
      </c>
      <c r="N1733" s="35" t="s">
        <v>25</v>
      </c>
      <c r="O1733" s="35" t="s">
        <v>36</v>
      </c>
      <c r="P1733" s="35" t="s">
        <v>13</v>
      </c>
      <c r="Q1733" s="35" t="s">
        <v>14</v>
      </c>
      <c r="R1733" s="35" t="s">
        <v>24</v>
      </c>
      <c r="S1733" s="35">
        <v>7581</v>
      </c>
      <c r="T1733" s="35">
        <v>0</v>
      </c>
      <c r="U1733" s="81">
        <v>7581</v>
      </c>
    </row>
    <row r="1734" spans="12:21">
      <c r="L1734" s="32">
        <v>7881</v>
      </c>
      <c r="M1734" s="35" t="s">
        <v>16</v>
      </c>
      <c r="N1734" s="32" t="s">
        <v>37</v>
      </c>
      <c r="O1734" s="32" t="s">
        <v>36</v>
      </c>
      <c r="P1734" s="32" t="s">
        <v>13</v>
      </c>
      <c r="Q1734" s="32" t="s">
        <v>14</v>
      </c>
      <c r="R1734" s="32" t="s">
        <v>15</v>
      </c>
      <c r="S1734" s="32">
        <v>12457</v>
      </c>
      <c r="T1734" s="32">
        <v>1625</v>
      </c>
      <c r="U1734" s="81">
        <v>10832</v>
      </c>
    </row>
    <row r="1735" spans="12:21">
      <c r="L1735" s="35">
        <v>79667</v>
      </c>
      <c r="M1735" s="35" t="s">
        <v>16</v>
      </c>
      <c r="N1735" s="35" t="s">
        <v>38</v>
      </c>
      <c r="O1735" s="35" t="s">
        <v>30</v>
      </c>
      <c r="P1735" s="35" t="s">
        <v>13</v>
      </c>
      <c r="Q1735" s="35" t="s">
        <v>14</v>
      </c>
      <c r="R1735" s="35" t="s">
        <v>15</v>
      </c>
      <c r="S1735" s="35">
        <v>60686</v>
      </c>
      <c r="T1735" s="35">
        <v>766</v>
      </c>
      <c r="U1735" s="81">
        <v>59920</v>
      </c>
    </row>
    <row r="1736" spans="12:21">
      <c r="L1736" s="32">
        <v>152511</v>
      </c>
      <c r="M1736" s="35" t="s">
        <v>16</v>
      </c>
      <c r="N1736" s="32" t="s">
        <v>22</v>
      </c>
      <c r="O1736" s="32" t="s">
        <v>21</v>
      </c>
      <c r="P1736" s="32" t="s">
        <v>13</v>
      </c>
      <c r="Q1736" s="32" t="s">
        <v>28</v>
      </c>
      <c r="R1736" s="32" t="s">
        <v>15</v>
      </c>
      <c r="S1736" s="32">
        <v>55</v>
      </c>
      <c r="T1736" s="32">
        <v>0</v>
      </c>
      <c r="U1736" s="81">
        <v>55</v>
      </c>
    </row>
    <row r="1737" spans="12:21">
      <c r="L1737" s="35">
        <v>87445</v>
      </c>
      <c r="M1737" s="35" t="s">
        <v>16</v>
      </c>
      <c r="N1737" s="35" t="s">
        <v>38</v>
      </c>
      <c r="O1737" s="35" t="s">
        <v>33</v>
      </c>
      <c r="P1737" s="35" t="s">
        <v>19</v>
      </c>
      <c r="Q1737" s="35" t="s">
        <v>14</v>
      </c>
      <c r="R1737" s="35" t="s">
        <v>24</v>
      </c>
      <c r="S1737" s="35">
        <v>33227</v>
      </c>
      <c r="T1737" s="35">
        <v>601</v>
      </c>
      <c r="U1737" s="81">
        <v>32626</v>
      </c>
    </row>
    <row r="1738" spans="12:21">
      <c r="L1738" s="32">
        <v>42275</v>
      </c>
      <c r="M1738" s="35" t="s">
        <v>16</v>
      </c>
      <c r="N1738" s="32" t="s">
        <v>35</v>
      </c>
      <c r="O1738" s="32" t="s">
        <v>21</v>
      </c>
      <c r="P1738" s="32" t="s">
        <v>13</v>
      </c>
      <c r="Q1738" s="32" t="s">
        <v>14</v>
      </c>
      <c r="R1738" s="32" t="s">
        <v>15</v>
      </c>
      <c r="S1738" s="32">
        <v>259130</v>
      </c>
      <c r="T1738" s="32">
        <v>2767</v>
      </c>
      <c r="U1738" s="81">
        <v>256363</v>
      </c>
    </row>
    <row r="1739" spans="12:21">
      <c r="L1739" s="35">
        <v>185176</v>
      </c>
      <c r="M1739" s="35" t="s">
        <v>16</v>
      </c>
      <c r="N1739" s="35" t="s">
        <v>11</v>
      </c>
      <c r="O1739" s="35" t="s">
        <v>21</v>
      </c>
      <c r="P1739" s="35" t="s">
        <v>13</v>
      </c>
      <c r="Q1739" s="35" t="s">
        <v>28</v>
      </c>
      <c r="R1739" s="35" t="s">
        <v>15</v>
      </c>
      <c r="S1739" s="35">
        <v>34027</v>
      </c>
      <c r="T1739" s="35">
        <v>1431</v>
      </c>
      <c r="U1739" s="81">
        <v>32596</v>
      </c>
    </row>
    <row r="1740" spans="12:21">
      <c r="L1740" s="32">
        <v>141860</v>
      </c>
      <c r="M1740" s="35" t="s">
        <v>16</v>
      </c>
      <c r="N1740" s="32" t="s">
        <v>22</v>
      </c>
      <c r="O1740" s="32" t="s">
        <v>26</v>
      </c>
      <c r="P1740" s="32" t="s">
        <v>19</v>
      </c>
      <c r="Q1740" s="32" t="s">
        <v>28</v>
      </c>
      <c r="R1740" s="32" t="s">
        <v>24</v>
      </c>
      <c r="S1740" s="32">
        <v>11742</v>
      </c>
      <c r="T1740" s="32">
        <v>0</v>
      </c>
      <c r="U1740" s="81">
        <v>11742</v>
      </c>
    </row>
    <row r="1741" spans="12:21">
      <c r="L1741" s="35">
        <v>211654</v>
      </c>
      <c r="M1741" s="35" t="s">
        <v>16</v>
      </c>
      <c r="N1741" s="35" t="s">
        <v>38</v>
      </c>
      <c r="O1741" s="35" t="s">
        <v>36</v>
      </c>
      <c r="P1741" s="35" t="s">
        <v>19</v>
      </c>
      <c r="Q1741" s="35" t="s">
        <v>14</v>
      </c>
      <c r="R1741" s="35" t="s">
        <v>24</v>
      </c>
      <c r="S1741" s="35">
        <v>47796</v>
      </c>
      <c r="T1741" s="35">
        <v>670</v>
      </c>
      <c r="U1741" s="81">
        <v>47126</v>
      </c>
    </row>
    <row r="1742" spans="12:21">
      <c r="L1742" s="32">
        <v>38387</v>
      </c>
      <c r="M1742" s="35" t="s">
        <v>16</v>
      </c>
      <c r="N1742" s="32" t="s">
        <v>35</v>
      </c>
      <c r="O1742" s="32" t="s">
        <v>30</v>
      </c>
      <c r="P1742" s="32" t="s">
        <v>19</v>
      </c>
      <c r="Q1742" s="32" t="s">
        <v>14</v>
      </c>
      <c r="R1742" s="32" t="s">
        <v>24</v>
      </c>
      <c r="S1742" s="32">
        <v>103878</v>
      </c>
      <c r="T1742" s="32">
        <v>6942</v>
      </c>
      <c r="U1742" s="81">
        <v>96936</v>
      </c>
    </row>
    <row r="1743" spans="12:21">
      <c r="L1743" s="35">
        <v>152262</v>
      </c>
      <c r="M1743" s="35" t="s">
        <v>16</v>
      </c>
      <c r="N1743" s="35" t="s">
        <v>22</v>
      </c>
      <c r="O1743" s="35" t="s">
        <v>30</v>
      </c>
      <c r="P1743" s="35" t="s">
        <v>19</v>
      </c>
      <c r="Q1743" s="35" t="s">
        <v>14</v>
      </c>
      <c r="R1743" s="35" t="s">
        <v>24</v>
      </c>
      <c r="S1743" s="35">
        <v>63636</v>
      </c>
      <c r="T1743" s="35">
        <v>1077</v>
      </c>
      <c r="U1743" s="81">
        <v>62559</v>
      </c>
    </row>
    <row r="1744" spans="12:21">
      <c r="L1744" s="32">
        <v>183499</v>
      </c>
      <c r="M1744" s="35" t="s">
        <v>16</v>
      </c>
      <c r="N1744" s="32" t="s">
        <v>37</v>
      </c>
      <c r="O1744" s="32" t="s">
        <v>33</v>
      </c>
      <c r="P1744" s="32" t="s">
        <v>19</v>
      </c>
      <c r="Q1744" s="32" t="s">
        <v>28</v>
      </c>
      <c r="R1744" s="32" t="s">
        <v>24</v>
      </c>
      <c r="S1744" s="32">
        <v>38585</v>
      </c>
      <c r="T1744" s="32">
        <v>737</v>
      </c>
      <c r="U1744" s="81">
        <v>37848</v>
      </c>
    </row>
    <row r="1745" spans="12:21">
      <c r="L1745" s="35">
        <v>198647</v>
      </c>
      <c r="M1745" s="35" t="s">
        <v>16</v>
      </c>
      <c r="N1745" s="35" t="s">
        <v>34</v>
      </c>
      <c r="O1745" s="35" t="s">
        <v>33</v>
      </c>
      <c r="P1745" s="35" t="s">
        <v>13</v>
      </c>
      <c r="Q1745" s="35" t="s">
        <v>14</v>
      </c>
      <c r="R1745" s="35" t="s">
        <v>15</v>
      </c>
      <c r="S1745" s="35">
        <v>13962</v>
      </c>
      <c r="T1745" s="35">
        <v>99</v>
      </c>
      <c r="U1745" s="81">
        <v>13863</v>
      </c>
    </row>
    <row r="1746" spans="12:21">
      <c r="L1746" s="32">
        <v>221411</v>
      </c>
      <c r="M1746" s="35" t="s">
        <v>16</v>
      </c>
      <c r="N1746" s="32" t="s">
        <v>25</v>
      </c>
      <c r="O1746" s="32" t="s">
        <v>12</v>
      </c>
      <c r="P1746" s="32" t="s">
        <v>19</v>
      </c>
      <c r="Q1746" s="32" t="s">
        <v>14</v>
      </c>
      <c r="R1746" s="32" t="s">
        <v>24</v>
      </c>
      <c r="S1746" s="32">
        <v>34362</v>
      </c>
      <c r="T1746" s="32">
        <v>3949</v>
      </c>
      <c r="U1746" s="81">
        <v>30413</v>
      </c>
    </row>
    <row r="1747" spans="12:21">
      <c r="L1747" s="35">
        <v>52701</v>
      </c>
      <c r="M1747" s="35" t="s">
        <v>16</v>
      </c>
      <c r="N1747" s="35" t="s">
        <v>35</v>
      </c>
      <c r="O1747" s="35" t="s">
        <v>36</v>
      </c>
      <c r="P1747" s="35" t="s">
        <v>19</v>
      </c>
      <c r="Q1747" s="35" t="s">
        <v>14</v>
      </c>
      <c r="R1747" s="35" t="s">
        <v>15</v>
      </c>
      <c r="S1747" s="35">
        <v>81530</v>
      </c>
      <c r="T1747" s="35">
        <v>3849</v>
      </c>
      <c r="U1747" s="81">
        <v>77681</v>
      </c>
    </row>
    <row r="1748" spans="12:21">
      <c r="L1748" s="32">
        <v>203631</v>
      </c>
      <c r="M1748" s="35" t="s">
        <v>16</v>
      </c>
      <c r="N1748" s="32" t="s">
        <v>37</v>
      </c>
      <c r="O1748" s="32" t="s">
        <v>36</v>
      </c>
      <c r="P1748" s="32" t="s">
        <v>19</v>
      </c>
      <c r="Q1748" s="32" t="s">
        <v>14</v>
      </c>
      <c r="R1748" s="32" t="s">
        <v>24</v>
      </c>
      <c r="S1748" s="32">
        <v>19278</v>
      </c>
      <c r="T1748" s="32">
        <v>4388</v>
      </c>
      <c r="U1748" s="81">
        <v>14890</v>
      </c>
    </row>
    <row r="1749" spans="12:21">
      <c r="L1749" s="35">
        <v>45511</v>
      </c>
      <c r="M1749" s="35" t="s">
        <v>16</v>
      </c>
      <c r="N1749" s="35" t="s">
        <v>11</v>
      </c>
      <c r="O1749" s="35" t="s">
        <v>32</v>
      </c>
      <c r="P1749" s="35" t="s">
        <v>13</v>
      </c>
      <c r="Q1749" s="35" t="s">
        <v>14</v>
      </c>
      <c r="R1749" s="35" t="s">
        <v>15</v>
      </c>
      <c r="S1749" s="35">
        <v>28460</v>
      </c>
      <c r="T1749" s="35">
        <v>0</v>
      </c>
      <c r="U1749" s="81">
        <v>28460</v>
      </c>
    </row>
    <row r="1750" spans="12:21">
      <c r="L1750" s="32">
        <v>12027</v>
      </c>
      <c r="M1750" s="35" t="s">
        <v>16</v>
      </c>
      <c r="N1750" s="32" t="s">
        <v>34</v>
      </c>
      <c r="O1750" s="32" t="s">
        <v>33</v>
      </c>
      <c r="P1750" s="32" t="s">
        <v>13</v>
      </c>
      <c r="Q1750" s="32" t="s">
        <v>14</v>
      </c>
      <c r="R1750" s="32" t="s">
        <v>24</v>
      </c>
      <c r="S1750" s="32">
        <v>20102</v>
      </c>
      <c r="T1750" s="32">
        <v>265</v>
      </c>
      <c r="U1750" s="81">
        <v>19837</v>
      </c>
    </row>
    <row r="1751" spans="12:21">
      <c r="L1751" s="35">
        <v>177224</v>
      </c>
      <c r="M1751" s="35" t="s">
        <v>16</v>
      </c>
      <c r="N1751" s="35" t="s">
        <v>25</v>
      </c>
      <c r="O1751" s="35" t="s">
        <v>33</v>
      </c>
      <c r="P1751" s="35" t="s">
        <v>19</v>
      </c>
      <c r="Q1751" s="35" t="s">
        <v>14</v>
      </c>
      <c r="R1751" s="35" t="s">
        <v>15</v>
      </c>
      <c r="S1751" s="35">
        <v>86061</v>
      </c>
      <c r="T1751" s="35">
        <v>7967</v>
      </c>
      <c r="U1751" s="81">
        <v>78094</v>
      </c>
    </row>
    <row r="1752" spans="12:21">
      <c r="L1752" s="32">
        <v>193137</v>
      </c>
      <c r="M1752" s="35" t="s">
        <v>16</v>
      </c>
      <c r="N1752" s="32" t="s">
        <v>11</v>
      </c>
      <c r="O1752" s="32" t="s">
        <v>33</v>
      </c>
      <c r="P1752" s="32" t="s">
        <v>13</v>
      </c>
      <c r="Q1752" s="32" t="s">
        <v>14</v>
      </c>
      <c r="R1752" s="32" t="s">
        <v>24</v>
      </c>
      <c r="S1752" s="32">
        <v>34008</v>
      </c>
      <c r="T1752" s="32">
        <v>409</v>
      </c>
      <c r="U1752" s="81">
        <v>33599</v>
      </c>
    </row>
    <row r="1753" spans="12:21">
      <c r="L1753" s="35">
        <v>74519</v>
      </c>
      <c r="M1753" s="35" t="s">
        <v>16</v>
      </c>
      <c r="N1753" s="35" t="s">
        <v>27</v>
      </c>
      <c r="O1753" s="35" t="s">
        <v>30</v>
      </c>
      <c r="P1753" s="35" t="s">
        <v>13</v>
      </c>
      <c r="Q1753" s="35" t="s">
        <v>14</v>
      </c>
      <c r="R1753" s="35" t="s">
        <v>15</v>
      </c>
      <c r="S1753" s="35">
        <v>65604</v>
      </c>
      <c r="T1753" s="35">
        <v>15205</v>
      </c>
      <c r="U1753" s="81">
        <v>50399</v>
      </c>
    </row>
    <row r="1754" spans="12:21">
      <c r="L1754" s="32">
        <v>26341</v>
      </c>
      <c r="M1754" s="35" t="s">
        <v>16</v>
      </c>
      <c r="N1754" s="32" t="s">
        <v>20</v>
      </c>
      <c r="O1754" s="32" t="s">
        <v>32</v>
      </c>
      <c r="P1754" s="32" t="s">
        <v>13</v>
      </c>
      <c r="Q1754" s="32" t="s">
        <v>28</v>
      </c>
      <c r="R1754" s="32" t="s">
        <v>24</v>
      </c>
      <c r="S1754" s="32">
        <v>23041</v>
      </c>
      <c r="T1754" s="32">
        <v>0</v>
      </c>
      <c r="U1754" s="81">
        <v>23041</v>
      </c>
    </row>
    <row r="1755" spans="12:21">
      <c r="L1755" s="35">
        <v>121980</v>
      </c>
      <c r="M1755" s="35" t="s">
        <v>16</v>
      </c>
      <c r="N1755" s="35" t="s">
        <v>22</v>
      </c>
      <c r="O1755" s="35" t="s">
        <v>33</v>
      </c>
      <c r="P1755" s="35" t="s">
        <v>19</v>
      </c>
      <c r="Q1755" s="35" t="s">
        <v>14</v>
      </c>
      <c r="R1755" s="35" t="s">
        <v>15</v>
      </c>
      <c r="S1755" s="35">
        <v>53978</v>
      </c>
      <c r="T1755" s="35">
        <v>3983</v>
      </c>
      <c r="U1755" s="81">
        <v>49995</v>
      </c>
    </row>
    <row r="1756" spans="12:21">
      <c r="L1756" s="32">
        <v>71975</v>
      </c>
      <c r="M1756" s="35" t="s">
        <v>16</v>
      </c>
      <c r="N1756" s="32" t="s">
        <v>27</v>
      </c>
      <c r="O1756" s="32" t="s">
        <v>30</v>
      </c>
      <c r="P1756" s="32" t="s">
        <v>19</v>
      </c>
      <c r="Q1756" s="32" t="s">
        <v>28</v>
      </c>
      <c r="R1756" s="32" t="s">
        <v>15</v>
      </c>
      <c r="S1756" s="32">
        <v>45598</v>
      </c>
      <c r="T1756" s="32">
        <v>4271</v>
      </c>
      <c r="U1756" s="81">
        <v>41327</v>
      </c>
    </row>
    <row r="1757" spans="12:21">
      <c r="L1757" s="35">
        <v>46864</v>
      </c>
      <c r="M1757" s="35" t="s">
        <v>16</v>
      </c>
      <c r="N1757" s="35" t="s">
        <v>34</v>
      </c>
      <c r="O1757" s="35" t="s">
        <v>12</v>
      </c>
      <c r="P1757" s="35" t="s">
        <v>19</v>
      </c>
      <c r="Q1757" s="35" t="s">
        <v>14</v>
      </c>
      <c r="R1757" s="35" t="s">
        <v>15</v>
      </c>
      <c r="S1757" s="35">
        <v>16347</v>
      </c>
      <c r="T1757" s="35">
        <v>0</v>
      </c>
      <c r="U1757" s="81">
        <v>16347</v>
      </c>
    </row>
    <row r="1758" spans="12:21">
      <c r="L1758" s="32">
        <v>234024</v>
      </c>
      <c r="M1758" s="35" t="s">
        <v>16</v>
      </c>
      <c r="N1758" s="32" t="s">
        <v>17</v>
      </c>
      <c r="O1758" s="32" t="s">
        <v>21</v>
      </c>
      <c r="P1758" s="32" t="s">
        <v>13</v>
      </c>
      <c r="Q1758" s="32" t="s">
        <v>28</v>
      </c>
      <c r="R1758" s="32" t="s">
        <v>24</v>
      </c>
      <c r="S1758" s="32">
        <v>52820</v>
      </c>
      <c r="T1758" s="32">
        <v>1692</v>
      </c>
      <c r="U1758" s="81">
        <v>51128</v>
      </c>
    </row>
    <row r="1759" spans="12:21">
      <c r="L1759" s="35">
        <v>223660</v>
      </c>
      <c r="M1759" s="35" t="s">
        <v>16</v>
      </c>
      <c r="N1759" s="35" t="s">
        <v>25</v>
      </c>
      <c r="O1759" s="35" t="s">
        <v>18</v>
      </c>
      <c r="P1759" s="35" t="s">
        <v>19</v>
      </c>
      <c r="Q1759" s="35" t="s">
        <v>14</v>
      </c>
      <c r="R1759" s="35" t="s">
        <v>24</v>
      </c>
      <c r="S1759" s="35">
        <v>22999</v>
      </c>
      <c r="T1759" s="35">
        <v>105</v>
      </c>
      <c r="U1759" s="81">
        <v>22894</v>
      </c>
    </row>
    <row r="1760" spans="12:21">
      <c r="L1760" s="32">
        <v>244216</v>
      </c>
      <c r="M1760" s="35" t="s">
        <v>16</v>
      </c>
      <c r="N1760" s="32" t="s">
        <v>35</v>
      </c>
      <c r="O1760" s="32" t="s">
        <v>32</v>
      </c>
      <c r="P1760" s="32" t="s">
        <v>13</v>
      </c>
      <c r="Q1760" s="32" t="s">
        <v>14</v>
      </c>
      <c r="R1760" s="32" t="s">
        <v>24</v>
      </c>
      <c r="S1760" s="32">
        <v>12875</v>
      </c>
      <c r="T1760" s="32">
        <v>0</v>
      </c>
      <c r="U1760" s="81">
        <v>12875</v>
      </c>
    </row>
    <row r="1761" spans="12:21">
      <c r="L1761" s="35">
        <v>175921</v>
      </c>
      <c r="M1761" s="35" t="s">
        <v>16</v>
      </c>
      <c r="N1761" s="35" t="s">
        <v>25</v>
      </c>
      <c r="O1761" s="35" t="s">
        <v>30</v>
      </c>
      <c r="P1761" s="35" t="s">
        <v>13</v>
      </c>
      <c r="Q1761" s="35" t="s">
        <v>28</v>
      </c>
      <c r="R1761" s="35" t="s">
        <v>15</v>
      </c>
      <c r="S1761" s="35">
        <v>66797</v>
      </c>
      <c r="T1761" s="35">
        <v>1379</v>
      </c>
      <c r="U1761" s="81">
        <v>65418</v>
      </c>
    </row>
    <row r="1762" spans="12:21">
      <c r="L1762" s="32">
        <v>87906</v>
      </c>
      <c r="M1762" s="35" t="s">
        <v>16</v>
      </c>
      <c r="N1762" s="32" t="s">
        <v>39</v>
      </c>
      <c r="O1762" s="32" t="s">
        <v>36</v>
      </c>
      <c r="P1762" s="32" t="s">
        <v>19</v>
      </c>
      <c r="Q1762" s="32" t="s">
        <v>14</v>
      </c>
      <c r="R1762" s="32" t="s">
        <v>15</v>
      </c>
      <c r="S1762" s="32">
        <v>60031</v>
      </c>
      <c r="T1762" s="32">
        <v>3018</v>
      </c>
      <c r="U1762" s="81">
        <v>57013</v>
      </c>
    </row>
    <row r="1763" spans="12:21">
      <c r="L1763" s="35">
        <v>78327</v>
      </c>
      <c r="M1763" s="35" t="s">
        <v>16</v>
      </c>
      <c r="N1763" s="35" t="s">
        <v>27</v>
      </c>
      <c r="O1763" s="35" t="s">
        <v>36</v>
      </c>
      <c r="P1763" s="35" t="s">
        <v>19</v>
      </c>
      <c r="Q1763" s="35" t="s">
        <v>14</v>
      </c>
      <c r="R1763" s="35" t="s">
        <v>24</v>
      </c>
      <c r="S1763" s="35">
        <v>39657</v>
      </c>
      <c r="T1763" s="35">
        <v>864</v>
      </c>
      <c r="U1763" s="81">
        <v>38793</v>
      </c>
    </row>
    <row r="1764" spans="12:21">
      <c r="L1764" s="32">
        <v>26718</v>
      </c>
      <c r="M1764" s="35" t="s">
        <v>16</v>
      </c>
      <c r="N1764" s="32" t="s">
        <v>34</v>
      </c>
      <c r="O1764" s="32" t="s">
        <v>30</v>
      </c>
      <c r="P1764" s="32" t="s">
        <v>13</v>
      </c>
      <c r="Q1764" s="32" t="s">
        <v>14</v>
      </c>
      <c r="R1764" s="32" t="s">
        <v>24</v>
      </c>
      <c r="S1764" s="32">
        <v>76989</v>
      </c>
      <c r="T1764" s="32">
        <v>1290</v>
      </c>
      <c r="U1764" s="81">
        <v>75699</v>
      </c>
    </row>
    <row r="1765" spans="12:21">
      <c r="L1765" s="35">
        <v>185729</v>
      </c>
      <c r="M1765" s="35" t="s">
        <v>16</v>
      </c>
      <c r="N1765" s="35" t="s">
        <v>39</v>
      </c>
      <c r="O1765" s="35" t="s">
        <v>32</v>
      </c>
      <c r="P1765" s="35" t="s">
        <v>19</v>
      </c>
      <c r="Q1765" s="35" t="s">
        <v>28</v>
      </c>
      <c r="R1765" s="35" t="s">
        <v>24</v>
      </c>
      <c r="S1765" s="35">
        <v>3687</v>
      </c>
      <c r="T1765" s="35">
        <v>0</v>
      </c>
      <c r="U1765" s="81">
        <v>3687</v>
      </c>
    </row>
    <row r="1766" spans="12:21">
      <c r="L1766" s="32">
        <v>77260</v>
      </c>
      <c r="M1766" s="35" t="s">
        <v>16</v>
      </c>
      <c r="N1766" s="32" t="s">
        <v>34</v>
      </c>
      <c r="O1766" s="32" t="s">
        <v>36</v>
      </c>
      <c r="P1766" s="32" t="s">
        <v>19</v>
      </c>
      <c r="Q1766" s="32" t="s">
        <v>28</v>
      </c>
      <c r="R1766" s="32" t="s">
        <v>24</v>
      </c>
      <c r="S1766" s="32">
        <v>43819</v>
      </c>
      <c r="T1766" s="32">
        <v>472</v>
      </c>
      <c r="U1766" s="81">
        <v>43347</v>
      </c>
    </row>
    <row r="1767" spans="12:21">
      <c r="L1767" s="35">
        <v>75024</v>
      </c>
      <c r="M1767" s="35" t="s">
        <v>16</v>
      </c>
      <c r="N1767" s="35" t="s">
        <v>27</v>
      </c>
      <c r="O1767" s="35" t="s">
        <v>36</v>
      </c>
      <c r="P1767" s="35" t="s">
        <v>19</v>
      </c>
      <c r="Q1767" s="35" t="s">
        <v>14</v>
      </c>
      <c r="R1767" s="35" t="s">
        <v>24</v>
      </c>
      <c r="S1767" s="35">
        <v>38707</v>
      </c>
      <c r="T1767" s="35">
        <v>1531</v>
      </c>
      <c r="U1767" s="81">
        <v>37176</v>
      </c>
    </row>
    <row r="1768" spans="12:21">
      <c r="L1768" s="32">
        <v>220032</v>
      </c>
      <c r="M1768" s="35" t="s">
        <v>16</v>
      </c>
      <c r="N1768" s="32" t="s">
        <v>22</v>
      </c>
      <c r="O1768" s="32" t="s">
        <v>30</v>
      </c>
      <c r="P1768" s="32" t="s">
        <v>19</v>
      </c>
      <c r="Q1768" s="32" t="s">
        <v>28</v>
      </c>
      <c r="R1768" s="32" t="s">
        <v>15</v>
      </c>
      <c r="S1768" s="32">
        <v>144994</v>
      </c>
      <c r="T1768" s="32">
        <v>5530</v>
      </c>
      <c r="U1768" s="81">
        <v>139464</v>
      </c>
    </row>
    <row r="1769" spans="12:21">
      <c r="L1769" s="35">
        <v>46724</v>
      </c>
      <c r="M1769" s="35" t="s">
        <v>16</v>
      </c>
      <c r="N1769" s="35" t="s">
        <v>35</v>
      </c>
      <c r="O1769" s="35" t="s">
        <v>36</v>
      </c>
      <c r="P1769" s="35" t="s">
        <v>13</v>
      </c>
      <c r="Q1769" s="35" t="s">
        <v>14</v>
      </c>
      <c r="R1769" s="35" t="s">
        <v>24</v>
      </c>
      <c r="S1769" s="35">
        <v>39871</v>
      </c>
      <c r="T1769" s="35">
        <v>8274</v>
      </c>
      <c r="U1769" s="81">
        <v>31597</v>
      </c>
    </row>
    <row r="1770" spans="12:21">
      <c r="L1770" s="32">
        <v>90156</v>
      </c>
      <c r="M1770" s="35" t="s">
        <v>16</v>
      </c>
      <c r="N1770" s="32" t="s">
        <v>38</v>
      </c>
      <c r="O1770" s="32" t="s">
        <v>32</v>
      </c>
      <c r="P1770" s="32" t="s">
        <v>13</v>
      </c>
      <c r="Q1770" s="32" t="s">
        <v>28</v>
      </c>
      <c r="R1770" s="32" t="s">
        <v>24</v>
      </c>
      <c r="S1770" s="32">
        <v>8035</v>
      </c>
      <c r="T1770" s="32">
        <v>0</v>
      </c>
      <c r="U1770" s="81">
        <v>8035</v>
      </c>
    </row>
    <row r="1771" spans="12:21">
      <c r="L1771" s="35">
        <v>24234</v>
      </c>
      <c r="M1771" s="35" t="s">
        <v>16</v>
      </c>
      <c r="N1771" s="35" t="s">
        <v>11</v>
      </c>
      <c r="O1771" s="35" t="s">
        <v>30</v>
      </c>
      <c r="P1771" s="35" t="s">
        <v>13</v>
      </c>
      <c r="Q1771" s="35" t="s">
        <v>14</v>
      </c>
      <c r="R1771" s="35" t="s">
        <v>15</v>
      </c>
      <c r="S1771" s="35">
        <v>34772</v>
      </c>
      <c r="T1771" s="35">
        <v>3448</v>
      </c>
      <c r="U1771" s="81">
        <v>31324</v>
      </c>
    </row>
    <row r="1772" spans="12:21">
      <c r="L1772" s="32">
        <v>5389</v>
      </c>
      <c r="M1772" s="35" t="s">
        <v>16</v>
      </c>
      <c r="N1772" s="32" t="s">
        <v>37</v>
      </c>
      <c r="O1772" s="32" t="s">
        <v>26</v>
      </c>
      <c r="P1772" s="32" t="s">
        <v>13</v>
      </c>
      <c r="Q1772" s="32" t="s">
        <v>14</v>
      </c>
      <c r="R1772" s="32" t="s">
        <v>24</v>
      </c>
      <c r="S1772" s="32">
        <v>51584</v>
      </c>
      <c r="T1772" s="32">
        <v>1079</v>
      </c>
      <c r="U1772" s="81">
        <v>50505</v>
      </c>
    </row>
    <row r="1773" spans="12:21">
      <c r="L1773" s="35">
        <v>102378</v>
      </c>
      <c r="M1773" s="35" t="s">
        <v>16</v>
      </c>
      <c r="N1773" s="35" t="s">
        <v>34</v>
      </c>
      <c r="O1773" s="35" t="s">
        <v>30</v>
      </c>
      <c r="P1773" s="35" t="s">
        <v>13</v>
      </c>
      <c r="Q1773" s="35" t="s">
        <v>28</v>
      </c>
      <c r="R1773" s="35" t="s">
        <v>15</v>
      </c>
      <c r="S1773" s="35">
        <v>65772</v>
      </c>
      <c r="T1773" s="35">
        <v>856</v>
      </c>
      <c r="U1773" s="81">
        <v>64916</v>
      </c>
    </row>
    <row r="1774" spans="12:21">
      <c r="L1774" s="32">
        <v>26057</v>
      </c>
      <c r="M1774" s="35" t="s">
        <v>16</v>
      </c>
      <c r="N1774" s="32" t="s">
        <v>11</v>
      </c>
      <c r="O1774" s="32" t="s">
        <v>30</v>
      </c>
      <c r="P1774" s="32" t="s">
        <v>19</v>
      </c>
      <c r="Q1774" s="32" t="s">
        <v>14</v>
      </c>
      <c r="R1774" s="32" t="s">
        <v>15</v>
      </c>
      <c r="S1774" s="32">
        <v>77401</v>
      </c>
      <c r="T1774" s="32">
        <v>1806</v>
      </c>
      <c r="U1774" s="81">
        <v>75595</v>
      </c>
    </row>
    <row r="1775" spans="12:21">
      <c r="L1775" s="35">
        <v>106196</v>
      </c>
      <c r="M1775" s="35" t="s">
        <v>16</v>
      </c>
      <c r="N1775" s="35" t="s">
        <v>17</v>
      </c>
      <c r="O1775" s="35" t="s">
        <v>23</v>
      </c>
      <c r="P1775" s="35" t="s">
        <v>19</v>
      </c>
      <c r="Q1775" s="35" t="s">
        <v>28</v>
      </c>
      <c r="R1775" s="35" t="s">
        <v>15</v>
      </c>
      <c r="S1775" s="35">
        <v>12723</v>
      </c>
      <c r="T1775" s="35">
        <v>132</v>
      </c>
      <c r="U1775" s="81">
        <v>12591</v>
      </c>
    </row>
    <row r="1776" spans="12:21">
      <c r="L1776" s="32">
        <v>7825</v>
      </c>
      <c r="M1776" s="35" t="s">
        <v>16</v>
      </c>
      <c r="N1776" s="32" t="s">
        <v>37</v>
      </c>
      <c r="O1776" s="32" t="s">
        <v>12</v>
      </c>
      <c r="P1776" s="32" t="s">
        <v>13</v>
      </c>
      <c r="Q1776" s="32" t="s">
        <v>14</v>
      </c>
      <c r="R1776" s="32" t="s">
        <v>24</v>
      </c>
      <c r="S1776" s="32">
        <v>29394</v>
      </c>
      <c r="T1776" s="32">
        <v>1053</v>
      </c>
      <c r="U1776" s="81">
        <v>28341</v>
      </c>
    </row>
    <row r="1777" spans="12:21">
      <c r="L1777" s="35">
        <v>155591</v>
      </c>
      <c r="M1777" s="35" t="s">
        <v>16</v>
      </c>
      <c r="N1777" s="35" t="s">
        <v>31</v>
      </c>
      <c r="O1777" s="35" t="s">
        <v>36</v>
      </c>
      <c r="P1777" s="35" t="s">
        <v>19</v>
      </c>
      <c r="Q1777" s="35" t="s">
        <v>28</v>
      </c>
      <c r="R1777" s="35" t="s">
        <v>15</v>
      </c>
      <c r="S1777" s="35">
        <v>39927</v>
      </c>
      <c r="T1777" s="35">
        <v>0</v>
      </c>
      <c r="U1777" s="81">
        <v>39927</v>
      </c>
    </row>
    <row r="1778" spans="12:21">
      <c r="L1778" s="32">
        <v>205166</v>
      </c>
      <c r="M1778" s="35" t="s">
        <v>16</v>
      </c>
      <c r="N1778" s="32" t="s">
        <v>34</v>
      </c>
      <c r="O1778" s="32" t="s">
        <v>21</v>
      </c>
      <c r="P1778" s="32" t="s">
        <v>13</v>
      </c>
      <c r="Q1778" s="32" t="s">
        <v>28</v>
      </c>
      <c r="R1778" s="32" t="s">
        <v>24</v>
      </c>
      <c r="S1778" s="32">
        <v>46461</v>
      </c>
      <c r="T1778" s="32">
        <v>274</v>
      </c>
      <c r="U1778" s="81">
        <v>46187</v>
      </c>
    </row>
    <row r="1779" spans="12:21">
      <c r="L1779" s="35">
        <v>212188</v>
      </c>
      <c r="M1779" s="35" t="s">
        <v>16</v>
      </c>
      <c r="N1779" s="35" t="s">
        <v>37</v>
      </c>
      <c r="O1779" s="35" t="s">
        <v>33</v>
      </c>
      <c r="P1779" s="35" t="s">
        <v>19</v>
      </c>
      <c r="Q1779" s="35" t="s">
        <v>14</v>
      </c>
      <c r="R1779" s="35" t="s">
        <v>24</v>
      </c>
      <c r="S1779" s="35">
        <v>67632</v>
      </c>
      <c r="T1779" s="35">
        <v>281</v>
      </c>
      <c r="U1779" s="81">
        <v>67351</v>
      </c>
    </row>
    <row r="1780" spans="12:21">
      <c r="L1780" s="32">
        <v>75618</v>
      </c>
      <c r="M1780" s="35" t="s">
        <v>16</v>
      </c>
      <c r="N1780" s="32" t="s">
        <v>27</v>
      </c>
      <c r="O1780" s="32" t="s">
        <v>12</v>
      </c>
      <c r="P1780" s="32" t="s">
        <v>13</v>
      </c>
      <c r="Q1780" s="32" t="s">
        <v>14</v>
      </c>
      <c r="R1780" s="32" t="s">
        <v>15</v>
      </c>
      <c r="S1780" s="32">
        <v>75547</v>
      </c>
      <c r="T1780" s="32">
        <v>630</v>
      </c>
      <c r="U1780" s="81">
        <v>74917</v>
      </c>
    </row>
    <row r="1781" spans="12:21">
      <c r="L1781" s="35">
        <v>227714</v>
      </c>
      <c r="M1781" s="35" t="s">
        <v>16</v>
      </c>
      <c r="N1781" s="35" t="s">
        <v>17</v>
      </c>
      <c r="O1781" s="35" t="s">
        <v>12</v>
      </c>
      <c r="P1781" s="35" t="s">
        <v>19</v>
      </c>
      <c r="Q1781" s="35" t="s">
        <v>14</v>
      </c>
      <c r="R1781" s="35" t="s">
        <v>15</v>
      </c>
      <c r="S1781" s="35">
        <v>51449</v>
      </c>
      <c r="T1781" s="35">
        <v>5316</v>
      </c>
      <c r="U1781" s="81">
        <v>46133</v>
      </c>
    </row>
    <row r="1782" spans="12:21">
      <c r="L1782" s="32">
        <v>194736</v>
      </c>
      <c r="M1782" s="35" t="s">
        <v>16</v>
      </c>
      <c r="N1782" s="32" t="s">
        <v>37</v>
      </c>
      <c r="O1782" s="32" t="s">
        <v>12</v>
      </c>
      <c r="P1782" s="32" t="s">
        <v>19</v>
      </c>
      <c r="Q1782" s="32" t="s">
        <v>14</v>
      </c>
      <c r="R1782" s="32" t="s">
        <v>15</v>
      </c>
      <c r="S1782" s="32">
        <v>43529</v>
      </c>
      <c r="T1782" s="32">
        <v>1919</v>
      </c>
      <c r="U1782" s="81">
        <v>41610</v>
      </c>
    </row>
    <row r="1783" spans="12:21">
      <c r="L1783" s="35">
        <v>177062</v>
      </c>
      <c r="M1783" s="35" t="s">
        <v>16</v>
      </c>
      <c r="N1783" s="35" t="s">
        <v>25</v>
      </c>
      <c r="O1783" s="35" t="s">
        <v>30</v>
      </c>
      <c r="P1783" s="35" t="s">
        <v>13</v>
      </c>
      <c r="Q1783" s="35" t="s">
        <v>28</v>
      </c>
      <c r="R1783" s="35" t="s">
        <v>24</v>
      </c>
      <c r="S1783" s="35">
        <v>96524</v>
      </c>
      <c r="T1783" s="35">
        <v>235</v>
      </c>
      <c r="U1783" s="81">
        <v>96289</v>
      </c>
    </row>
    <row r="1784" spans="12:21">
      <c r="L1784" s="32">
        <v>28691</v>
      </c>
      <c r="M1784" s="35" t="s">
        <v>16</v>
      </c>
      <c r="N1784" s="32" t="s">
        <v>35</v>
      </c>
      <c r="O1784" s="32" t="s">
        <v>33</v>
      </c>
      <c r="P1784" s="32" t="s">
        <v>13</v>
      </c>
      <c r="Q1784" s="32" t="s">
        <v>14</v>
      </c>
      <c r="R1784" s="32" t="s">
        <v>24</v>
      </c>
      <c r="S1784" s="32">
        <v>74897</v>
      </c>
      <c r="T1784" s="32">
        <v>11511</v>
      </c>
      <c r="U1784" s="81">
        <v>63386</v>
      </c>
    </row>
    <row r="1785" spans="12:21">
      <c r="L1785" s="35">
        <v>187319</v>
      </c>
      <c r="M1785" s="35" t="s">
        <v>16</v>
      </c>
      <c r="N1785" s="35" t="s">
        <v>20</v>
      </c>
      <c r="O1785" s="35" t="s">
        <v>32</v>
      </c>
      <c r="P1785" s="35" t="s">
        <v>19</v>
      </c>
      <c r="Q1785" s="35" t="s">
        <v>14</v>
      </c>
      <c r="R1785" s="35" t="s">
        <v>15</v>
      </c>
      <c r="S1785" s="35">
        <v>32111</v>
      </c>
      <c r="T1785" s="35">
        <v>190</v>
      </c>
      <c r="U1785" s="81">
        <v>31921</v>
      </c>
    </row>
    <row r="1786" spans="12:21">
      <c r="L1786" s="32">
        <v>238726</v>
      </c>
      <c r="M1786" s="35" t="s">
        <v>16</v>
      </c>
      <c r="N1786" s="32" t="s">
        <v>17</v>
      </c>
      <c r="O1786" s="32" t="s">
        <v>33</v>
      </c>
      <c r="P1786" s="32" t="s">
        <v>19</v>
      </c>
      <c r="Q1786" s="32" t="s">
        <v>14</v>
      </c>
      <c r="R1786" s="32" t="s">
        <v>24</v>
      </c>
      <c r="S1786" s="32">
        <v>103097</v>
      </c>
      <c r="T1786" s="32">
        <v>318</v>
      </c>
      <c r="U1786" s="81">
        <v>102779</v>
      </c>
    </row>
    <row r="1787" spans="12:21">
      <c r="L1787" s="35">
        <v>112478</v>
      </c>
      <c r="M1787" s="35" t="s">
        <v>16</v>
      </c>
      <c r="N1787" s="35" t="s">
        <v>22</v>
      </c>
      <c r="O1787" s="35" t="s">
        <v>33</v>
      </c>
      <c r="P1787" s="35" t="s">
        <v>13</v>
      </c>
      <c r="Q1787" s="35" t="s">
        <v>14</v>
      </c>
      <c r="R1787" s="35" t="s">
        <v>15</v>
      </c>
      <c r="S1787" s="35">
        <v>15263</v>
      </c>
      <c r="T1787" s="35">
        <v>384</v>
      </c>
      <c r="U1787" s="81">
        <v>14879</v>
      </c>
    </row>
    <row r="1788" spans="12:21">
      <c r="L1788" s="32">
        <v>18289</v>
      </c>
      <c r="M1788" s="35" t="s">
        <v>16</v>
      </c>
      <c r="N1788" s="32" t="s">
        <v>11</v>
      </c>
      <c r="O1788" s="32" t="s">
        <v>36</v>
      </c>
      <c r="P1788" s="32" t="s">
        <v>13</v>
      </c>
      <c r="Q1788" s="32" t="s">
        <v>14</v>
      </c>
      <c r="R1788" s="32" t="s">
        <v>24</v>
      </c>
      <c r="S1788" s="32">
        <v>34985</v>
      </c>
      <c r="T1788" s="32">
        <v>3365</v>
      </c>
      <c r="U1788" s="81">
        <v>31620</v>
      </c>
    </row>
    <row r="1789" spans="12:21">
      <c r="L1789" s="35">
        <v>250653</v>
      </c>
      <c r="M1789" s="35" t="s">
        <v>16</v>
      </c>
      <c r="N1789" s="35" t="s">
        <v>17</v>
      </c>
      <c r="O1789" s="35" t="s">
        <v>33</v>
      </c>
      <c r="P1789" s="35" t="s">
        <v>19</v>
      </c>
      <c r="Q1789" s="35" t="s">
        <v>28</v>
      </c>
      <c r="R1789" s="35" t="s">
        <v>15</v>
      </c>
      <c r="S1789" s="35">
        <v>55677</v>
      </c>
      <c r="T1789" s="35">
        <v>22</v>
      </c>
      <c r="U1789" s="81">
        <v>55655</v>
      </c>
    </row>
    <row r="1790" spans="12:21">
      <c r="L1790" s="32">
        <v>161848</v>
      </c>
      <c r="M1790" s="35" t="s">
        <v>16</v>
      </c>
      <c r="N1790" s="32" t="s">
        <v>25</v>
      </c>
      <c r="O1790" s="32" t="s">
        <v>32</v>
      </c>
      <c r="P1790" s="32" t="s">
        <v>13</v>
      </c>
      <c r="Q1790" s="32" t="s">
        <v>14</v>
      </c>
      <c r="R1790" s="32" t="s">
        <v>15</v>
      </c>
      <c r="S1790" s="32">
        <v>214767</v>
      </c>
      <c r="T1790" s="32">
        <v>0</v>
      </c>
      <c r="U1790" s="81">
        <v>214767</v>
      </c>
    </row>
    <row r="1791" spans="12:21">
      <c r="L1791" s="35">
        <v>134073</v>
      </c>
      <c r="M1791" s="35" t="s">
        <v>16</v>
      </c>
      <c r="N1791" s="35" t="s">
        <v>31</v>
      </c>
      <c r="O1791" s="35" t="s">
        <v>33</v>
      </c>
      <c r="P1791" s="35" t="s">
        <v>19</v>
      </c>
      <c r="Q1791" s="35" t="s">
        <v>14</v>
      </c>
      <c r="R1791" s="35" t="s">
        <v>24</v>
      </c>
      <c r="S1791" s="35">
        <v>38729</v>
      </c>
      <c r="T1791" s="35">
        <v>0</v>
      </c>
      <c r="U1791" s="81">
        <v>38729</v>
      </c>
    </row>
    <row r="1792" spans="12:21">
      <c r="L1792" s="32">
        <v>24578</v>
      </c>
      <c r="M1792" s="35" t="s">
        <v>16</v>
      </c>
      <c r="N1792" s="32" t="s">
        <v>11</v>
      </c>
      <c r="O1792" s="32" t="s">
        <v>32</v>
      </c>
      <c r="P1792" s="32" t="s">
        <v>13</v>
      </c>
      <c r="Q1792" s="32" t="s">
        <v>14</v>
      </c>
      <c r="R1792" s="32" t="s">
        <v>15</v>
      </c>
      <c r="S1792" s="32">
        <v>33963</v>
      </c>
      <c r="T1792" s="32">
        <v>0</v>
      </c>
      <c r="U1792" s="81">
        <v>33963</v>
      </c>
    </row>
    <row r="1793" spans="12:21">
      <c r="L1793" s="35">
        <v>78551</v>
      </c>
      <c r="M1793" s="35" t="s">
        <v>16</v>
      </c>
      <c r="N1793" s="35" t="s">
        <v>20</v>
      </c>
      <c r="O1793" s="35" t="s">
        <v>21</v>
      </c>
      <c r="P1793" s="35" t="s">
        <v>13</v>
      </c>
      <c r="Q1793" s="35" t="s">
        <v>14</v>
      </c>
      <c r="R1793" s="35" t="s">
        <v>15</v>
      </c>
      <c r="S1793" s="35">
        <v>-192</v>
      </c>
      <c r="T1793" s="35">
        <v>0</v>
      </c>
      <c r="U1793" s="81">
        <v>-192</v>
      </c>
    </row>
    <row r="1794" spans="12:21">
      <c r="L1794" s="32">
        <v>35088</v>
      </c>
      <c r="M1794" s="35" t="s">
        <v>16</v>
      </c>
      <c r="N1794" s="32" t="s">
        <v>35</v>
      </c>
      <c r="O1794" s="32" t="s">
        <v>32</v>
      </c>
      <c r="P1794" s="32" t="s">
        <v>13</v>
      </c>
      <c r="Q1794" s="32" t="s">
        <v>14</v>
      </c>
      <c r="R1794" s="32" t="s">
        <v>15</v>
      </c>
      <c r="S1794" s="32">
        <v>33402</v>
      </c>
      <c r="T1794" s="32">
        <v>0</v>
      </c>
      <c r="U1794" s="81">
        <v>33402</v>
      </c>
    </row>
    <row r="1795" spans="12:21">
      <c r="L1795" s="35">
        <v>164270</v>
      </c>
      <c r="M1795" s="35" t="s">
        <v>16</v>
      </c>
      <c r="N1795" s="35" t="s">
        <v>25</v>
      </c>
      <c r="O1795" s="35" t="s">
        <v>30</v>
      </c>
      <c r="P1795" s="35" t="s">
        <v>19</v>
      </c>
      <c r="Q1795" s="35" t="s">
        <v>14</v>
      </c>
      <c r="R1795" s="35" t="s">
        <v>24</v>
      </c>
      <c r="S1795" s="35">
        <v>67007</v>
      </c>
      <c r="T1795" s="35">
        <v>693</v>
      </c>
      <c r="U1795" s="81">
        <v>66314</v>
      </c>
    </row>
    <row r="1796" spans="12:21">
      <c r="L1796" s="32">
        <v>187047</v>
      </c>
      <c r="M1796" s="35" t="s">
        <v>16</v>
      </c>
      <c r="N1796" s="32" t="s">
        <v>38</v>
      </c>
      <c r="O1796" s="32" t="s">
        <v>33</v>
      </c>
      <c r="P1796" s="32" t="s">
        <v>13</v>
      </c>
      <c r="Q1796" s="32" t="s">
        <v>14</v>
      </c>
      <c r="R1796" s="32" t="s">
        <v>15</v>
      </c>
      <c r="S1796" s="32">
        <v>13433</v>
      </c>
      <c r="T1796" s="32">
        <v>0</v>
      </c>
      <c r="U1796" s="81">
        <v>13433</v>
      </c>
    </row>
    <row r="1797" spans="12:21">
      <c r="L1797" s="35">
        <v>243191</v>
      </c>
      <c r="M1797" s="35" t="s">
        <v>16</v>
      </c>
      <c r="N1797" s="35" t="s">
        <v>11</v>
      </c>
      <c r="O1797" s="35" t="s">
        <v>12</v>
      </c>
      <c r="P1797" s="35" t="s">
        <v>13</v>
      </c>
      <c r="Q1797" s="35" t="s">
        <v>14</v>
      </c>
      <c r="R1797" s="35" t="s">
        <v>24</v>
      </c>
      <c r="S1797" s="35">
        <v>69146</v>
      </c>
      <c r="T1797" s="35">
        <v>344</v>
      </c>
      <c r="U1797" s="81">
        <v>68802</v>
      </c>
    </row>
    <row r="1798" spans="12:21">
      <c r="L1798" s="32">
        <v>237983</v>
      </c>
      <c r="M1798" s="35" t="s">
        <v>16</v>
      </c>
      <c r="N1798" s="32" t="s">
        <v>25</v>
      </c>
      <c r="O1798" s="32" t="s">
        <v>12</v>
      </c>
      <c r="P1798" s="32" t="s">
        <v>19</v>
      </c>
      <c r="Q1798" s="32" t="s">
        <v>28</v>
      </c>
      <c r="R1798" s="32" t="s">
        <v>15</v>
      </c>
      <c r="S1798" s="32">
        <v>44531</v>
      </c>
      <c r="T1798" s="32">
        <v>434</v>
      </c>
      <c r="U1798" s="81">
        <v>44097</v>
      </c>
    </row>
    <row r="1799" spans="12:21">
      <c r="L1799" s="35">
        <v>190555</v>
      </c>
      <c r="M1799" s="35" t="s">
        <v>16</v>
      </c>
      <c r="N1799" s="35" t="s">
        <v>34</v>
      </c>
      <c r="O1799" s="35" t="s">
        <v>12</v>
      </c>
      <c r="P1799" s="35" t="s">
        <v>13</v>
      </c>
      <c r="Q1799" s="35" t="s">
        <v>14</v>
      </c>
      <c r="R1799" s="35" t="s">
        <v>15</v>
      </c>
      <c r="S1799" s="35">
        <v>19884</v>
      </c>
      <c r="T1799" s="35">
        <v>0</v>
      </c>
      <c r="U1799" s="81">
        <v>19884</v>
      </c>
    </row>
    <row r="1800" spans="12:21">
      <c r="L1800" s="32">
        <v>130105</v>
      </c>
      <c r="M1800" s="35" t="s">
        <v>16</v>
      </c>
      <c r="N1800" s="32" t="s">
        <v>22</v>
      </c>
      <c r="O1800" s="32" t="s">
        <v>36</v>
      </c>
      <c r="P1800" s="32" t="s">
        <v>13</v>
      </c>
      <c r="Q1800" s="32" t="s">
        <v>14</v>
      </c>
      <c r="R1800" s="32" t="s">
        <v>24</v>
      </c>
      <c r="S1800" s="32">
        <v>1866</v>
      </c>
      <c r="T1800" s="32">
        <v>0</v>
      </c>
      <c r="U1800" s="81">
        <v>1866</v>
      </c>
    </row>
    <row r="1801" spans="12:21">
      <c r="L1801" s="35">
        <v>30113</v>
      </c>
      <c r="M1801" s="35" t="s">
        <v>16</v>
      </c>
      <c r="N1801" s="35" t="s">
        <v>35</v>
      </c>
      <c r="O1801" s="35" t="s">
        <v>12</v>
      </c>
      <c r="P1801" s="35" t="s">
        <v>19</v>
      </c>
      <c r="Q1801" s="35" t="s">
        <v>14</v>
      </c>
      <c r="R1801" s="35" t="s">
        <v>15</v>
      </c>
      <c r="S1801" s="35">
        <v>81416</v>
      </c>
      <c r="T1801" s="35">
        <v>7752</v>
      </c>
      <c r="U1801" s="81">
        <v>73664</v>
      </c>
    </row>
    <row r="1802" spans="12:21">
      <c r="L1802" s="32">
        <v>21972</v>
      </c>
      <c r="M1802" s="35" t="s">
        <v>16</v>
      </c>
      <c r="N1802" s="32" t="s">
        <v>11</v>
      </c>
      <c r="O1802" s="32" t="s">
        <v>12</v>
      </c>
      <c r="P1802" s="32" t="s">
        <v>13</v>
      </c>
      <c r="Q1802" s="32" t="s">
        <v>14</v>
      </c>
      <c r="R1802" s="32" t="s">
        <v>15</v>
      </c>
      <c r="S1802" s="32">
        <v>74260</v>
      </c>
      <c r="T1802" s="32">
        <v>773</v>
      </c>
      <c r="U1802" s="81">
        <v>73487</v>
      </c>
    </row>
    <row r="1803" spans="12:21">
      <c r="L1803" s="35">
        <v>53320</v>
      </c>
      <c r="M1803" s="35" t="s">
        <v>16</v>
      </c>
      <c r="N1803" s="35" t="s">
        <v>35</v>
      </c>
      <c r="O1803" s="35" t="s">
        <v>30</v>
      </c>
      <c r="P1803" s="35" t="s">
        <v>13</v>
      </c>
      <c r="Q1803" s="35" t="s">
        <v>14</v>
      </c>
      <c r="R1803" s="35" t="s">
        <v>15</v>
      </c>
      <c r="S1803" s="35">
        <v>81360</v>
      </c>
      <c r="T1803" s="35">
        <v>5743</v>
      </c>
      <c r="U1803" s="81">
        <v>75617</v>
      </c>
    </row>
    <row r="1804" spans="12:21">
      <c r="L1804" s="32">
        <v>76780</v>
      </c>
      <c r="M1804" s="35" t="s">
        <v>16</v>
      </c>
      <c r="N1804" s="32" t="s">
        <v>37</v>
      </c>
      <c r="O1804" s="32" t="s">
        <v>12</v>
      </c>
      <c r="P1804" s="32" t="s">
        <v>13</v>
      </c>
      <c r="Q1804" s="32" t="s">
        <v>14</v>
      </c>
      <c r="R1804" s="32" t="s">
        <v>15</v>
      </c>
      <c r="S1804" s="32">
        <v>69025</v>
      </c>
      <c r="T1804" s="32">
        <v>576</v>
      </c>
      <c r="U1804" s="81">
        <v>68449</v>
      </c>
    </row>
    <row r="1805" spans="12:21">
      <c r="L1805" s="35">
        <v>243415</v>
      </c>
      <c r="M1805" s="35" t="s">
        <v>16</v>
      </c>
      <c r="N1805" s="35" t="s">
        <v>25</v>
      </c>
      <c r="O1805" s="35" t="s">
        <v>21</v>
      </c>
      <c r="P1805" s="35" t="s">
        <v>19</v>
      </c>
      <c r="Q1805" s="35" t="s">
        <v>28</v>
      </c>
      <c r="R1805" s="35" t="s">
        <v>24</v>
      </c>
      <c r="S1805" s="35">
        <v>33514</v>
      </c>
      <c r="T1805" s="35">
        <v>218</v>
      </c>
      <c r="U1805" s="81">
        <v>33296</v>
      </c>
    </row>
    <row r="1806" spans="12:21">
      <c r="L1806" s="32">
        <v>66419</v>
      </c>
      <c r="M1806" s="35" t="s">
        <v>16</v>
      </c>
      <c r="N1806" s="32" t="s">
        <v>27</v>
      </c>
      <c r="O1806" s="32" t="s">
        <v>12</v>
      </c>
      <c r="P1806" s="32" t="s">
        <v>19</v>
      </c>
      <c r="Q1806" s="32" t="s">
        <v>14</v>
      </c>
      <c r="R1806" s="32" t="s">
        <v>24</v>
      </c>
      <c r="S1806" s="32">
        <v>47949</v>
      </c>
      <c r="T1806" s="32">
        <v>1474</v>
      </c>
      <c r="U1806" s="81">
        <v>46475</v>
      </c>
    </row>
    <row r="1807" spans="12:21">
      <c r="L1807" s="35">
        <v>197314</v>
      </c>
      <c r="M1807" s="35" t="s">
        <v>16</v>
      </c>
      <c r="N1807" s="35" t="s">
        <v>22</v>
      </c>
      <c r="O1807" s="35" t="s">
        <v>18</v>
      </c>
      <c r="P1807" s="35" t="s">
        <v>13</v>
      </c>
      <c r="Q1807" s="35" t="s">
        <v>14</v>
      </c>
      <c r="R1807" s="35" t="s">
        <v>15</v>
      </c>
      <c r="S1807" s="35">
        <v>106867</v>
      </c>
      <c r="T1807" s="35">
        <v>378</v>
      </c>
      <c r="U1807" s="81">
        <v>106489</v>
      </c>
    </row>
    <row r="1808" spans="12:21">
      <c r="L1808" s="32">
        <v>224455</v>
      </c>
      <c r="M1808" s="35" t="s">
        <v>16</v>
      </c>
      <c r="N1808" s="32" t="s">
        <v>11</v>
      </c>
      <c r="O1808" s="32" t="s">
        <v>36</v>
      </c>
      <c r="P1808" s="32" t="s">
        <v>13</v>
      </c>
      <c r="Q1808" s="32" t="s">
        <v>14</v>
      </c>
      <c r="R1808" s="32" t="s">
        <v>15</v>
      </c>
      <c r="S1808" s="32">
        <v>5448</v>
      </c>
      <c r="T1808" s="32">
        <v>0</v>
      </c>
      <c r="U1808" s="81">
        <v>5448</v>
      </c>
    </row>
    <row r="1809" spans="12:21">
      <c r="L1809" s="35">
        <v>21467</v>
      </c>
      <c r="M1809" s="35" t="s">
        <v>16</v>
      </c>
      <c r="N1809" s="35" t="s">
        <v>11</v>
      </c>
      <c r="O1809" s="35" t="s">
        <v>12</v>
      </c>
      <c r="P1809" s="35" t="s">
        <v>13</v>
      </c>
      <c r="Q1809" s="35" t="s">
        <v>14</v>
      </c>
      <c r="R1809" s="35" t="s">
        <v>15</v>
      </c>
      <c r="S1809" s="35">
        <v>57626</v>
      </c>
      <c r="T1809" s="35">
        <v>1361</v>
      </c>
      <c r="U1809" s="81">
        <v>56265</v>
      </c>
    </row>
    <row r="1810" spans="12:21">
      <c r="L1810" s="32">
        <v>144949</v>
      </c>
      <c r="M1810" s="35" t="s">
        <v>16</v>
      </c>
      <c r="N1810" s="32" t="s">
        <v>22</v>
      </c>
      <c r="O1810" s="32" t="s">
        <v>33</v>
      </c>
      <c r="P1810" s="32" t="s">
        <v>19</v>
      </c>
      <c r="Q1810" s="32" t="s">
        <v>14</v>
      </c>
      <c r="R1810" s="32" t="s">
        <v>24</v>
      </c>
      <c r="S1810" s="32">
        <v>40308</v>
      </c>
      <c r="T1810" s="32">
        <v>4473</v>
      </c>
      <c r="U1810" s="81">
        <v>35835</v>
      </c>
    </row>
    <row r="1811" spans="12:21">
      <c r="L1811" s="35">
        <v>235712</v>
      </c>
      <c r="M1811" s="35" t="s">
        <v>16</v>
      </c>
      <c r="N1811" s="35" t="s">
        <v>17</v>
      </c>
      <c r="O1811" s="35" t="s">
        <v>33</v>
      </c>
      <c r="P1811" s="35" t="s">
        <v>19</v>
      </c>
      <c r="Q1811" s="35" t="s">
        <v>14</v>
      </c>
      <c r="R1811" s="35" t="s">
        <v>15</v>
      </c>
      <c r="S1811" s="35">
        <v>59108</v>
      </c>
      <c r="T1811" s="35">
        <v>2907</v>
      </c>
      <c r="U1811" s="81">
        <v>56201</v>
      </c>
    </row>
    <row r="1812" spans="12:21">
      <c r="L1812" s="32">
        <v>147336</v>
      </c>
      <c r="M1812" s="35" t="s">
        <v>16</v>
      </c>
      <c r="N1812" s="32" t="s">
        <v>25</v>
      </c>
      <c r="O1812" s="32" t="s">
        <v>18</v>
      </c>
      <c r="P1812" s="32" t="s">
        <v>13</v>
      </c>
      <c r="Q1812" s="32" t="s">
        <v>14</v>
      </c>
      <c r="R1812" s="32" t="s">
        <v>24</v>
      </c>
      <c r="S1812" s="32">
        <v>30611</v>
      </c>
      <c r="T1812" s="32">
        <v>330</v>
      </c>
      <c r="U1812" s="81">
        <v>30281</v>
      </c>
    </row>
    <row r="1813" spans="12:21">
      <c r="L1813" s="35">
        <v>121735</v>
      </c>
      <c r="M1813" s="35" t="s">
        <v>16</v>
      </c>
      <c r="N1813" s="35" t="s">
        <v>11</v>
      </c>
      <c r="O1813" s="35" t="s">
        <v>33</v>
      </c>
      <c r="P1813" s="35" t="s">
        <v>13</v>
      </c>
      <c r="Q1813" s="35" t="s">
        <v>14</v>
      </c>
      <c r="R1813" s="35" t="s">
        <v>15</v>
      </c>
      <c r="S1813" s="35">
        <v>63198</v>
      </c>
      <c r="T1813" s="35">
        <v>1036</v>
      </c>
      <c r="U1813" s="81">
        <v>62162</v>
      </c>
    </row>
    <row r="1814" spans="12:21">
      <c r="L1814" s="32">
        <v>212466</v>
      </c>
      <c r="M1814" s="35" t="s">
        <v>16</v>
      </c>
      <c r="N1814" s="32" t="s">
        <v>34</v>
      </c>
      <c r="O1814" s="32" t="s">
        <v>26</v>
      </c>
      <c r="P1814" s="32" t="s">
        <v>13</v>
      </c>
      <c r="Q1814" s="32" t="s">
        <v>28</v>
      </c>
      <c r="R1814" s="32" t="s">
        <v>15</v>
      </c>
      <c r="S1814" s="32">
        <v>19465</v>
      </c>
      <c r="T1814" s="32">
        <v>340</v>
      </c>
      <c r="U1814" s="81">
        <v>19125</v>
      </c>
    </row>
    <row r="1815" spans="12:21">
      <c r="L1815" s="35">
        <v>243100</v>
      </c>
      <c r="M1815" s="35" t="s">
        <v>16</v>
      </c>
      <c r="N1815" s="35" t="s">
        <v>35</v>
      </c>
      <c r="O1815" s="35" t="s">
        <v>12</v>
      </c>
      <c r="P1815" s="35" t="s">
        <v>13</v>
      </c>
      <c r="Q1815" s="35" t="s">
        <v>14</v>
      </c>
      <c r="R1815" s="35" t="s">
        <v>15</v>
      </c>
      <c r="S1815" s="35">
        <v>66396</v>
      </c>
      <c r="T1815" s="35">
        <v>2218</v>
      </c>
      <c r="U1815" s="81">
        <v>64178</v>
      </c>
    </row>
    <row r="1816" spans="12:21">
      <c r="L1816" s="32">
        <v>29995</v>
      </c>
      <c r="M1816" s="35" t="s">
        <v>16</v>
      </c>
      <c r="N1816" s="32" t="s">
        <v>35</v>
      </c>
      <c r="O1816" s="32" t="s">
        <v>33</v>
      </c>
      <c r="P1816" s="32" t="s">
        <v>13</v>
      </c>
      <c r="Q1816" s="32" t="s">
        <v>14</v>
      </c>
      <c r="R1816" s="32" t="s">
        <v>15</v>
      </c>
      <c r="S1816" s="32">
        <v>237801</v>
      </c>
      <c r="T1816" s="32">
        <v>832</v>
      </c>
      <c r="U1816" s="81">
        <v>236969</v>
      </c>
    </row>
    <row r="1817" spans="12:21">
      <c r="L1817" s="35">
        <v>167309</v>
      </c>
      <c r="M1817" s="35" t="s">
        <v>16</v>
      </c>
      <c r="N1817" s="35" t="s">
        <v>22</v>
      </c>
      <c r="O1817" s="35" t="s">
        <v>33</v>
      </c>
      <c r="P1817" s="35" t="s">
        <v>13</v>
      </c>
      <c r="Q1817" s="35" t="s">
        <v>14</v>
      </c>
      <c r="R1817" s="35" t="s">
        <v>15</v>
      </c>
      <c r="S1817" s="35">
        <v>81663</v>
      </c>
      <c r="T1817" s="35">
        <v>1090</v>
      </c>
      <c r="U1817" s="81">
        <v>80573</v>
      </c>
    </row>
    <row r="1818" spans="12:21">
      <c r="L1818" s="32">
        <v>169601</v>
      </c>
      <c r="M1818" s="35" t="s">
        <v>16</v>
      </c>
      <c r="N1818" s="32" t="s">
        <v>34</v>
      </c>
      <c r="O1818" s="32" t="s">
        <v>32</v>
      </c>
      <c r="P1818" s="32" t="s">
        <v>19</v>
      </c>
      <c r="Q1818" s="32" t="s">
        <v>14</v>
      </c>
      <c r="R1818" s="32" t="s">
        <v>15</v>
      </c>
      <c r="S1818" s="32">
        <v>4044</v>
      </c>
      <c r="T1818" s="32">
        <v>378</v>
      </c>
      <c r="U1818" s="81">
        <v>3666</v>
      </c>
    </row>
    <row r="1819" spans="12:21">
      <c r="L1819" s="35">
        <v>54095</v>
      </c>
      <c r="M1819" s="35" t="s">
        <v>16</v>
      </c>
      <c r="N1819" s="35" t="s">
        <v>35</v>
      </c>
      <c r="O1819" s="35" t="s">
        <v>33</v>
      </c>
      <c r="P1819" s="35" t="s">
        <v>13</v>
      </c>
      <c r="Q1819" s="35" t="s">
        <v>14</v>
      </c>
      <c r="R1819" s="35" t="s">
        <v>15</v>
      </c>
      <c r="S1819" s="35">
        <v>5990</v>
      </c>
      <c r="T1819" s="35">
        <v>271</v>
      </c>
      <c r="U1819" s="81">
        <v>5719</v>
      </c>
    </row>
    <row r="1820" spans="12:21">
      <c r="L1820" s="32">
        <v>204571</v>
      </c>
      <c r="M1820" s="35" t="s">
        <v>16</v>
      </c>
      <c r="N1820" s="32" t="s">
        <v>34</v>
      </c>
      <c r="O1820" s="32" t="s">
        <v>30</v>
      </c>
      <c r="P1820" s="32" t="s">
        <v>19</v>
      </c>
      <c r="Q1820" s="32" t="s">
        <v>14</v>
      </c>
      <c r="R1820" s="32" t="s">
        <v>24</v>
      </c>
      <c r="S1820" s="32">
        <v>105916</v>
      </c>
      <c r="T1820" s="32">
        <v>2762</v>
      </c>
      <c r="U1820" s="81">
        <v>103154</v>
      </c>
    </row>
    <row r="1821" spans="12:21">
      <c r="L1821" s="35">
        <v>60814</v>
      </c>
      <c r="M1821" s="35" t="s">
        <v>16</v>
      </c>
      <c r="N1821" s="35" t="s">
        <v>11</v>
      </c>
      <c r="O1821" s="35" t="s">
        <v>33</v>
      </c>
      <c r="P1821" s="35" t="s">
        <v>13</v>
      </c>
      <c r="Q1821" s="35" t="s">
        <v>14</v>
      </c>
      <c r="R1821" s="35" t="s">
        <v>15</v>
      </c>
      <c r="S1821" s="35">
        <v>47672</v>
      </c>
      <c r="T1821" s="35">
        <v>140</v>
      </c>
      <c r="U1821" s="81">
        <v>47532</v>
      </c>
    </row>
    <row r="1822" spans="12:21">
      <c r="L1822" s="32">
        <v>16942</v>
      </c>
      <c r="M1822" s="35" t="s">
        <v>16</v>
      </c>
      <c r="N1822" s="32" t="s">
        <v>20</v>
      </c>
      <c r="O1822" s="32" t="s">
        <v>32</v>
      </c>
      <c r="P1822" s="32" t="s">
        <v>13</v>
      </c>
      <c r="Q1822" s="32" t="s">
        <v>14</v>
      </c>
      <c r="R1822" s="32" t="s">
        <v>15</v>
      </c>
      <c r="S1822" s="32">
        <v>24936</v>
      </c>
      <c r="T1822" s="32">
        <v>0</v>
      </c>
      <c r="U1822" s="81">
        <v>24936</v>
      </c>
    </row>
    <row r="1823" spans="12:21">
      <c r="L1823" s="35">
        <v>7186</v>
      </c>
      <c r="M1823" s="35" t="s">
        <v>16</v>
      </c>
      <c r="N1823" s="35" t="s">
        <v>38</v>
      </c>
      <c r="O1823" s="35" t="s">
        <v>32</v>
      </c>
      <c r="P1823" s="35" t="s">
        <v>13</v>
      </c>
      <c r="Q1823" s="35" t="s">
        <v>14</v>
      </c>
      <c r="R1823" s="35" t="s">
        <v>15</v>
      </c>
      <c r="S1823" s="35">
        <v>39321</v>
      </c>
      <c r="T1823" s="35">
        <v>5554</v>
      </c>
      <c r="U1823" s="81">
        <v>33767</v>
      </c>
    </row>
    <row r="1824" spans="12:21">
      <c r="L1824" s="32">
        <v>70782</v>
      </c>
      <c r="M1824" s="35" t="s">
        <v>16</v>
      </c>
      <c r="N1824" s="32" t="s">
        <v>35</v>
      </c>
      <c r="O1824" s="32" t="s">
        <v>32</v>
      </c>
      <c r="P1824" s="32" t="s">
        <v>13</v>
      </c>
      <c r="Q1824" s="32" t="s">
        <v>14</v>
      </c>
      <c r="R1824" s="32" t="s">
        <v>15</v>
      </c>
      <c r="S1824" s="32">
        <v>31208</v>
      </c>
      <c r="T1824" s="32">
        <v>0</v>
      </c>
      <c r="U1824" s="81">
        <v>31208</v>
      </c>
    </row>
    <row r="1825" spans="12:21">
      <c r="L1825" s="35">
        <v>234306</v>
      </c>
      <c r="M1825" s="35" t="s">
        <v>16</v>
      </c>
      <c r="N1825" s="35" t="s">
        <v>25</v>
      </c>
      <c r="O1825" s="35" t="s">
        <v>30</v>
      </c>
      <c r="P1825" s="35" t="s">
        <v>19</v>
      </c>
      <c r="Q1825" s="35" t="s">
        <v>28</v>
      </c>
      <c r="R1825" s="35" t="s">
        <v>15</v>
      </c>
      <c r="S1825" s="35">
        <v>54942</v>
      </c>
      <c r="T1825" s="35">
        <v>4936</v>
      </c>
      <c r="U1825" s="81">
        <v>50006</v>
      </c>
    </row>
    <row r="1826" spans="12:21">
      <c r="L1826" s="32">
        <v>96703</v>
      </c>
      <c r="M1826" s="35" t="s">
        <v>16</v>
      </c>
      <c r="N1826" s="32" t="s">
        <v>37</v>
      </c>
      <c r="O1826" s="32" t="s">
        <v>36</v>
      </c>
      <c r="P1826" s="32" t="s">
        <v>13</v>
      </c>
      <c r="Q1826" s="32" t="s">
        <v>14</v>
      </c>
      <c r="R1826" s="32" t="s">
        <v>15</v>
      </c>
      <c r="S1826" s="32">
        <v>83915</v>
      </c>
      <c r="T1826" s="32">
        <v>867</v>
      </c>
      <c r="U1826" s="81">
        <v>83048</v>
      </c>
    </row>
    <row r="1827" spans="12:21">
      <c r="L1827" s="35">
        <v>216659</v>
      </c>
      <c r="M1827" s="35" t="s">
        <v>16</v>
      </c>
      <c r="N1827" s="35" t="s">
        <v>34</v>
      </c>
      <c r="O1827" s="35" t="s">
        <v>18</v>
      </c>
      <c r="P1827" s="35" t="s">
        <v>13</v>
      </c>
      <c r="Q1827" s="35" t="s">
        <v>14</v>
      </c>
      <c r="R1827" s="35" t="s">
        <v>15</v>
      </c>
      <c r="S1827" s="35">
        <v>40311</v>
      </c>
      <c r="T1827" s="35">
        <v>232</v>
      </c>
      <c r="U1827" s="81">
        <v>40079</v>
      </c>
    </row>
    <row r="1828" spans="12:21">
      <c r="L1828" s="32">
        <v>18299</v>
      </c>
      <c r="M1828" s="35" t="s">
        <v>16</v>
      </c>
      <c r="N1828" s="32" t="s">
        <v>11</v>
      </c>
      <c r="O1828" s="32" t="s">
        <v>18</v>
      </c>
      <c r="P1828" s="32" t="s">
        <v>13</v>
      </c>
      <c r="Q1828" s="32" t="s">
        <v>28</v>
      </c>
      <c r="R1828" s="32" t="s">
        <v>15</v>
      </c>
      <c r="S1828" s="32">
        <v>22587</v>
      </c>
      <c r="T1828" s="32">
        <v>704</v>
      </c>
      <c r="U1828" s="81">
        <v>21883</v>
      </c>
    </row>
    <row r="1829" spans="12:21">
      <c r="L1829" s="35">
        <v>195062</v>
      </c>
      <c r="M1829" s="35" t="s">
        <v>16</v>
      </c>
      <c r="N1829" s="35" t="s">
        <v>38</v>
      </c>
      <c r="O1829" s="35" t="s">
        <v>32</v>
      </c>
      <c r="P1829" s="35" t="s">
        <v>13</v>
      </c>
      <c r="Q1829" s="35" t="s">
        <v>14</v>
      </c>
      <c r="R1829" s="35" t="s">
        <v>15</v>
      </c>
      <c r="S1829" s="35">
        <v>4439</v>
      </c>
      <c r="T1829" s="35">
        <v>406</v>
      </c>
      <c r="U1829" s="81">
        <v>4033</v>
      </c>
    </row>
    <row r="1830" spans="12:21">
      <c r="L1830" s="32">
        <v>129342</v>
      </c>
      <c r="M1830" s="35" t="s">
        <v>16</v>
      </c>
      <c r="N1830" s="32" t="s">
        <v>22</v>
      </c>
      <c r="O1830" s="32" t="s">
        <v>33</v>
      </c>
      <c r="P1830" s="32" t="s">
        <v>19</v>
      </c>
      <c r="Q1830" s="32" t="s">
        <v>28</v>
      </c>
      <c r="R1830" s="32" t="s">
        <v>15</v>
      </c>
      <c r="S1830" s="32">
        <v>59934</v>
      </c>
      <c r="T1830" s="32">
        <v>184</v>
      </c>
      <c r="U1830" s="81">
        <v>59750</v>
      </c>
    </row>
    <row r="1831" spans="12:21">
      <c r="L1831" s="35">
        <v>121225</v>
      </c>
      <c r="M1831" s="35" t="s">
        <v>16</v>
      </c>
      <c r="N1831" s="35" t="s">
        <v>35</v>
      </c>
      <c r="O1831" s="35" t="s">
        <v>32</v>
      </c>
      <c r="P1831" s="35" t="s">
        <v>13</v>
      </c>
      <c r="Q1831" s="35" t="s">
        <v>14</v>
      </c>
      <c r="R1831" s="35" t="s">
        <v>24</v>
      </c>
      <c r="S1831" s="35">
        <v>15146</v>
      </c>
      <c r="T1831" s="35">
        <v>507</v>
      </c>
      <c r="U1831" s="81">
        <v>14639</v>
      </c>
    </row>
    <row r="1832" spans="12:21">
      <c r="L1832" s="32">
        <v>63865</v>
      </c>
      <c r="M1832" s="35" t="s">
        <v>16</v>
      </c>
      <c r="N1832" s="32" t="s">
        <v>27</v>
      </c>
      <c r="O1832" s="32" t="s">
        <v>32</v>
      </c>
      <c r="P1832" s="32" t="s">
        <v>13</v>
      </c>
      <c r="Q1832" s="32" t="s">
        <v>14</v>
      </c>
      <c r="R1832" s="32" t="s">
        <v>15</v>
      </c>
      <c r="S1832" s="32">
        <v>177</v>
      </c>
      <c r="T1832" s="32">
        <v>0</v>
      </c>
      <c r="U1832" s="81">
        <v>177</v>
      </c>
    </row>
    <row r="1833" spans="12:21">
      <c r="L1833" s="35">
        <v>176713</v>
      </c>
      <c r="M1833" s="35" t="s">
        <v>16</v>
      </c>
      <c r="N1833" s="35" t="s">
        <v>25</v>
      </c>
      <c r="O1833" s="35" t="s">
        <v>32</v>
      </c>
      <c r="P1833" s="35" t="s">
        <v>13</v>
      </c>
      <c r="Q1833" s="35" t="s">
        <v>14</v>
      </c>
      <c r="R1833" s="35" t="s">
        <v>15</v>
      </c>
      <c r="S1833" s="35">
        <v>12694</v>
      </c>
      <c r="T1833" s="35">
        <v>0</v>
      </c>
      <c r="U1833" s="81">
        <v>12694</v>
      </c>
    </row>
    <row r="1834" spans="12:21">
      <c r="L1834" s="32">
        <v>211834</v>
      </c>
      <c r="M1834" s="35" t="s">
        <v>16</v>
      </c>
      <c r="N1834" s="32" t="s">
        <v>34</v>
      </c>
      <c r="O1834" s="32" t="s">
        <v>18</v>
      </c>
      <c r="P1834" s="32" t="s">
        <v>13</v>
      </c>
      <c r="Q1834" s="32" t="s">
        <v>14</v>
      </c>
      <c r="R1834" s="32" t="s">
        <v>15</v>
      </c>
      <c r="S1834" s="32">
        <v>54082</v>
      </c>
      <c r="T1834" s="32">
        <v>212</v>
      </c>
      <c r="U1834" s="81">
        <v>53870</v>
      </c>
    </row>
    <row r="1835" spans="12:21">
      <c r="L1835" s="35">
        <v>121434</v>
      </c>
      <c r="M1835" s="35" t="s">
        <v>16</v>
      </c>
      <c r="N1835" s="35" t="s">
        <v>22</v>
      </c>
      <c r="O1835" s="35" t="s">
        <v>30</v>
      </c>
      <c r="P1835" s="35" t="s">
        <v>13</v>
      </c>
      <c r="Q1835" s="35" t="s">
        <v>14</v>
      </c>
      <c r="R1835" s="35" t="s">
        <v>24</v>
      </c>
      <c r="S1835" s="35">
        <v>39567</v>
      </c>
      <c r="T1835" s="35">
        <v>220</v>
      </c>
      <c r="U1835" s="81">
        <v>39347</v>
      </c>
    </row>
    <row r="1836" spans="12:21">
      <c r="L1836" s="32">
        <v>198184</v>
      </c>
      <c r="M1836" s="35" t="s">
        <v>16</v>
      </c>
      <c r="N1836" s="32" t="s">
        <v>20</v>
      </c>
      <c r="O1836" s="32" t="s">
        <v>32</v>
      </c>
      <c r="P1836" s="32" t="s">
        <v>19</v>
      </c>
      <c r="Q1836" s="32" t="s">
        <v>28</v>
      </c>
      <c r="R1836" s="32" t="s">
        <v>24</v>
      </c>
      <c r="S1836" s="32">
        <v>901</v>
      </c>
      <c r="T1836" s="32">
        <v>0</v>
      </c>
      <c r="U1836" s="81">
        <v>901</v>
      </c>
    </row>
    <row r="1837" spans="12:21">
      <c r="L1837" s="35">
        <v>33356</v>
      </c>
      <c r="M1837" s="35" t="s">
        <v>16</v>
      </c>
      <c r="N1837" s="35" t="s">
        <v>35</v>
      </c>
      <c r="O1837" s="35" t="s">
        <v>30</v>
      </c>
      <c r="P1837" s="35" t="s">
        <v>13</v>
      </c>
      <c r="Q1837" s="35" t="s">
        <v>14</v>
      </c>
      <c r="R1837" s="35" t="s">
        <v>15</v>
      </c>
      <c r="S1837" s="35">
        <v>11117</v>
      </c>
      <c r="T1837" s="35">
        <v>23</v>
      </c>
      <c r="U1837" s="81">
        <v>11094</v>
      </c>
    </row>
    <row r="1838" spans="12:21">
      <c r="L1838" s="32">
        <v>64907</v>
      </c>
      <c r="M1838" s="35" t="s">
        <v>16</v>
      </c>
      <c r="N1838" s="32" t="s">
        <v>35</v>
      </c>
      <c r="O1838" s="32" t="s">
        <v>32</v>
      </c>
      <c r="P1838" s="32" t="s">
        <v>13</v>
      </c>
      <c r="Q1838" s="32" t="s">
        <v>14</v>
      </c>
      <c r="R1838" s="32" t="s">
        <v>24</v>
      </c>
      <c r="S1838" s="32">
        <v>11963</v>
      </c>
      <c r="T1838" s="32">
        <v>0</v>
      </c>
      <c r="U1838" s="81">
        <v>11963</v>
      </c>
    </row>
    <row r="1839" spans="12:21">
      <c r="L1839" s="35">
        <v>75102</v>
      </c>
      <c r="M1839" s="35" t="s">
        <v>16</v>
      </c>
      <c r="N1839" s="35" t="s">
        <v>27</v>
      </c>
      <c r="O1839" s="35" t="s">
        <v>33</v>
      </c>
      <c r="P1839" s="35" t="s">
        <v>13</v>
      </c>
      <c r="Q1839" s="35" t="s">
        <v>14</v>
      </c>
      <c r="R1839" s="35" t="s">
        <v>15</v>
      </c>
      <c r="S1839" s="35">
        <v>36406</v>
      </c>
      <c r="T1839" s="35">
        <v>251</v>
      </c>
      <c r="U1839" s="81">
        <v>36155</v>
      </c>
    </row>
    <row r="1840" spans="12:21">
      <c r="L1840" s="32">
        <v>52470</v>
      </c>
      <c r="M1840" s="35" t="s">
        <v>16</v>
      </c>
      <c r="N1840" s="32" t="s">
        <v>35</v>
      </c>
      <c r="O1840" s="32" t="s">
        <v>33</v>
      </c>
      <c r="P1840" s="32" t="s">
        <v>13</v>
      </c>
      <c r="Q1840" s="32" t="s">
        <v>14</v>
      </c>
      <c r="R1840" s="32" t="s">
        <v>15</v>
      </c>
      <c r="S1840" s="32">
        <v>37169</v>
      </c>
      <c r="T1840" s="32">
        <v>2445</v>
      </c>
      <c r="U1840" s="81">
        <v>34724</v>
      </c>
    </row>
    <row r="1841" spans="12:21">
      <c r="L1841" s="35">
        <v>232596</v>
      </c>
      <c r="M1841" s="35" t="s">
        <v>16</v>
      </c>
      <c r="N1841" s="35" t="s">
        <v>35</v>
      </c>
      <c r="O1841" s="35" t="s">
        <v>33</v>
      </c>
      <c r="P1841" s="35" t="s">
        <v>13</v>
      </c>
      <c r="Q1841" s="35" t="s">
        <v>14</v>
      </c>
      <c r="R1841" s="35" t="s">
        <v>15</v>
      </c>
      <c r="S1841" s="35">
        <v>99167</v>
      </c>
      <c r="T1841" s="35">
        <v>274</v>
      </c>
      <c r="U1841" s="81">
        <v>98893</v>
      </c>
    </row>
    <row r="1842" spans="12:21">
      <c r="L1842" s="32">
        <v>41510</v>
      </c>
      <c r="M1842" s="35" t="s">
        <v>16</v>
      </c>
      <c r="N1842" s="32" t="s">
        <v>37</v>
      </c>
      <c r="O1842" s="32" t="s">
        <v>30</v>
      </c>
      <c r="P1842" s="32" t="s">
        <v>19</v>
      </c>
      <c r="Q1842" s="32" t="s">
        <v>14</v>
      </c>
      <c r="R1842" s="32" t="s">
        <v>24</v>
      </c>
      <c r="S1842" s="32">
        <v>49651</v>
      </c>
      <c r="T1842" s="32">
        <v>1663</v>
      </c>
      <c r="U1842" s="81">
        <v>47988</v>
      </c>
    </row>
    <row r="1843" spans="12:21">
      <c r="L1843" s="35">
        <v>191551</v>
      </c>
      <c r="M1843" s="35" t="s">
        <v>16</v>
      </c>
      <c r="N1843" s="35" t="s">
        <v>38</v>
      </c>
      <c r="O1843" s="35" t="s">
        <v>32</v>
      </c>
      <c r="P1843" s="35" t="s">
        <v>13</v>
      </c>
      <c r="Q1843" s="35" t="s">
        <v>14</v>
      </c>
      <c r="R1843" s="35" t="s">
        <v>15</v>
      </c>
      <c r="S1843" s="35">
        <v>48603</v>
      </c>
      <c r="T1843" s="35">
        <v>29728</v>
      </c>
      <c r="U1843" s="81">
        <v>18875</v>
      </c>
    </row>
    <row r="1844" spans="12:21">
      <c r="L1844" s="32">
        <v>111889</v>
      </c>
      <c r="M1844" s="35" t="s">
        <v>16</v>
      </c>
      <c r="N1844" s="32" t="s">
        <v>22</v>
      </c>
      <c r="O1844" s="32" t="s">
        <v>18</v>
      </c>
      <c r="P1844" s="32" t="s">
        <v>13</v>
      </c>
      <c r="Q1844" s="32" t="s">
        <v>14</v>
      </c>
      <c r="R1844" s="32" t="s">
        <v>24</v>
      </c>
      <c r="S1844" s="32">
        <v>26551</v>
      </c>
      <c r="T1844" s="32">
        <v>1252</v>
      </c>
      <c r="U1844" s="81">
        <v>25299</v>
      </c>
    </row>
    <row r="1845" spans="12:21">
      <c r="L1845" s="35">
        <v>32273</v>
      </c>
      <c r="M1845" s="35" t="s">
        <v>16</v>
      </c>
      <c r="N1845" s="35" t="s">
        <v>35</v>
      </c>
      <c r="O1845" s="35" t="s">
        <v>12</v>
      </c>
      <c r="P1845" s="35" t="s">
        <v>19</v>
      </c>
      <c r="Q1845" s="35" t="s">
        <v>14</v>
      </c>
      <c r="R1845" s="35" t="s">
        <v>24</v>
      </c>
      <c r="S1845" s="35">
        <v>49649</v>
      </c>
      <c r="T1845" s="35">
        <v>5532</v>
      </c>
      <c r="U1845" s="81">
        <v>44117</v>
      </c>
    </row>
    <row r="1846" spans="12:21">
      <c r="L1846" s="32">
        <v>37949</v>
      </c>
      <c r="M1846" s="35" t="s">
        <v>16</v>
      </c>
      <c r="N1846" s="32" t="s">
        <v>35</v>
      </c>
      <c r="O1846" s="32" t="s">
        <v>30</v>
      </c>
      <c r="P1846" s="32" t="s">
        <v>13</v>
      </c>
      <c r="Q1846" s="32" t="s">
        <v>14</v>
      </c>
      <c r="R1846" s="32" t="s">
        <v>15</v>
      </c>
      <c r="S1846" s="32">
        <v>20337</v>
      </c>
      <c r="T1846" s="32">
        <v>1623</v>
      </c>
      <c r="U1846" s="81">
        <v>18714</v>
      </c>
    </row>
    <row r="1847" spans="12:21">
      <c r="L1847" s="35">
        <v>197972</v>
      </c>
      <c r="M1847" s="35" t="s">
        <v>16</v>
      </c>
      <c r="N1847" s="35" t="s">
        <v>38</v>
      </c>
      <c r="O1847" s="35" t="s">
        <v>30</v>
      </c>
      <c r="P1847" s="35" t="s">
        <v>13</v>
      </c>
      <c r="Q1847" s="35" t="s">
        <v>14</v>
      </c>
      <c r="R1847" s="35" t="s">
        <v>15</v>
      </c>
      <c r="S1847" s="35">
        <v>40411</v>
      </c>
      <c r="T1847" s="35">
        <v>1526</v>
      </c>
      <c r="U1847" s="81">
        <v>38885</v>
      </c>
    </row>
    <row r="1848" spans="12:21">
      <c r="L1848" s="32">
        <v>173099</v>
      </c>
      <c r="M1848" s="35" t="s">
        <v>16</v>
      </c>
      <c r="N1848" s="32" t="s">
        <v>27</v>
      </c>
      <c r="O1848" s="32" t="s">
        <v>30</v>
      </c>
      <c r="P1848" s="32" t="s">
        <v>19</v>
      </c>
      <c r="Q1848" s="32" t="s">
        <v>14</v>
      </c>
      <c r="R1848" s="32" t="s">
        <v>24</v>
      </c>
      <c r="S1848" s="32">
        <v>39295</v>
      </c>
      <c r="T1848" s="32">
        <v>6133</v>
      </c>
      <c r="U1848" s="81">
        <v>33162</v>
      </c>
    </row>
    <row r="1849" spans="12:21">
      <c r="L1849" s="35">
        <v>95275</v>
      </c>
      <c r="M1849" s="35" t="s">
        <v>16</v>
      </c>
      <c r="N1849" s="35" t="s">
        <v>20</v>
      </c>
      <c r="O1849" s="35" t="s">
        <v>21</v>
      </c>
      <c r="P1849" s="35" t="s">
        <v>13</v>
      </c>
      <c r="Q1849" s="35" t="s">
        <v>14</v>
      </c>
      <c r="R1849" s="35" t="s">
        <v>24</v>
      </c>
      <c r="S1849" s="35">
        <v>5175</v>
      </c>
      <c r="T1849" s="35">
        <v>369</v>
      </c>
      <c r="U1849" s="81">
        <v>4806</v>
      </c>
    </row>
    <row r="1850" spans="12:21">
      <c r="L1850" s="32">
        <v>235464</v>
      </c>
      <c r="M1850" s="35" t="s">
        <v>16</v>
      </c>
      <c r="N1850" s="32" t="s">
        <v>17</v>
      </c>
      <c r="O1850" s="32" t="s">
        <v>21</v>
      </c>
      <c r="P1850" s="32" t="s">
        <v>19</v>
      </c>
      <c r="Q1850" s="32" t="s">
        <v>14</v>
      </c>
      <c r="R1850" s="32" t="s">
        <v>24</v>
      </c>
      <c r="S1850" s="32">
        <v>17679</v>
      </c>
      <c r="T1850" s="32">
        <v>189</v>
      </c>
      <c r="U1850" s="81">
        <v>17490</v>
      </c>
    </row>
    <row r="1851" spans="12:21">
      <c r="L1851" s="35">
        <v>107317</v>
      </c>
      <c r="M1851" s="35" t="s">
        <v>16</v>
      </c>
      <c r="N1851" s="35" t="s">
        <v>22</v>
      </c>
      <c r="O1851" s="35" t="s">
        <v>33</v>
      </c>
      <c r="P1851" s="35" t="s">
        <v>13</v>
      </c>
      <c r="Q1851" s="35" t="s">
        <v>14</v>
      </c>
      <c r="R1851" s="35" t="s">
        <v>15</v>
      </c>
      <c r="S1851" s="35">
        <v>45279</v>
      </c>
      <c r="T1851" s="35">
        <v>494</v>
      </c>
      <c r="U1851" s="81">
        <v>44785</v>
      </c>
    </row>
    <row r="1852" spans="12:21">
      <c r="L1852" s="32">
        <v>209852</v>
      </c>
      <c r="M1852" s="35" t="s">
        <v>16</v>
      </c>
      <c r="N1852" s="32" t="s">
        <v>37</v>
      </c>
      <c r="O1852" s="32" t="s">
        <v>30</v>
      </c>
      <c r="P1852" s="32" t="s">
        <v>19</v>
      </c>
      <c r="Q1852" s="32" t="s">
        <v>14</v>
      </c>
      <c r="R1852" s="32" t="s">
        <v>15</v>
      </c>
      <c r="S1852" s="32">
        <v>175816</v>
      </c>
      <c r="T1852" s="32">
        <v>3756</v>
      </c>
      <c r="U1852" s="81">
        <v>172060</v>
      </c>
    </row>
    <row r="1853" spans="12:21">
      <c r="L1853" s="35">
        <v>157053</v>
      </c>
      <c r="M1853" s="35" t="s">
        <v>16</v>
      </c>
      <c r="N1853" s="35" t="s">
        <v>25</v>
      </c>
      <c r="O1853" s="35" t="s">
        <v>30</v>
      </c>
      <c r="P1853" s="35" t="s">
        <v>13</v>
      </c>
      <c r="Q1853" s="35" t="s">
        <v>28</v>
      </c>
      <c r="R1853" s="35" t="s">
        <v>15</v>
      </c>
      <c r="S1853" s="35">
        <v>85665</v>
      </c>
      <c r="T1853" s="35">
        <v>2286</v>
      </c>
      <c r="U1853" s="81">
        <v>83379</v>
      </c>
    </row>
    <row r="1854" spans="12:21">
      <c r="L1854" s="32">
        <v>170523</v>
      </c>
      <c r="M1854" s="35" t="s">
        <v>16</v>
      </c>
      <c r="N1854" s="32" t="s">
        <v>17</v>
      </c>
      <c r="O1854" s="32" t="s">
        <v>36</v>
      </c>
      <c r="P1854" s="32" t="s">
        <v>19</v>
      </c>
      <c r="Q1854" s="32" t="s">
        <v>14</v>
      </c>
      <c r="R1854" s="32" t="s">
        <v>15</v>
      </c>
      <c r="S1854" s="32">
        <v>33202</v>
      </c>
      <c r="T1854" s="32">
        <v>866</v>
      </c>
      <c r="U1854" s="81">
        <v>32336</v>
      </c>
    </row>
    <row r="1855" spans="12:21">
      <c r="L1855" s="35">
        <v>226101</v>
      </c>
      <c r="M1855" s="35" t="s">
        <v>16</v>
      </c>
      <c r="N1855" s="35" t="s">
        <v>25</v>
      </c>
      <c r="O1855" s="35" t="s">
        <v>18</v>
      </c>
      <c r="P1855" s="35" t="s">
        <v>13</v>
      </c>
      <c r="Q1855" s="35" t="s">
        <v>14</v>
      </c>
      <c r="R1855" s="35" t="s">
        <v>15</v>
      </c>
      <c r="S1855" s="35">
        <v>22870</v>
      </c>
      <c r="T1855" s="35">
        <v>3572</v>
      </c>
      <c r="U1855" s="81">
        <v>19298</v>
      </c>
    </row>
    <row r="1856" spans="12:21">
      <c r="L1856" s="32">
        <v>62139</v>
      </c>
      <c r="M1856" s="35" t="s">
        <v>16</v>
      </c>
      <c r="N1856" s="32" t="s">
        <v>27</v>
      </c>
      <c r="O1856" s="32" t="s">
        <v>33</v>
      </c>
      <c r="P1856" s="32" t="s">
        <v>19</v>
      </c>
      <c r="Q1856" s="32" t="s">
        <v>14</v>
      </c>
      <c r="R1856" s="32" t="s">
        <v>24</v>
      </c>
      <c r="S1856" s="32">
        <v>61229</v>
      </c>
      <c r="T1856" s="32">
        <v>346</v>
      </c>
      <c r="U1856" s="81">
        <v>60883</v>
      </c>
    </row>
    <row r="1857" spans="12:21">
      <c r="L1857" s="35">
        <v>253327</v>
      </c>
      <c r="M1857" s="35" t="s">
        <v>16</v>
      </c>
      <c r="N1857" s="35" t="s">
        <v>25</v>
      </c>
      <c r="O1857" s="35" t="s">
        <v>30</v>
      </c>
      <c r="P1857" s="35" t="s">
        <v>13</v>
      </c>
      <c r="Q1857" s="35" t="s">
        <v>28</v>
      </c>
      <c r="R1857" s="35" t="s">
        <v>24</v>
      </c>
      <c r="S1857" s="35">
        <v>45573</v>
      </c>
      <c r="T1857" s="35">
        <v>27</v>
      </c>
      <c r="U1857" s="81">
        <v>45546</v>
      </c>
    </row>
    <row r="1858" spans="12:21">
      <c r="L1858" s="32">
        <v>91400</v>
      </c>
      <c r="M1858" s="35" t="s">
        <v>16</v>
      </c>
      <c r="N1858" s="32" t="s">
        <v>39</v>
      </c>
      <c r="O1858" s="32" t="s">
        <v>33</v>
      </c>
      <c r="P1858" s="32" t="s">
        <v>13</v>
      </c>
      <c r="Q1858" s="32" t="s">
        <v>14</v>
      </c>
      <c r="R1858" s="32" t="s">
        <v>15</v>
      </c>
      <c r="S1858" s="32">
        <v>17334</v>
      </c>
      <c r="T1858" s="32">
        <v>323</v>
      </c>
      <c r="U1858" s="81">
        <v>17011</v>
      </c>
    </row>
    <row r="1859" spans="12:21">
      <c r="L1859" s="35">
        <v>22571</v>
      </c>
      <c r="M1859" s="35" t="s">
        <v>16</v>
      </c>
      <c r="N1859" s="35" t="s">
        <v>35</v>
      </c>
      <c r="O1859" s="35" t="s">
        <v>12</v>
      </c>
      <c r="P1859" s="35" t="s">
        <v>19</v>
      </c>
      <c r="Q1859" s="35" t="s">
        <v>28</v>
      </c>
      <c r="R1859" s="35" t="s">
        <v>15</v>
      </c>
      <c r="S1859" s="35">
        <v>64514</v>
      </c>
      <c r="T1859" s="35">
        <v>2548</v>
      </c>
      <c r="U1859" s="81">
        <v>61966</v>
      </c>
    </row>
    <row r="1860" spans="12:21">
      <c r="L1860" s="32">
        <v>110246</v>
      </c>
      <c r="M1860" s="35" t="s">
        <v>16</v>
      </c>
      <c r="N1860" s="32" t="s">
        <v>34</v>
      </c>
      <c r="O1860" s="32" t="s">
        <v>36</v>
      </c>
      <c r="P1860" s="32" t="s">
        <v>13</v>
      </c>
      <c r="Q1860" s="32" t="s">
        <v>14</v>
      </c>
      <c r="R1860" s="32" t="s">
        <v>24</v>
      </c>
      <c r="S1860" s="32">
        <v>33678</v>
      </c>
      <c r="T1860" s="32">
        <v>821</v>
      </c>
      <c r="U1860" s="81">
        <v>32857</v>
      </c>
    </row>
    <row r="1861" spans="12:21">
      <c r="L1861" s="35">
        <v>243356</v>
      </c>
      <c r="M1861" s="35" t="s">
        <v>16</v>
      </c>
      <c r="N1861" s="35" t="s">
        <v>37</v>
      </c>
      <c r="O1861" s="35" t="s">
        <v>32</v>
      </c>
      <c r="P1861" s="35" t="s">
        <v>19</v>
      </c>
      <c r="Q1861" s="35" t="s">
        <v>14</v>
      </c>
      <c r="R1861" s="35" t="s">
        <v>24</v>
      </c>
      <c r="S1861" s="35">
        <v>30975</v>
      </c>
      <c r="T1861" s="35">
        <v>110</v>
      </c>
      <c r="U1861" s="81">
        <v>30865</v>
      </c>
    </row>
    <row r="1862" spans="12:21">
      <c r="L1862" s="32">
        <v>131623</v>
      </c>
      <c r="M1862" s="35" t="s">
        <v>16</v>
      </c>
      <c r="N1862" s="32" t="s">
        <v>25</v>
      </c>
      <c r="O1862" s="32" t="s">
        <v>23</v>
      </c>
      <c r="P1862" s="32" t="s">
        <v>13</v>
      </c>
      <c r="Q1862" s="32" t="s">
        <v>28</v>
      </c>
      <c r="R1862" s="32" t="s">
        <v>24</v>
      </c>
      <c r="S1862" s="32">
        <v>40486</v>
      </c>
      <c r="T1862" s="32">
        <v>161</v>
      </c>
      <c r="U1862" s="81">
        <v>40325</v>
      </c>
    </row>
    <row r="1863" spans="12:21">
      <c r="L1863" s="35">
        <v>104734</v>
      </c>
      <c r="M1863" s="35" t="s">
        <v>16</v>
      </c>
      <c r="N1863" s="35" t="s">
        <v>27</v>
      </c>
      <c r="O1863" s="35" t="s">
        <v>32</v>
      </c>
      <c r="P1863" s="35" t="s">
        <v>13</v>
      </c>
      <c r="Q1863" s="35" t="s">
        <v>14</v>
      </c>
      <c r="R1863" s="35" t="s">
        <v>24</v>
      </c>
      <c r="S1863" s="35">
        <v>5200</v>
      </c>
      <c r="T1863" s="35">
        <v>0</v>
      </c>
      <c r="U1863" s="81">
        <v>5200</v>
      </c>
    </row>
    <row r="1864" spans="12:21">
      <c r="L1864" s="32">
        <v>184775</v>
      </c>
      <c r="M1864" s="35" t="s">
        <v>16</v>
      </c>
      <c r="N1864" s="32" t="s">
        <v>34</v>
      </c>
      <c r="O1864" s="32" t="s">
        <v>33</v>
      </c>
      <c r="P1864" s="32" t="s">
        <v>13</v>
      </c>
      <c r="Q1864" s="32" t="s">
        <v>14</v>
      </c>
      <c r="R1864" s="32" t="s">
        <v>15</v>
      </c>
      <c r="S1864" s="32">
        <v>62812</v>
      </c>
      <c r="T1864" s="32">
        <v>321</v>
      </c>
      <c r="U1864" s="81">
        <v>62491</v>
      </c>
    </row>
    <row r="1865" spans="12:21">
      <c r="L1865" s="35">
        <v>31299</v>
      </c>
      <c r="M1865" s="35" t="s">
        <v>16</v>
      </c>
      <c r="N1865" s="35" t="s">
        <v>20</v>
      </c>
      <c r="O1865" s="35" t="s">
        <v>32</v>
      </c>
      <c r="P1865" s="35" t="s">
        <v>19</v>
      </c>
      <c r="Q1865" s="35" t="s">
        <v>28</v>
      </c>
      <c r="R1865" s="35" t="s">
        <v>24</v>
      </c>
      <c r="S1865" s="35">
        <v>499</v>
      </c>
      <c r="T1865" s="35">
        <v>0</v>
      </c>
      <c r="U1865" s="81">
        <v>499</v>
      </c>
    </row>
    <row r="1866" spans="12:21">
      <c r="L1866" s="32">
        <v>234031</v>
      </c>
      <c r="M1866" s="35" t="s">
        <v>16</v>
      </c>
      <c r="N1866" s="32" t="s">
        <v>17</v>
      </c>
      <c r="O1866" s="32" t="s">
        <v>36</v>
      </c>
      <c r="P1866" s="32" t="s">
        <v>13</v>
      </c>
      <c r="Q1866" s="32" t="s">
        <v>14</v>
      </c>
      <c r="R1866" s="32" t="s">
        <v>24</v>
      </c>
      <c r="S1866" s="32">
        <v>32571</v>
      </c>
      <c r="T1866" s="32">
        <v>780</v>
      </c>
      <c r="U1866" s="81">
        <v>31791</v>
      </c>
    </row>
    <row r="1867" spans="12:21">
      <c r="L1867" s="35">
        <v>163500</v>
      </c>
      <c r="M1867" s="35" t="s">
        <v>16</v>
      </c>
      <c r="N1867" s="35" t="s">
        <v>27</v>
      </c>
      <c r="O1867" s="35" t="s">
        <v>21</v>
      </c>
      <c r="P1867" s="35" t="s">
        <v>19</v>
      </c>
      <c r="Q1867" s="35" t="s">
        <v>14</v>
      </c>
      <c r="R1867" s="35" t="s">
        <v>24</v>
      </c>
      <c r="S1867" s="35">
        <v>39858</v>
      </c>
      <c r="T1867" s="35">
        <v>316</v>
      </c>
      <c r="U1867" s="81">
        <v>39542</v>
      </c>
    </row>
    <row r="1868" spans="12:21">
      <c r="L1868" s="32">
        <v>179672</v>
      </c>
      <c r="M1868" s="35" t="s">
        <v>16</v>
      </c>
      <c r="N1868" s="32" t="s">
        <v>31</v>
      </c>
      <c r="O1868" s="32" t="s">
        <v>18</v>
      </c>
      <c r="P1868" s="32" t="s">
        <v>19</v>
      </c>
      <c r="Q1868" s="32" t="s">
        <v>14</v>
      </c>
      <c r="R1868" s="32" t="s">
        <v>24</v>
      </c>
      <c r="S1868" s="32">
        <v>17427</v>
      </c>
      <c r="T1868" s="32">
        <v>164</v>
      </c>
      <c r="U1868" s="81">
        <v>17263</v>
      </c>
    </row>
    <row r="1869" spans="12:21">
      <c r="L1869" s="35">
        <v>29681</v>
      </c>
      <c r="M1869" s="35" t="s">
        <v>16</v>
      </c>
      <c r="N1869" s="35" t="s">
        <v>11</v>
      </c>
      <c r="O1869" s="35" t="s">
        <v>32</v>
      </c>
      <c r="P1869" s="35" t="s">
        <v>13</v>
      </c>
      <c r="Q1869" s="35" t="s">
        <v>14</v>
      </c>
      <c r="R1869" s="35" t="s">
        <v>15</v>
      </c>
      <c r="S1869" s="35">
        <v>27854</v>
      </c>
      <c r="T1869" s="35">
        <v>3</v>
      </c>
      <c r="U1869" s="81">
        <v>27851</v>
      </c>
    </row>
    <row r="1870" spans="12:21">
      <c r="L1870" s="32">
        <v>100138</v>
      </c>
      <c r="M1870" s="35" t="s">
        <v>16</v>
      </c>
      <c r="N1870" s="32" t="s">
        <v>11</v>
      </c>
      <c r="O1870" s="32" t="s">
        <v>30</v>
      </c>
      <c r="P1870" s="32" t="s">
        <v>13</v>
      </c>
      <c r="Q1870" s="32" t="s">
        <v>14</v>
      </c>
      <c r="R1870" s="32" t="s">
        <v>15</v>
      </c>
      <c r="S1870" s="32">
        <v>23903</v>
      </c>
      <c r="T1870" s="32">
        <v>490</v>
      </c>
      <c r="U1870" s="81">
        <v>23413</v>
      </c>
    </row>
    <row r="1871" spans="12:21">
      <c r="L1871" s="35">
        <v>50413</v>
      </c>
      <c r="M1871" s="35" t="s">
        <v>16</v>
      </c>
      <c r="N1871" s="35" t="s">
        <v>35</v>
      </c>
      <c r="O1871" s="35" t="s">
        <v>30</v>
      </c>
      <c r="P1871" s="35" t="s">
        <v>13</v>
      </c>
      <c r="Q1871" s="35" t="s">
        <v>14</v>
      </c>
      <c r="R1871" s="35" t="s">
        <v>15</v>
      </c>
      <c r="S1871" s="35">
        <v>53904</v>
      </c>
      <c r="T1871" s="35">
        <v>1732</v>
      </c>
      <c r="U1871" s="81">
        <v>52172</v>
      </c>
    </row>
    <row r="1872" spans="12:21">
      <c r="L1872" s="32">
        <v>252786</v>
      </c>
      <c r="M1872" s="35" t="s">
        <v>16</v>
      </c>
      <c r="N1872" s="32" t="s">
        <v>17</v>
      </c>
      <c r="O1872" s="32" t="s">
        <v>32</v>
      </c>
      <c r="P1872" s="32" t="s">
        <v>13</v>
      </c>
      <c r="Q1872" s="32" t="s">
        <v>14</v>
      </c>
      <c r="R1872" s="32" t="s">
        <v>24</v>
      </c>
      <c r="S1872" s="32">
        <v>5023</v>
      </c>
      <c r="T1872" s="32">
        <v>0</v>
      </c>
      <c r="U1872" s="81">
        <v>5023</v>
      </c>
    </row>
    <row r="1873" spans="12:21">
      <c r="L1873" s="35">
        <v>82555</v>
      </c>
      <c r="M1873" s="35" t="s">
        <v>16</v>
      </c>
      <c r="N1873" s="35" t="s">
        <v>34</v>
      </c>
      <c r="O1873" s="35" t="s">
        <v>18</v>
      </c>
      <c r="P1873" s="35" t="s">
        <v>19</v>
      </c>
      <c r="Q1873" s="35" t="s">
        <v>28</v>
      </c>
      <c r="R1873" s="35" t="s">
        <v>24</v>
      </c>
      <c r="S1873" s="35">
        <v>40466</v>
      </c>
      <c r="T1873" s="35">
        <v>795</v>
      </c>
      <c r="U1873" s="81">
        <v>39671</v>
      </c>
    </row>
    <row r="1874" spans="12:21">
      <c r="L1874" s="32">
        <v>7284</v>
      </c>
      <c r="M1874" s="35" t="s">
        <v>16</v>
      </c>
      <c r="N1874" s="32" t="s">
        <v>38</v>
      </c>
      <c r="O1874" s="32" t="s">
        <v>32</v>
      </c>
      <c r="P1874" s="32" t="s">
        <v>19</v>
      </c>
      <c r="Q1874" s="32" t="s">
        <v>28</v>
      </c>
      <c r="R1874" s="32" t="s">
        <v>24</v>
      </c>
      <c r="S1874" s="32">
        <v>560</v>
      </c>
      <c r="T1874" s="32">
        <v>0</v>
      </c>
      <c r="U1874" s="81">
        <v>560</v>
      </c>
    </row>
    <row r="1875" spans="12:21">
      <c r="L1875" s="35">
        <v>193943</v>
      </c>
      <c r="M1875" s="35" t="s">
        <v>16</v>
      </c>
      <c r="N1875" s="35" t="s">
        <v>11</v>
      </c>
      <c r="O1875" s="35" t="s">
        <v>33</v>
      </c>
      <c r="P1875" s="35" t="s">
        <v>19</v>
      </c>
      <c r="Q1875" s="35" t="s">
        <v>28</v>
      </c>
      <c r="R1875" s="35" t="s">
        <v>15</v>
      </c>
      <c r="S1875" s="35">
        <v>74283</v>
      </c>
      <c r="T1875" s="35">
        <v>552</v>
      </c>
      <c r="U1875" s="81">
        <v>73731</v>
      </c>
    </row>
    <row r="1876" spans="12:21">
      <c r="L1876" s="32">
        <v>130304</v>
      </c>
      <c r="M1876" s="35" t="s">
        <v>16</v>
      </c>
      <c r="N1876" s="32" t="s">
        <v>22</v>
      </c>
      <c r="O1876" s="32" t="s">
        <v>36</v>
      </c>
      <c r="P1876" s="32" t="s">
        <v>19</v>
      </c>
      <c r="Q1876" s="32" t="s">
        <v>14</v>
      </c>
      <c r="R1876" s="32" t="s">
        <v>24</v>
      </c>
      <c r="S1876" s="32">
        <v>29568</v>
      </c>
      <c r="T1876" s="32">
        <v>614</v>
      </c>
      <c r="U1876" s="81">
        <v>28954</v>
      </c>
    </row>
    <row r="1877" spans="12:21">
      <c r="L1877" s="35">
        <v>244553</v>
      </c>
      <c r="M1877" s="35" t="s">
        <v>16</v>
      </c>
      <c r="N1877" s="35" t="s">
        <v>17</v>
      </c>
      <c r="O1877" s="35" t="s">
        <v>12</v>
      </c>
      <c r="P1877" s="35" t="s">
        <v>19</v>
      </c>
      <c r="Q1877" s="35" t="s">
        <v>14</v>
      </c>
      <c r="R1877" s="35" t="s">
        <v>24</v>
      </c>
      <c r="S1877" s="35">
        <v>31481</v>
      </c>
      <c r="T1877" s="35">
        <v>1182</v>
      </c>
      <c r="U1877" s="81">
        <v>30299</v>
      </c>
    </row>
    <row r="1878" spans="12:21">
      <c r="L1878" s="32">
        <v>39252</v>
      </c>
      <c r="M1878" s="35" t="s">
        <v>16</v>
      </c>
      <c r="N1878" s="32" t="s">
        <v>37</v>
      </c>
      <c r="O1878" s="32" t="s">
        <v>33</v>
      </c>
      <c r="P1878" s="32" t="s">
        <v>13</v>
      </c>
      <c r="Q1878" s="32" t="s">
        <v>28</v>
      </c>
      <c r="R1878" s="32" t="s">
        <v>15</v>
      </c>
      <c r="S1878" s="32">
        <v>71534</v>
      </c>
      <c r="T1878" s="32">
        <v>1001</v>
      </c>
      <c r="U1878" s="81">
        <v>70533</v>
      </c>
    </row>
    <row r="1879" spans="12:21">
      <c r="L1879" s="35">
        <v>36295</v>
      </c>
      <c r="M1879" s="35" t="s">
        <v>16</v>
      </c>
      <c r="N1879" s="35" t="s">
        <v>11</v>
      </c>
      <c r="O1879" s="35" t="s">
        <v>33</v>
      </c>
      <c r="P1879" s="35" t="s">
        <v>13</v>
      </c>
      <c r="Q1879" s="35" t="s">
        <v>14</v>
      </c>
      <c r="R1879" s="35" t="s">
        <v>24</v>
      </c>
      <c r="S1879" s="35">
        <v>55183</v>
      </c>
      <c r="T1879" s="35">
        <v>520</v>
      </c>
      <c r="U1879" s="81">
        <v>54663</v>
      </c>
    </row>
    <row r="1880" spans="12:21">
      <c r="L1880" s="32">
        <v>62368</v>
      </c>
      <c r="M1880" s="35" t="s">
        <v>16</v>
      </c>
      <c r="N1880" s="32" t="s">
        <v>38</v>
      </c>
      <c r="O1880" s="32" t="s">
        <v>32</v>
      </c>
      <c r="P1880" s="32" t="s">
        <v>13</v>
      </c>
      <c r="Q1880" s="32" t="s">
        <v>14</v>
      </c>
      <c r="R1880" s="32" t="s">
        <v>15</v>
      </c>
      <c r="S1880" s="32">
        <v>26245</v>
      </c>
      <c r="T1880" s="32">
        <v>1489</v>
      </c>
      <c r="U1880" s="81">
        <v>24756</v>
      </c>
    </row>
    <row r="1881" spans="12:21">
      <c r="L1881" s="35">
        <v>151973</v>
      </c>
      <c r="M1881" s="35" t="s">
        <v>16</v>
      </c>
      <c r="N1881" s="35" t="s">
        <v>22</v>
      </c>
      <c r="O1881" s="35" t="s">
        <v>30</v>
      </c>
      <c r="P1881" s="35" t="s">
        <v>13</v>
      </c>
      <c r="Q1881" s="35" t="s">
        <v>14</v>
      </c>
      <c r="R1881" s="35" t="s">
        <v>15</v>
      </c>
      <c r="S1881" s="35">
        <v>18458</v>
      </c>
      <c r="T1881" s="35">
        <v>343</v>
      </c>
      <c r="U1881" s="81">
        <v>18115</v>
      </c>
    </row>
    <row r="1882" spans="12:21">
      <c r="L1882" s="32">
        <v>159237</v>
      </c>
      <c r="M1882" s="35" t="s">
        <v>16</v>
      </c>
      <c r="N1882" s="32" t="s">
        <v>34</v>
      </c>
      <c r="O1882" s="32" t="s">
        <v>29</v>
      </c>
      <c r="P1882" s="32" t="s">
        <v>19</v>
      </c>
      <c r="Q1882" s="32" t="s">
        <v>14</v>
      </c>
      <c r="R1882" s="32" t="s">
        <v>24</v>
      </c>
      <c r="S1882" s="32">
        <v>29069</v>
      </c>
      <c r="T1882" s="32">
        <v>2047</v>
      </c>
      <c r="U1882" s="81">
        <v>27022</v>
      </c>
    </row>
    <row r="1883" spans="12:21">
      <c r="L1883" s="35">
        <v>125591</v>
      </c>
      <c r="M1883" s="35" t="s">
        <v>16</v>
      </c>
      <c r="N1883" s="35" t="s">
        <v>17</v>
      </c>
      <c r="O1883" s="35" t="s">
        <v>33</v>
      </c>
      <c r="P1883" s="35" t="s">
        <v>19</v>
      </c>
      <c r="Q1883" s="35" t="s">
        <v>28</v>
      </c>
      <c r="R1883" s="35" t="s">
        <v>24</v>
      </c>
      <c r="S1883" s="35">
        <v>34294</v>
      </c>
      <c r="T1883" s="35">
        <v>1076</v>
      </c>
      <c r="U1883" s="81">
        <v>33218</v>
      </c>
    </row>
    <row r="1884" spans="12:21">
      <c r="L1884" s="32">
        <v>17386</v>
      </c>
      <c r="M1884" s="35" t="s">
        <v>16</v>
      </c>
      <c r="N1884" s="32" t="s">
        <v>34</v>
      </c>
      <c r="O1884" s="32" t="s">
        <v>36</v>
      </c>
      <c r="P1884" s="32" t="s">
        <v>13</v>
      </c>
      <c r="Q1884" s="32" t="s">
        <v>14</v>
      </c>
      <c r="R1884" s="32" t="s">
        <v>15</v>
      </c>
      <c r="S1884" s="32">
        <v>30106</v>
      </c>
      <c r="T1884" s="32">
        <v>1183</v>
      </c>
      <c r="U1884" s="81">
        <v>28923</v>
      </c>
    </row>
    <row r="1885" spans="12:21">
      <c r="L1885" s="35">
        <v>71684</v>
      </c>
      <c r="M1885" s="35" t="s">
        <v>16</v>
      </c>
      <c r="N1885" s="35" t="s">
        <v>11</v>
      </c>
      <c r="O1885" s="35" t="s">
        <v>33</v>
      </c>
      <c r="P1885" s="35" t="s">
        <v>13</v>
      </c>
      <c r="Q1885" s="35" t="s">
        <v>28</v>
      </c>
      <c r="R1885" s="35" t="s">
        <v>15</v>
      </c>
      <c r="S1885" s="35">
        <v>15685</v>
      </c>
      <c r="T1885" s="35">
        <v>55</v>
      </c>
      <c r="U1885" s="81">
        <v>15630</v>
      </c>
    </row>
    <row r="1886" spans="12:21">
      <c r="L1886" s="32">
        <v>199294</v>
      </c>
      <c r="M1886" s="35" t="s">
        <v>16</v>
      </c>
      <c r="N1886" s="32" t="s">
        <v>39</v>
      </c>
      <c r="O1886" s="32" t="s">
        <v>32</v>
      </c>
      <c r="P1886" s="32" t="s">
        <v>13</v>
      </c>
      <c r="Q1886" s="32" t="s">
        <v>14</v>
      </c>
      <c r="R1886" s="32" t="s">
        <v>15</v>
      </c>
      <c r="S1886" s="32">
        <v>33852</v>
      </c>
      <c r="T1886" s="32">
        <v>528</v>
      </c>
      <c r="U1886" s="81">
        <v>33324</v>
      </c>
    </row>
    <row r="1887" spans="12:21">
      <c r="L1887" s="35">
        <v>99834</v>
      </c>
      <c r="M1887" s="35" t="s">
        <v>16</v>
      </c>
      <c r="N1887" s="35" t="s">
        <v>34</v>
      </c>
      <c r="O1887" s="35" t="s">
        <v>36</v>
      </c>
      <c r="P1887" s="35" t="s">
        <v>19</v>
      </c>
      <c r="Q1887" s="35" t="s">
        <v>14</v>
      </c>
      <c r="R1887" s="35" t="s">
        <v>24</v>
      </c>
      <c r="S1887" s="35">
        <v>38434</v>
      </c>
      <c r="T1887" s="35">
        <v>317</v>
      </c>
      <c r="U1887" s="81">
        <v>38117</v>
      </c>
    </row>
    <row r="1888" spans="12:21">
      <c r="L1888" s="32">
        <v>161786</v>
      </c>
      <c r="M1888" s="35" t="s">
        <v>16</v>
      </c>
      <c r="N1888" s="32" t="s">
        <v>25</v>
      </c>
      <c r="O1888" s="32" t="s">
        <v>30</v>
      </c>
      <c r="P1888" s="32" t="s">
        <v>13</v>
      </c>
      <c r="Q1888" s="32" t="s">
        <v>14</v>
      </c>
      <c r="R1888" s="32" t="s">
        <v>24</v>
      </c>
      <c r="S1888" s="32">
        <v>28082</v>
      </c>
      <c r="T1888" s="32">
        <v>1764</v>
      </c>
      <c r="U1888" s="81">
        <v>26318</v>
      </c>
    </row>
    <row r="1889" spans="12:21">
      <c r="L1889" s="35">
        <v>95259</v>
      </c>
      <c r="M1889" s="35" t="s">
        <v>16</v>
      </c>
      <c r="N1889" s="35" t="s">
        <v>38</v>
      </c>
      <c r="O1889" s="35" t="s">
        <v>33</v>
      </c>
      <c r="P1889" s="35" t="s">
        <v>13</v>
      </c>
      <c r="Q1889" s="35" t="s">
        <v>14</v>
      </c>
      <c r="R1889" s="35" t="s">
        <v>15</v>
      </c>
      <c r="S1889" s="35">
        <v>23775</v>
      </c>
      <c r="T1889" s="35">
        <v>833</v>
      </c>
      <c r="U1889" s="81">
        <v>22942</v>
      </c>
    </row>
    <row r="1890" spans="12:21">
      <c r="L1890" s="32">
        <v>178749</v>
      </c>
      <c r="M1890" s="35" t="s">
        <v>16</v>
      </c>
      <c r="N1890" s="32" t="s">
        <v>17</v>
      </c>
      <c r="O1890" s="32" t="s">
        <v>33</v>
      </c>
      <c r="P1890" s="32" t="s">
        <v>19</v>
      </c>
      <c r="Q1890" s="32" t="s">
        <v>28</v>
      </c>
      <c r="R1890" s="32" t="s">
        <v>24</v>
      </c>
      <c r="S1890" s="32">
        <v>21889</v>
      </c>
      <c r="T1890" s="32">
        <v>0</v>
      </c>
      <c r="U1890" s="81">
        <v>21889</v>
      </c>
    </row>
    <row r="1891" spans="12:21">
      <c r="L1891" s="35">
        <v>97724</v>
      </c>
      <c r="M1891" s="35" t="s">
        <v>16</v>
      </c>
      <c r="N1891" s="35" t="s">
        <v>34</v>
      </c>
      <c r="O1891" s="35" t="s">
        <v>36</v>
      </c>
      <c r="P1891" s="35" t="s">
        <v>13</v>
      </c>
      <c r="Q1891" s="35" t="s">
        <v>14</v>
      </c>
      <c r="R1891" s="35" t="s">
        <v>24</v>
      </c>
      <c r="S1891" s="35">
        <v>34074</v>
      </c>
      <c r="T1891" s="35">
        <v>1060</v>
      </c>
      <c r="U1891" s="81">
        <v>33014</v>
      </c>
    </row>
    <row r="1892" spans="12:21">
      <c r="L1892" s="32">
        <v>95696</v>
      </c>
      <c r="M1892" s="35" t="s">
        <v>16</v>
      </c>
      <c r="N1892" s="32" t="s">
        <v>39</v>
      </c>
      <c r="O1892" s="32" t="s">
        <v>32</v>
      </c>
      <c r="P1892" s="32" t="s">
        <v>13</v>
      </c>
      <c r="Q1892" s="32" t="s">
        <v>14</v>
      </c>
      <c r="R1892" s="32" t="s">
        <v>15</v>
      </c>
      <c r="S1892" s="32">
        <v>83420</v>
      </c>
      <c r="T1892" s="32">
        <v>2844</v>
      </c>
      <c r="U1892" s="81">
        <v>80576</v>
      </c>
    </row>
    <row r="1893" spans="12:21">
      <c r="L1893" s="35">
        <v>177538</v>
      </c>
      <c r="M1893" s="35" t="s">
        <v>16</v>
      </c>
      <c r="N1893" s="35" t="s">
        <v>25</v>
      </c>
      <c r="O1893" s="35" t="s">
        <v>30</v>
      </c>
      <c r="P1893" s="35" t="s">
        <v>19</v>
      </c>
      <c r="Q1893" s="35" t="s">
        <v>28</v>
      </c>
      <c r="R1893" s="35" t="s">
        <v>15</v>
      </c>
      <c r="S1893" s="35">
        <v>30531</v>
      </c>
      <c r="T1893" s="35">
        <v>0</v>
      </c>
      <c r="U1893" s="81">
        <v>30531</v>
      </c>
    </row>
    <row r="1894" spans="12:21">
      <c r="L1894" s="32">
        <v>109731</v>
      </c>
      <c r="M1894" s="35" t="s">
        <v>16</v>
      </c>
      <c r="N1894" s="32" t="s">
        <v>35</v>
      </c>
      <c r="O1894" s="32" t="s">
        <v>26</v>
      </c>
      <c r="P1894" s="32" t="s">
        <v>13</v>
      </c>
      <c r="Q1894" s="32" t="s">
        <v>14</v>
      </c>
      <c r="R1894" s="32" t="s">
        <v>24</v>
      </c>
      <c r="S1894" s="32">
        <v>4857</v>
      </c>
      <c r="T1894" s="32">
        <v>0</v>
      </c>
      <c r="U1894" s="81">
        <v>4857</v>
      </c>
    </row>
    <row r="1895" spans="12:21">
      <c r="L1895" s="35">
        <v>2057</v>
      </c>
      <c r="M1895" s="35" t="s">
        <v>16</v>
      </c>
      <c r="N1895" s="35" t="s">
        <v>39</v>
      </c>
      <c r="O1895" s="35" t="s">
        <v>33</v>
      </c>
      <c r="P1895" s="35" t="s">
        <v>19</v>
      </c>
      <c r="Q1895" s="35" t="s">
        <v>14</v>
      </c>
      <c r="R1895" s="35" t="s">
        <v>15</v>
      </c>
      <c r="S1895" s="35">
        <v>36043</v>
      </c>
      <c r="T1895" s="35">
        <v>7789</v>
      </c>
      <c r="U1895" s="81">
        <v>28254</v>
      </c>
    </row>
    <row r="1896" spans="12:21">
      <c r="L1896" s="32">
        <v>102449</v>
      </c>
      <c r="M1896" s="35" t="s">
        <v>16</v>
      </c>
      <c r="N1896" s="32" t="s">
        <v>34</v>
      </c>
      <c r="O1896" s="32" t="s">
        <v>12</v>
      </c>
      <c r="P1896" s="32" t="s">
        <v>13</v>
      </c>
      <c r="Q1896" s="32" t="s">
        <v>14</v>
      </c>
      <c r="R1896" s="32" t="s">
        <v>15</v>
      </c>
      <c r="S1896" s="32">
        <v>84090</v>
      </c>
      <c r="T1896" s="32">
        <v>4361</v>
      </c>
      <c r="U1896" s="81">
        <v>79729</v>
      </c>
    </row>
    <row r="1897" spans="12:21">
      <c r="L1897" s="35">
        <v>203773</v>
      </c>
      <c r="M1897" s="35" t="s">
        <v>16</v>
      </c>
      <c r="N1897" s="35" t="s">
        <v>37</v>
      </c>
      <c r="O1897" s="35" t="s">
        <v>12</v>
      </c>
      <c r="P1897" s="35" t="s">
        <v>13</v>
      </c>
      <c r="Q1897" s="35" t="s">
        <v>14</v>
      </c>
      <c r="R1897" s="35" t="s">
        <v>15</v>
      </c>
      <c r="S1897" s="35">
        <v>46703</v>
      </c>
      <c r="T1897" s="35">
        <v>325</v>
      </c>
      <c r="U1897" s="81">
        <v>46378</v>
      </c>
    </row>
    <row r="1898" spans="12:21">
      <c r="L1898" s="32">
        <v>134449</v>
      </c>
      <c r="M1898" s="35" t="s">
        <v>16</v>
      </c>
      <c r="N1898" s="32" t="s">
        <v>22</v>
      </c>
      <c r="O1898" s="32" t="s">
        <v>30</v>
      </c>
      <c r="P1898" s="32" t="s">
        <v>13</v>
      </c>
      <c r="Q1898" s="32" t="s">
        <v>28</v>
      </c>
      <c r="R1898" s="32" t="s">
        <v>15</v>
      </c>
      <c r="S1898" s="32">
        <v>47729</v>
      </c>
      <c r="T1898" s="32">
        <v>0</v>
      </c>
      <c r="U1898" s="81">
        <v>47729</v>
      </c>
    </row>
    <row r="1899" spans="12:21">
      <c r="L1899" s="35">
        <v>75961</v>
      </c>
      <c r="M1899" s="35" t="s">
        <v>16</v>
      </c>
      <c r="N1899" s="35" t="s">
        <v>27</v>
      </c>
      <c r="O1899" s="35" t="s">
        <v>33</v>
      </c>
      <c r="P1899" s="35" t="s">
        <v>19</v>
      </c>
      <c r="Q1899" s="35" t="s">
        <v>28</v>
      </c>
      <c r="R1899" s="35" t="s">
        <v>15</v>
      </c>
      <c r="S1899" s="35">
        <v>40390</v>
      </c>
      <c r="T1899" s="35">
        <v>318</v>
      </c>
      <c r="U1899" s="81">
        <v>40072</v>
      </c>
    </row>
    <row r="1900" spans="12:21">
      <c r="L1900" s="32">
        <v>241385</v>
      </c>
      <c r="M1900" s="35" t="s">
        <v>16</v>
      </c>
      <c r="N1900" s="32" t="s">
        <v>35</v>
      </c>
      <c r="O1900" s="32" t="s">
        <v>33</v>
      </c>
      <c r="P1900" s="32" t="s">
        <v>13</v>
      </c>
      <c r="Q1900" s="32" t="s">
        <v>14</v>
      </c>
      <c r="R1900" s="32" t="s">
        <v>24</v>
      </c>
      <c r="S1900" s="32">
        <v>30008</v>
      </c>
      <c r="T1900" s="32">
        <v>161</v>
      </c>
      <c r="U1900" s="81">
        <v>29847</v>
      </c>
    </row>
    <row r="1901" spans="12:21">
      <c r="L1901" s="35">
        <v>172962</v>
      </c>
      <c r="M1901" s="35" t="s">
        <v>16</v>
      </c>
      <c r="N1901" s="35" t="s">
        <v>31</v>
      </c>
      <c r="O1901" s="35" t="s">
        <v>36</v>
      </c>
      <c r="P1901" s="35" t="s">
        <v>19</v>
      </c>
      <c r="Q1901" s="35" t="s">
        <v>28</v>
      </c>
      <c r="R1901" s="35" t="s">
        <v>24</v>
      </c>
      <c r="S1901" s="35">
        <v>6657</v>
      </c>
      <c r="T1901" s="35">
        <v>0</v>
      </c>
      <c r="U1901" s="81">
        <v>6657</v>
      </c>
    </row>
    <row r="1902" spans="12:21">
      <c r="L1902" s="32">
        <v>209832</v>
      </c>
      <c r="M1902" s="35" t="s">
        <v>16</v>
      </c>
      <c r="N1902" s="32" t="s">
        <v>38</v>
      </c>
      <c r="O1902" s="32" t="s">
        <v>12</v>
      </c>
      <c r="P1902" s="32" t="s">
        <v>13</v>
      </c>
      <c r="Q1902" s="32" t="s">
        <v>14</v>
      </c>
      <c r="R1902" s="32" t="s">
        <v>15</v>
      </c>
      <c r="S1902" s="32">
        <v>113967</v>
      </c>
      <c r="T1902" s="32">
        <v>4431</v>
      </c>
      <c r="U1902" s="81">
        <v>109536</v>
      </c>
    </row>
    <row r="1903" spans="12:21">
      <c r="L1903" s="35">
        <v>237184</v>
      </c>
      <c r="M1903" s="35" t="s">
        <v>16</v>
      </c>
      <c r="N1903" s="35" t="s">
        <v>25</v>
      </c>
      <c r="O1903" s="35" t="s">
        <v>33</v>
      </c>
      <c r="P1903" s="35" t="s">
        <v>13</v>
      </c>
      <c r="Q1903" s="35" t="s">
        <v>14</v>
      </c>
      <c r="R1903" s="35" t="s">
        <v>24</v>
      </c>
      <c r="S1903" s="35">
        <v>37298</v>
      </c>
      <c r="T1903" s="35">
        <v>1880</v>
      </c>
      <c r="U1903" s="81">
        <v>35418</v>
      </c>
    </row>
    <row r="1904" spans="12:21">
      <c r="L1904" s="32">
        <v>40587</v>
      </c>
      <c r="M1904" s="35" t="s">
        <v>16</v>
      </c>
      <c r="N1904" s="32" t="s">
        <v>38</v>
      </c>
      <c r="O1904" s="32" t="s">
        <v>33</v>
      </c>
      <c r="P1904" s="32" t="s">
        <v>13</v>
      </c>
      <c r="Q1904" s="32" t="s">
        <v>14</v>
      </c>
      <c r="R1904" s="32" t="s">
        <v>15</v>
      </c>
      <c r="S1904" s="32">
        <v>63641</v>
      </c>
      <c r="T1904" s="32">
        <v>63</v>
      </c>
      <c r="U1904" s="81">
        <v>63578</v>
      </c>
    </row>
    <row r="1905" spans="12:21">
      <c r="L1905" s="35">
        <v>165703</v>
      </c>
      <c r="M1905" s="35" t="s">
        <v>16</v>
      </c>
      <c r="N1905" s="35" t="s">
        <v>27</v>
      </c>
      <c r="O1905" s="35" t="s">
        <v>33</v>
      </c>
      <c r="P1905" s="35" t="s">
        <v>13</v>
      </c>
      <c r="Q1905" s="35" t="s">
        <v>28</v>
      </c>
      <c r="R1905" s="35" t="s">
        <v>24</v>
      </c>
      <c r="S1905" s="35">
        <v>12492</v>
      </c>
      <c r="T1905" s="35">
        <v>0</v>
      </c>
      <c r="U1905" s="81">
        <v>12492</v>
      </c>
    </row>
    <row r="1906" spans="12:21">
      <c r="L1906" s="32">
        <v>175359</v>
      </c>
      <c r="M1906" s="35" t="s">
        <v>16</v>
      </c>
      <c r="N1906" s="32" t="s">
        <v>22</v>
      </c>
      <c r="O1906" s="32" t="s">
        <v>18</v>
      </c>
      <c r="P1906" s="32" t="s">
        <v>13</v>
      </c>
      <c r="Q1906" s="32" t="s">
        <v>14</v>
      </c>
      <c r="R1906" s="32" t="s">
        <v>15</v>
      </c>
      <c r="S1906" s="32">
        <v>995</v>
      </c>
      <c r="T1906" s="32">
        <v>279</v>
      </c>
      <c r="U1906" s="81">
        <v>716</v>
      </c>
    </row>
    <row r="1907" spans="12:21">
      <c r="L1907" s="35">
        <v>172160</v>
      </c>
      <c r="M1907" s="35" t="s">
        <v>16</v>
      </c>
      <c r="N1907" s="35" t="s">
        <v>11</v>
      </c>
      <c r="O1907" s="35" t="s">
        <v>21</v>
      </c>
      <c r="P1907" s="35" t="s">
        <v>13</v>
      </c>
      <c r="Q1907" s="35" t="s">
        <v>14</v>
      </c>
      <c r="R1907" s="35" t="s">
        <v>15</v>
      </c>
      <c r="S1907" s="35">
        <v>44641</v>
      </c>
      <c r="T1907" s="35">
        <v>444</v>
      </c>
      <c r="U1907" s="81">
        <v>44197</v>
      </c>
    </row>
    <row r="1908" spans="12:21">
      <c r="L1908" s="32">
        <v>195840</v>
      </c>
      <c r="M1908" s="35" t="s">
        <v>16</v>
      </c>
      <c r="N1908" s="32" t="s">
        <v>34</v>
      </c>
      <c r="O1908" s="32" t="s">
        <v>26</v>
      </c>
      <c r="P1908" s="32" t="s">
        <v>19</v>
      </c>
      <c r="Q1908" s="32" t="s">
        <v>14</v>
      </c>
      <c r="R1908" s="32" t="s">
        <v>24</v>
      </c>
      <c r="S1908" s="32">
        <v>34034</v>
      </c>
      <c r="T1908" s="32">
        <v>265</v>
      </c>
      <c r="U1908" s="81">
        <v>33769</v>
      </c>
    </row>
    <row r="1909" spans="12:21">
      <c r="L1909" s="35">
        <v>202686</v>
      </c>
      <c r="M1909" s="35" t="s">
        <v>16</v>
      </c>
      <c r="N1909" s="35" t="s">
        <v>37</v>
      </c>
      <c r="O1909" s="35" t="s">
        <v>18</v>
      </c>
      <c r="P1909" s="35" t="s">
        <v>13</v>
      </c>
      <c r="Q1909" s="35" t="s">
        <v>14</v>
      </c>
      <c r="R1909" s="35" t="s">
        <v>15</v>
      </c>
      <c r="S1909" s="35">
        <v>21462</v>
      </c>
      <c r="T1909" s="35">
        <v>0</v>
      </c>
      <c r="U1909" s="81">
        <v>21462</v>
      </c>
    </row>
    <row r="1910" spans="12:21">
      <c r="L1910" s="32">
        <v>251206</v>
      </c>
      <c r="M1910" s="35" t="s">
        <v>16</v>
      </c>
      <c r="N1910" s="32" t="s">
        <v>17</v>
      </c>
      <c r="O1910" s="32" t="s">
        <v>36</v>
      </c>
      <c r="P1910" s="32" t="s">
        <v>19</v>
      </c>
      <c r="Q1910" s="32" t="s">
        <v>14</v>
      </c>
      <c r="R1910" s="32" t="s">
        <v>24</v>
      </c>
      <c r="S1910" s="32">
        <v>36550</v>
      </c>
      <c r="T1910" s="32">
        <v>2936</v>
      </c>
      <c r="U1910" s="81">
        <v>33614</v>
      </c>
    </row>
    <row r="1911" spans="12:21">
      <c r="L1911" s="35">
        <v>219657</v>
      </c>
      <c r="M1911" s="35" t="s">
        <v>16</v>
      </c>
      <c r="N1911" s="35" t="s">
        <v>25</v>
      </c>
      <c r="O1911" s="35" t="s">
        <v>21</v>
      </c>
      <c r="P1911" s="35" t="s">
        <v>13</v>
      </c>
      <c r="Q1911" s="35" t="s">
        <v>28</v>
      </c>
      <c r="R1911" s="35" t="s">
        <v>24</v>
      </c>
      <c r="S1911" s="35">
        <v>55341</v>
      </c>
      <c r="T1911" s="35">
        <v>1625</v>
      </c>
      <c r="U1911" s="81">
        <v>53716</v>
      </c>
    </row>
    <row r="1912" spans="12:21">
      <c r="L1912" s="32">
        <v>155122</v>
      </c>
      <c r="M1912" s="35" t="s">
        <v>16</v>
      </c>
      <c r="N1912" s="32" t="s">
        <v>17</v>
      </c>
      <c r="O1912" s="32" t="s">
        <v>18</v>
      </c>
      <c r="P1912" s="32" t="s">
        <v>19</v>
      </c>
      <c r="Q1912" s="32" t="s">
        <v>28</v>
      </c>
      <c r="R1912" s="32" t="s">
        <v>15</v>
      </c>
      <c r="S1912" s="32">
        <v>25552</v>
      </c>
      <c r="T1912" s="32">
        <v>117</v>
      </c>
      <c r="U1912" s="81">
        <v>25435</v>
      </c>
    </row>
    <row r="1913" spans="12:21">
      <c r="L1913" s="35">
        <v>209635</v>
      </c>
      <c r="M1913" s="35" t="s">
        <v>16</v>
      </c>
      <c r="N1913" s="35" t="s">
        <v>38</v>
      </c>
      <c r="O1913" s="35" t="s">
        <v>33</v>
      </c>
      <c r="P1913" s="35" t="s">
        <v>13</v>
      </c>
      <c r="Q1913" s="35" t="s">
        <v>28</v>
      </c>
      <c r="R1913" s="35" t="s">
        <v>15</v>
      </c>
      <c r="S1913" s="35">
        <v>57115</v>
      </c>
      <c r="T1913" s="35">
        <v>937</v>
      </c>
      <c r="U1913" s="81">
        <v>56178</v>
      </c>
    </row>
    <row r="1914" spans="12:21">
      <c r="L1914" s="32">
        <v>24808</v>
      </c>
      <c r="M1914" s="35" t="s">
        <v>16</v>
      </c>
      <c r="N1914" s="32" t="s">
        <v>11</v>
      </c>
      <c r="O1914" s="32" t="s">
        <v>32</v>
      </c>
      <c r="P1914" s="32" t="s">
        <v>13</v>
      </c>
      <c r="Q1914" s="32" t="s">
        <v>14</v>
      </c>
      <c r="R1914" s="32" t="s">
        <v>15</v>
      </c>
      <c r="S1914" s="32">
        <v>203977</v>
      </c>
      <c r="T1914" s="32">
        <v>36100</v>
      </c>
      <c r="U1914" s="81">
        <v>167877</v>
      </c>
    </row>
    <row r="1915" spans="12:21">
      <c r="L1915" s="35">
        <v>194182</v>
      </c>
      <c r="M1915" s="35" t="s">
        <v>16</v>
      </c>
      <c r="N1915" s="35" t="s">
        <v>11</v>
      </c>
      <c r="O1915" s="35" t="s">
        <v>23</v>
      </c>
      <c r="P1915" s="35" t="s">
        <v>13</v>
      </c>
      <c r="Q1915" s="35" t="s">
        <v>28</v>
      </c>
      <c r="R1915" s="35" t="s">
        <v>15</v>
      </c>
      <c r="S1915" s="35">
        <v>33192</v>
      </c>
      <c r="T1915" s="35">
        <v>269</v>
      </c>
      <c r="U1915" s="81">
        <v>32923</v>
      </c>
    </row>
    <row r="1916" spans="12:21">
      <c r="L1916" s="32">
        <v>176587</v>
      </c>
      <c r="M1916" s="35" t="s">
        <v>16</v>
      </c>
      <c r="N1916" s="32" t="s">
        <v>17</v>
      </c>
      <c r="O1916" s="32" t="s">
        <v>18</v>
      </c>
      <c r="P1916" s="32" t="s">
        <v>19</v>
      </c>
      <c r="Q1916" s="32" t="s">
        <v>28</v>
      </c>
      <c r="R1916" s="32" t="s">
        <v>24</v>
      </c>
      <c r="S1916" s="32">
        <v>30325</v>
      </c>
      <c r="T1916" s="32">
        <v>183</v>
      </c>
      <c r="U1916" s="81">
        <v>30142</v>
      </c>
    </row>
    <row r="1917" spans="12:21">
      <c r="L1917" s="35">
        <v>50450</v>
      </c>
      <c r="M1917" s="35" t="s">
        <v>16</v>
      </c>
      <c r="N1917" s="35" t="s">
        <v>35</v>
      </c>
      <c r="O1917" s="35" t="s">
        <v>12</v>
      </c>
      <c r="P1917" s="35" t="s">
        <v>13</v>
      </c>
      <c r="Q1917" s="35" t="s">
        <v>14</v>
      </c>
      <c r="R1917" s="35" t="s">
        <v>15</v>
      </c>
      <c r="S1917" s="35">
        <v>13812</v>
      </c>
      <c r="T1917" s="35">
        <v>0</v>
      </c>
      <c r="U1917" s="81">
        <v>13812</v>
      </c>
    </row>
    <row r="1918" spans="12:21">
      <c r="L1918" s="32">
        <v>13114</v>
      </c>
      <c r="M1918" s="35" t="s">
        <v>16</v>
      </c>
      <c r="N1918" s="32" t="s">
        <v>34</v>
      </c>
      <c r="O1918" s="32" t="s">
        <v>18</v>
      </c>
      <c r="P1918" s="32" t="s">
        <v>13</v>
      </c>
      <c r="Q1918" s="32" t="s">
        <v>14</v>
      </c>
      <c r="R1918" s="32" t="s">
        <v>15</v>
      </c>
      <c r="S1918" s="32">
        <v>29097</v>
      </c>
      <c r="T1918" s="32">
        <v>6997</v>
      </c>
      <c r="U1918" s="81">
        <v>22100</v>
      </c>
    </row>
    <row r="1919" spans="12:21">
      <c r="L1919" s="35">
        <v>42644</v>
      </c>
      <c r="M1919" s="35" t="s">
        <v>16</v>
      </c>
      <c r="N1919" s="35" t="s">
        <v>35</v>
      </c>
      <c r="O1919" s="35" t="s">
        <v>33</v>
      </c>
      <c r="P1919" s="35" t="s">
        <v>19</v>
      </c>
      <c r="Q1919" s="35" t="s">
        <v>14</v>
      </c>
      <c r="R1919" s="35" t="s">
        <v>24</v>
      </c>
      <c r="S1919" s="35">
        <v>60018</v>
      </c>
      <c r="T1919" s="35">
        <v>469</v>
      </c>
      <c r="U1919" s="81">
        <v>59549</v>
      </c>
    </row>
    <row r="1920" spans="12:21">
      <c r="L1920" s="32">
        <v>171112</v>
      </c>
      <c r="M1920" s="35" t="s">
        <v>16</v>
      </c>
      <c r="N1920" s="32" t="s">
        <v>31</v>
      </c>
      <c r="O1920" s="32" t="s">
        <v>21</v>
      </c>
      <c r="P1920" s="32" t="s">
        <v>19</v>
      </c>
      <c r="Q1920" s="32" t="s">
        <v>28</v>
      </c>
      <c r="R1920" s="32" t="s">
        <v>24</v>
      </c>
      <c r="S1920" s="32">
        <v>11511</v>
      </c>
      <c r="T1920" s="32">
        <v>137</v>
      </c>
      <c r="U1920" s="81">
        <v>11374</v>
      </c>
    </row>
    <row r="1921" spans="12:21">
      <c r="L1921" s="35">
        <v>254527</v>
      </c>
      <c r="M1921" s="35" t="s">
        <v>16</v>
      </c>
      <c r="N1921" s="35" t="s">
        <v>25</v>
      </c>
      <c r="O1921" s="35" t="s">
        <v>33</v>
      </c>
      <c r="P1921" s="35" t="s">
        <v>19</v>
      </c>
      <c r="Q1921" s="35" t="s">
        <v>14</v>
      </c>
      <c r="R1921" s="35" t="s">
        <v>24</v>
      </c>
      <c r="S1921" s="35">
        <v>21113</v>
      </c>
      <c r="T1921" s="35">
        <v>328</v>
      </c>
      <c r="U1921" s="81">
        <v>20785</v>
      </c>
    </row>
    <row r="1922" spans="12:21">
      <c r="L1922" s="32">
        <v>24725</v>
      </c>
      <c r="M1922" s="35" t="s">
        <v>16</v>
      </c>
      <c r="N1922" s="32" t="s">
        <v>35</v>
      </c>
      <c r="O1922" s="32" t="s">
        <v>23</v>
      </c>
      <c r="P1922" s="32" t="s">
        <v>13</v>
      </c>
      <c r="Q1922" s="32" t="s">
        <v>14</v>
      </c>
      <c r="R1922" s="32" t="s">
        <v>15</v>
      </c>
      <c r="S1922" s="32">
        <v>63142</v>
      </c>
      <c r="T1922" s="32">
        <v>4254</v>
      </c>
      <c r="U1922" s="81">
        <v>58888</v>
      </c>
    </row>
    <row r="1923" spans="12:21">
      <c r="L1923" s="35">
        <v>188399</v>
      </c>
      <c r="M1923" s="35" t="s">
        <v>16</v>
      </c>
      <c r="N1923" s="35" t="s">
        <v>38</v>
      </c>
      <c r="O1923" s="35" t="s">
        <v>32</v>
      </c>
      <c r="P1923" s="35" t="s">
        <v>13</v>
      </c>
      <c r="Q1923" s="35" t="s">
        <v>14</v>
      </c>
      <c r="R1923" s="35" t="s">
        <v>15</v>
      </c>
      <c r="S1923" s="35">
        <v>53319</v>
      </c>
      <c r="T1923" s="35">
        <v>0</v>
      </c>
      <c r="U1923" s="81">
        <v>53319</v>
      </c>
    </row>
    <row r="1924" spans="12:21">
      <c r="L1924" s="32">
        <v>223203</v>
      </c>
      <c r="M1924" s="35" t="s">
        <v>16</v>
      </c>
      <c r="N1924" s="32" t="s">
        <v>25</v>
      </c>
      <c r="O1924" s="32" t="s">
        <v>33</v>
      </c>
      <c r="P1924" s="32" t="s">
        <v>19</v>
      </c>
      <c r="Q1924" s="32" t="s">
        <v>28</v>
      </c>
      <c r="R1924" s="32" t="s">
        <v>24</v>
      </c>
      <c r="S1924" s="32">
        <v>18268</v>
      </c>
      <c r="T1924" s="32">
        <v>36</v>
      </c>
      <c r="U1924" s="81">
        <v>18232</v>
      </c>
    </row>
    <row r="1925" spans="12:21">
      <c r="L1925" s="35">
        <v>194889</v>
      </c>
      <c r="M1925" s="35" t="s">
        <v>16</v>
      </c>
      <c r="N1925" s="35" t="s">
        <v>11</v>
      </c>
      <c r="O1925" s="35" t="s">
        <v>33</v>
      </c>
      <c r="P1925" s="35" t="s">
        <v>19</v>
      </c>
      <c r="Q1925" s="35" t="s">
        <v>14</v>
      </c>
      <c r="R1925" s="35" t="s">
        <v>15</v>
      </c>
      <c r="S1925" s="35">
        <v>86314</v>
      </c>
      <c r="T1925" s="35">
        <v>1998</v>
      </c>
      <c r="U1925" s="81">
        <v>84316</v>
      </c>
    </row>
    <row r="1926" spans="12:21">
      <c r="L1926" s="32">
        <v>80861</v>
      </c>
      <c r="M1926" s="35" t="s">
        <v>16</v>
      </c>
      <c r="N1926" s="32" t="s">
        <v>38</v>
      </c>
      <c r="O1926" s="32" t="s">
        <v>33</v>
      </c>
      <c r="P1926" s="32" t="s">
        <v>19</v>
      </c>
      <c r="Q1926" s="32" t="s">
        <v>14</v>
      </c>
      <c r="R1926" s="32" t="s">
        <v>15</v>
      </c>
      <c r="S1926" s="32">
        <v>37153</v>
      </c>
      <c r="T1926" s="32">
        <v>406</v>
      </c>
      <c r="U1926" s="81">
        <v>36747</v>
      </c>
    </row>
    <row r="1927" spans="12:21">
      <c r="L1927" s="35">
        <v>151263</v>
      </c>
      <c r="M1927" s="35" t="s">
        <v>16</v>
      </c>
      <c r="N1927" s="35" t="s">
        <v>22</v>
      </c>
      <c r="O1927" s="35" t="s">
        <v>30</v>
      </c>
      <c r="P1927" s="35" t="s">
        <v>13</v>
      </c>
      <c r="Q1927" s="35" t="s">
        <v>14</v>
      </c>
      <c r="R1927" s="35" t="s">
        <v>24</v>
      </c>
      <c r="S1927" s="35">
        <v>39718</v>
      </c>
      <c r="T1927" s="35">
        <v>3016</v>
      </c>
      <c r="U1927" s="81">
        <v>36702</v>
      </c>
    </row>
    <row r="1928" spans="12:21">
      <c r="L1928" s="32">
        <v>27100</v>
      </c>
      <c r="M1928" s="35" t="s">
        <v>16</v>
      </c>
      <c r="N1928" s="32" t="s">
        <v>35</v>
      </c>
      <c r="O1928" s="32" t="s">
        <v>30</v>
      </c>
      <c r="P1928" s="32" t="s">
        <v>19</v>
      </c>
      <c r="Q1928" s="32" t="s">
        <v>14</v>
      </c>
      <c r="R1928" s="32" t="s">
        <v>24</v>
      </c>
      <c r="S1928" s="32">
        <v>87809</v>
      </c>
      <c r="T1928" s="32">
        <v>8172</v>
      </c>
      <c r="U1928" s="81">
        <v>79637</v>
      </c>
    </row>
    <row r="1929" spans="12:21">
      <c r="L1929" s="35">
        <v>153875</v>
      </c>
      <c r="M1929" s="35" t="s">
        <v>16</v>
      </c>
      <c r="N1929" s="35" t="s">
        <v>25</v>
      </c>
      <c r="O1929" s="35" t="s">
        <v>30</v>
      </c>
      <c r="P1929" s="35" t="s">
        <v>13</v>
      </c>
      <c r="Q1929" s="35" t="s">
        <v>14</v>
      </c>
      <c r="R1929" s="35" t="s">
        <v>15</v>
      </c>
      <c r="S1929" s="35">
        <v>54434</v>
      </c>
      <c r="T1929" s="35">
        <v>888</v>
      </c>
      <c r="U1929" s="81">
        <v>53546</v>
      </c>
    </row>
    <row r="1930" spans="12:21">
      <c r="L1930" s="32">
        <v>57957</v>
      </c>
      <c r="M1930" s="35" t="s">
        <v>16</v>
      </c>
      <c r="N1930" s="32" t="s">
        <v>20</v>
      </c>
      <c r="O1930" s="32" t="s">
        <v>32</v>
      </c>
      <c r="P1930" s="32" t="s">
        <v>13</v>
      </c>
      <c r="Q1930" s="32" t="s">
        <v>14</v>
      </c>
      <c r="R1930" s="32" t="s">
        <v>15</v>
      </c>
      <c r="S1930" s="32">
        <v>19594</v>
      </c>
      <c r="T1930" s="32">
        <v>54</v>
      </c>
      <c r="U1930" s="81">
        <v>19540</v>
      </c>
    </row>
    <row r="1931" spans="12:21">
      <c r="L1931" s="35">
        <v>50588</v>
      </c>
      <c r="M1931" s="35" t="s">
        <v>16</v>
      </c>
      <c r="N1931" s="35" t="s">
        <v>35</v>
      </c>
      <c r="O1931" s="35" t="s">
        <v>12</v>
      </c>
      <c r="P1931" s="35" t="s">
        <v>13</v>
      </c>
      <c r="Q1931" s="35" t="s">
        <v>14</v>
      </c>
      <c r="R1931" s="35" t="s">
        <v>15</v>
      </c>
      <c r="S1931" s="35">
        <v>-80309</v>
      </c>
      <c r="T1931" s="35">
        <v>6086</v>
      </c>
      <c r="U1931" s="81">
        <v>-86395</v>
      </c>
    </row>
    <row r="1932" spans="12:21">
      <c r="L1932" s="32">
        <v>96731</v>
      </c>
      <c r="M1932" s="35" t="s">
        <v>16</v>
      </c>
      <c r="N1932" s="32" t="s">
        <v>34</v>
      </c>
      <c r="O1932" s="32" t="s">
        <v>33</v>
      </c>
      <c r="P1932" s="32" t="s">
        <v>13</v>
      </c>
      <c r="Q1932" s="32" t="s">
        <v>28</v>
      </c>
      <c r="R1932" s="32" t="s">
        <v>15</v>
      </c>
      <c r="S1932" s="32">
        <v>75532</v>
      </c>
      <c r="T1932" s="32">
        <v>2777</v>
      </c>
      <c r="U1932" s="81">
        <v>72755</v>
      </c>
    </row>
    <row r="1933" spans="12:21">
      <c r="L1933" s="35">
        <v>20559</v>
      </c>
      <c r="M1933" s="35" t="s">
        <v>16</v>
      </c>
      <c r="N1933" s="35" t="s">
        <v>11</v>
      </c>
      <c r="O1933" s="35" t="s">
        <v>33</v>
      </c>
      <c r="P1933" s="35" t="s">
        <v>13</v>
      </c>
      <c r="Q1933" s="35" t="s">
        <v>14</v>
      </c>
      <c r="R1933" s="35" t="s">
        <v>24</v>
      </c>
      <c r="S1933" s="35">
        <v>38472</v>
      </c>
      <c r="T1933" s="35">
        <v>1453</v>
      </c>
      <c r="U1933" s="81">
        <v>37019</v>
      </c>
    </row>
    <row r="1934" spans="12:21">
      <c r="L1934" s="32">
        <v>113044</v>
      </c>
      <c r="M1934" s="35" t="s">
        <v>16</v>
      </c>
      <c r="N1934" s="32" t="s">
        <v>22</v>
      </c>
      <c r="O1934" s="32" t="s">
        <v>21</v>
      </c>
      <c r="P1934" s="32" t="s">
        <v>19</v>
      </c>
      <c r="Q1934" s="32" t="s">
        <v>14</v>
      </c>
      <c r="R1934" s="32" t="s">
        <v>15</v>
      </c>
      <c r="S1934" s="32">
        <v>24630</v>
      </c>
      <c r="T1934" s="32">
        <v>59</v>
      </c>
      <c r="U1934" s="81">
        <v>24571</v>
      </c>
    </row>
    <row r="1935" spans="12:21">
      <c r="L1935" s="35">
        <v>211924</v>
      </c>
      <c r="M1935" s="35" t="s">
        <v>16</v>
      </c>
      <c r="N1935" s="35" t="s">
        <v>37</v>
      </c>
      <c r="O1935" s="35" t="s">
        <v>36</v>
      </c>
      <c r="P1935" s="35" t="s">
        <v>13</v>
      </c>
      <c r="Q1935" s="35" t="s">
        <v>14</v>
      </c>
      <c r="R1935" s="35" t="s">
        <v>15</v>
      </c>
      <c r="S1935" s="35">
        <v>71227</v>
      </c>
      <c r="T1935" s="35">
        <v>896</v>
      </c>
      <c r="U1935" s="81">
        <v>70331</v>
      </c>
    </row>
    <row r="1936" spans="12:21">
      <c r="L1936" s="32">
        <v>177714</v>
      </c>
      <c r="M1936" s="35" t="s">
        <v>16</v>
      </c>
      <c r="N1936" s="32" t="s">
        <v>11</v>
      </c>
      <c r="O1936" s="32" t="s">
        <v>36</v>
      </c>
      <c r="P1936" s="32" t="s">
        <v>19</v>
      </c>
      <c r="Q1936" s="32" t="s">
        <v>28</v>
      </c>
      <c r="R1936" s="32" t="s">
        <v>24</v>
      </c>
      <c r="S1936" s="32">
        <v>44382</v>
      </c>
      <c r="T1936" s="32">
        <v>272</v>
      </c>
      <c r="U1936" s="81">
        <v>44110</v>
      </c>
    </row>
    <row r="1937" spans="12:21">
      <c r="L1937" s="35">
        <v>77093</v>
      </c>
      <c r="M1937" s="35" t="s">
        <v>16</v>
      </c>
      <c r="N1937" s="35" t="s">
        <v>35</v>
      </c>
      <c r="O1937" s="35" t="s">
        <v>30</v>
      </c>
      <c r="P1937" s="35" t="s">
        <v>19</v>
      </c>
      <c r="Q1937" s="35" t="s">
        <v>14</v>
      </c>
      <c r="R1937" s="35" t="s">
        <v>15</v>
      </c>
      <c r="S1937" s="35">
        <v>137272</v>
      </c>
      <c r="T1937" s="35">
        <v>2971</v>
      </c>
      <c r="U1937" s="81">
        <v>134301</v>
      </c>
    </row>
    <row r="1938" spans="12:21">
      <c r="L1938" s="32">
        <v>178022</v>
      </c>
      <c r="M1938" s="35" t="s">
        <v>16</v>
      </c>
      <c r="N1938" s="32" t="s">
        <v>25</v>
      </c>
      <c r="O1938" s="32" t="s">
        <v>33</v>
      </c>
      <c r="P1938" s="32" t="s">
        <v>19</v>
      </c>
      <c r="Q1938" s="32" t="s">
        <v>14</v>
      </c>
      <c r="R1938" s="32" t="s">
        <v>15</v>
      </c>
      <c r="S1938" s="32">
        <v>69939</v>
      </c>
      <c r="T1938" s="32">
        <v>1470</v>
      </c>
      <c r="U1938" s="81">
        <v>68469</v>
      </c>
    </row>
    <row r="1939" spans="12:21">
      <c r="L1939" s="35">
        <v>33275</v>
      </c>
      <c r="M1939" s="35" t="s">
        <v>16</v>
      </c>
      <c r="N1939" s="35" t="s">
        <v>27</v>
      </c>
      <c r="O1939" s="35" t="s">
        <v>26</v>
      </c>
      <c r="P1939" s="35" t="s">
        <v>13</v>
      </c>
      <c r="Q1939" s="35" t="s">
        <v>14</v>
      </c>
      <c r="R1939" s="35" t="s">
        <v>15</v>
      </c>
      <c r="S1939" s="35">
        <v>26041</v>
      </c>
      <c r="T1939" s="35">
        <v>5824</v>
      </c>
      <c r="U1939" s="81">
        <v>20217</v>
      </c>
    </row>
    <row r="1940" spans="12:21">
      <c r="L1940" s="32">
        <v>249669</v>
      </c>
      <c r="M1940" s="35" t="s">
        <v>16</v>
      </c>
      <c r="N1940" s="32" t="s">
        <v>34</v>
      </c>
      <c r="O1940" s="32" t="s">
        <v>30</v>
      </c>
      <c r="P1940" s="32" t="s">
        <v>19</v>
      </c>
      <c r="Q1940" s="32" t="s">
        <v>14</v>
      </c>
      <c r="R1940" s="32" t="s">
        <v>24</v>
      </c>
      <c r="S1940" s="32">
        <v>77359</v>
      </c>
      <c r="T1940" s="32">
        <v>2313</v>
      </c>
      <c r="U1940" s="81">
        <v>75046</v>
      </c>
    </row>
    <row r="1941" spans="12:21">
      <c r="L1941" s="35">
        <v>142035</v>
      </c>
      <c r="M1941" s="35" t="s">
        <v>16</v>
      </c>
      <c r="N1941" s="35" t="s">
        <v>17</v>
      </c>
      <c r="O1941" s="35" t="s">
        <v>26</v>
      </c>
      <c r="P1941" s="35" t="s">
        <v>19</v>
      </c>
      <c r="Q1941" s="35" t="s">
        <v>14</v>
      </c>
      <c r="R1941" s="35" t="s">
        <v>24</v>
      </c>
      <c r="S1941" s="35">
        <v>36431</v>
      </c>
      <c r="T1941" s="35">
        <v>324</v>
      </c>
      <c r="U1941" s="81">
        <v>36107</v>
      </c>
    </row>
    <row r="1942" spans="12:21">
      <c r="L1942" s="32">
        <v>218513</v>
      </c>
      <c r="M1942" s="35" t="s">
        <v>16</v>
      </c>
      <c r="N1942" s="32" t="s">
        <v>37</v>
      </c>
      <c r="O1942" s="32" t="s">
        <v>33</v>
      </c>
      <c r="P1942" s="32" t="s">
        <v>13</v>
      </c>
      <c r="Q1942" s="32" t="s">
        <v>14</v>
      </c>
      <c r="R1942" s="32" t="s">
        <v>15</v>
      </c>
      <c r="S1942" s="32">
        <v>17364</v>
      </c>
      <c r="T1942" s="32">
        <v>2112</v>
      </c>
      <c r="U1942" s="81">
        <v>15252</v>
      </c>
    </row>
    <row r="1943" spans="12:21">
      <c r="L1943" s="35">
        <v>105290</v>
      </c>
      <c r="M1943" s="35" t="s">
        <v>16</v>
      </c>
      <c r="N1943" s="35" t="s">
        <v>22</v>
      </c>
      <c r="O1943" s="35" t="s">
        <v>36</v>
      </c>
      <c r="P1943" s="35" t="s">
        <v>13</v>
      </c>
      <c r="Q1943" s="35" t="s">
        <v>14</v>
      </c>
      <c r="R1943" s="35" t="s">
        <v>15</v>
      </c>
      <c r="S1943" s="35">
        <v>34967</v>
      </c>
      <c r="T1943" s="35">
        <v>495</v>
      </c>
      <c r="U1943" s="81">
        <v>34472</v>
      </c>
    </row>
    <row r="1944" spans="12:21">
      <c r="L1944" s="32">
        <v>127505</v>
      </c>
      <c r="M1944" s="35" t="s">
        <v>16</v>
      </c>
      <c r="N1944" s="32" t="s">
        <v>27</v>
      </c>
      <c r="O1944" s="32" t="s">
        <v>30</v>
      </c>
      <c r="P1944" s="32" t="s">
        <v>13</v>
      </c>
      <c r="Q1944" s="32" t="s">
        <v>28</v>
      </c>
      <c r="R1944" s="32" t="s">
        <v>15</v>
      </c>
      <c r="S1944" s="32">
        <v>78369</v>
      </c>
      <c r="T1944" s="32">
        <v>1082</v>
      </c>
      <c r="U1944" s="81">
        <v>77287</v>
      </c>
    </row>
    <row r="1945" spans="12:21">
      <c r="L1945" s="35">
        <v>69177</v>
      </c>
      <c r="M1945" s="35" t="s">
        <v>16</v>
      </c>
      <c r="N1945" s="35" t="s">
        <v>27</v>
      </c>
      <c r="O1945" s="35" t="s">
        <v>30</v>
      </c>
      <c r="P1945" s="35" t="s">
        <v>13</v>
      </c>
      <c r="Q1945" s="35" t="s">
        <v>14</v>
      </c>
      <c r="R1945" s="35" t="s">
        <v>15</v>
      </c>
      <c r="S1945" s="35">
        <v>36178</v>
      </c>
      <c r="T1945" s="35">
        <v>484</v>
      </c>
      <c r="U1945" s="81">
        <v>35694</v>
      </c>
    </row>
    <row r="1946" spans="12:21">
      <c r="L1946" s="32">
        <v>147916</v>
      </c>
      <c r="M1946" s="35" t="s">
        <v>16</v>
      </c>
      <c r="N1946" s="32" t="s">
        <v>17</v>
      </c>
      <c r="O1946" s="32" t="s">
        <v>18</v>
      </c>
      <c r="P1946" s="32" t="s">
        <v>13</v>
      </c>
      <c r="Q1946" s="32" t="s">
        <v>14</v>
      </c>
      <c r="R1946" s="32" t="s">
        <v>24</v>
      </c>
      <c r="S1946" s="32">
        <v>11801</v>
      </c>
      <c r="T1946" s="32">
        <v>189</v>
      </c>
      <c r="U1946" s="81">
        <v>11612</v>
      </c>
    </row>
    <row r="1947" spans="12:21">
      <c r="L1947" s="35">
        <v>111316</v>
      </c>
      <c r="M1947" s="35" t="s">
        <v>16</v>
      </c>
      <c r="N1947" s="35" t="s">
        <v>17</v>
      </c>
      <c r="O1947" s="35" t="s">
        <v>18</v>
      </c>
      <c r="P1947" s="35" t="s">
        <v>19</v>
      </c>
      <c r="Q1947" s="35" t="s">
        <v>14</v>
      </c>
      <c r="R1947" s="35" t="s">
        <v>24</v>
      </c>
      <c r="S1947" s="35">
        <v>2132</v>
      </c>
      <c r="T1947" s="35">
        <v>0</v>
      </c>
      <c r="U1947" s="81">
        <v>2132</v>
      </c>
    </row>
    <row r="1948" spans="12:21">
      <c r="L1948" s="32">
        <v>78098</v>
      </c>
      <c r="M1948" s="35" t="s">
        <v>16</v>
      </c>
      <c r="N1948" s="32" t="s">
        <v>27</v>
      </c>
      <c r="O1948" s="32" t="s">
        <v>33</v>
      </c>
      <c r="P1948" s="32" t="s">
        <v>19</v>
      </c>
      <c r="Q1948" s="32" t="s">
        <v>28</v>
      </c>
      <c r="R1948" s="32" t="s">
        <v>24</v>
      </c>
      <c r="S1948" s="32">
        <v>29960</v>
      </c>
      <c r="T1948" s="32">
        <v>0</v>
      </c>
      <c r="U1948" s="81">
        <v>29960</v>
      </c>
    </row>
    <row r="1949" spans="12:21">
      <c r="L1949" s="35">
        <v>168970</v>
      </c>
      <c r="M1949" s="35" t="s">
        <v>16</v>
      </c>
      <c r="N1949" s="35" t="s">
        <v>22</v>
      </c>
      <c r="O1949" s="35" t="s">
        <v>30</v>
      </c>
      <c r="P1949" s="35" t="s">
        <v>19</v>
      </c>
      <c r="Q1949" s="35" t="s">
        <v>14</v>
      </c>
      <c r="R1949" s="35" t="s">
        <v>15</v>
      </c>
      <c r="S1949" s="35">
        <v>59246</v>
      </c>
      <c r="T1949" s="35">
        <v>3589</v>
      </c>
      <c r="U1949" s="81">
        <v>55657</v>
      </c>
    </row>
    <row r="1950" spans="12:21">
      <c r="L1950" s="32">
        <v>28428</v>
      </c>
      <c r="M1950" s="35" t="s">
        <v>16</v>
      </c>
      <c r="N1950" s="32" t="s">
        <v>11</v>
      </c>
      <c r="O1950" s="32" t="s">
        <v>32</v>
      </c>
      <c r="P1950" s="32" t="s">
        <v>13</v>
      </c>
      <c r="Q1950" s="32" t="s">
        <v>14</v>
      </c>
      <c r="R1950" s="32" t="s">
        <v>15</v>
      </c>
      <c r="S1950" s="32">
        <v>3447</v>
      </c>
      <c r="T1950" s="32">
        <v>121</v>
      </c>
      <c r="U1950" s="81">
        <v>3326</v>
      </c>
    </row>
    <row r="1951" spans="12:21">
      <c r="L1951" s="35">
        <v>217957</v>
      </c>
      <c r="M1951" s="35" t="s">
        <v>16</v>
      </c>
      <c r="N1951" s="35" t="s">
        <v>39</v>
      </c>
      <c r="O1951" s="35" t="s">
        <v>32</v>
      </c>
      <c r="P1951" s="35" t="s">
        <v>19</v>
      </c>
      <c r="Q1951" s="35" t="s">
        <v>14</v>
      </c>
      <c r="R1951" s="35" t="s">
        <v>15</v>
      </c>
      <c r="S1951" s="35">
        <v>41775</v>
      </c>
      <c r="T1951" s="35">
        <v>131</v>
      </c>
      <c r="U1951" s="81">
        <v>41644</v>
      </c>
    </row>
    <row r="1952" spans="12:21">
      <c r="L1952" s="32">
        <v>176297</v>
      </c>
      <c r="M1952" s="35" t="s">
        <v>16</v>
      </c>
      <c r="N1952" s="32" t="s">
        <v>27</v>
      </c>
      <c r="O1952" s="32" t="s">
        <v>30</v>
      </c>
      <c r="P1952" s="32" t="s">
        <v>13</v>
      </c>
      <c r="Q1952" s="32" t="s">
        <v>14</v>
      </c>
      <c r="R1952" s="32" t="s">
        <v>15</v>
      </c>
      <c r="S1952" s="32">
        <v>73515</v>
      </c>
      <c r="T1952" s="32">
        <v>1909</v>
      </c>
      <c r="U1952" s="81">
        <v>71606</v>
      </c>
    </row>
    <row r="1953" spans="12:21">
      <c r="L1953" s="35">
        <v>121786</v>
      </c>
      <c r="M1953" s="35" t="s">
        <v>16</v>
      </c>
      <c r="N1953" s="35" t="s">
        <v>22</v>
      </c>
      <c r="O1953" s="35" t="s">
        <v>30</v>
      </c>
      <c r="P1953" s="35" t="s">
        <v>13</v>
      </c>
      <c r="Q1953" s="35" t="s">
        <v>28</v>
      </c>
      <c r="R1953" s="35" t="s">
        <v>15</v>
      </c>
      <c r="S1953" s="35">
        <v>75117</v>
      </c>
      <c r="T1953" s="35">
        <v>184</v>
      </c>
      <c r="U1953" s="81">
        <v>74933</v>
      </c>
    </row>
    <row r="1954" spans="12:21">
      <c r="L1954" s="32">
        <v>8660</v>
      </c>
      <c r="M1954" s="35" t="s">
        <v>16</v>
      </c>
      <c r="N1954" s="32" t="s">
        <v>37</v>
      </c>
      <c r="O1954" s="32" t="s">
        <v>21</v>
      </c>
      <c r="P1954" s="32" t="s">
        <v>19</v>
      </c>
      <c r="Q1954" s="32" t="s">
        <v>28</v>
      </c>
      <c r="R1954" s="32" t="s">
        <v>15</v>
      </c>
      <c r="S1954" s="32">
        <v>49250</v>
      </c>
      <c r="T1954" s="32">
        <v>83</v>
      </c>
      <c r="U1954" s="81">
        <v>49167</v>
      </c>
    </row>
    <row r="1955" spans="12:21">
      <c r="L1955" s="35">
        <v>16978</v>
      </c>
      <c r="M1955" s="35" t="s">
        <v>16</v>
      </c>
      <c r="N1955" s="35" t="s">
        <v>11</v>
      </c>
      <c r="O1955" s="35" t="s">
        <v>12</v>
      </c>
      <c r="P1955" s="35" t="s">
        <v>13</v>
      </c>
      <c r="Q1955" s="35" t="s">
        <v>14</v>
      </c>
      <c r="R1955" s="35" t="s">
        <v>15</v>
      </c>
      <c r="S1955" s="35">
        <v>39499</v>
      </c>
      <c r="T1955" s="35">
        <v>532</v>
      </c>
      <c r="U1955" s="81">
        <v>38967</v>
      </c>
    </row>
    <row r="1956" spans="12:21">
      <c r="L1956" s="32">
        <v>180577</v>
      </c>
      <c r="M1956" s="35" t="s">
        <v>16</v>
      </c>
      <c r="N1956" s="32" t="s">
        <v>17</v>
      </c>
      <c r="O1956" s="32" t="s">
        <v>36</v>
      </c>
      <c r="P1956" s="32" t="s">
        <v>19</v>
      </c>
      <c r="Q1956" s="32" t="s">
        <v>14</v>
      </c>
      <c r="R1956" s="32" t="s">
        <v>24</v>
      </c>
      <c r="S1956" s="32">
        <v>4148</v>
      </c>
      <c r="T1956" s="32">
        <v>18</v>
      </c>
      <c r="U1956" s="81">
        <v>4130</v>
      </c>
    </row>
    <row r="1957" spans="12:21">
      <c r="L1957" s="35">
        <v>154567</v>
      </c>
      <c r="M1957" s="35" t="s">
        <v>16</v>
      </c>
      <c r="N1957" s="35" t="s">
        <v>25</v>
      </c>
      <c r="O1957" s="35" t="s">
        <v>21</v>
      </c>
      <c r="P1957" s="35" t="s">
        <v>13</v>
      </c>
      <c r="Q1957" s="35" t="s">
        <v>14</v>
      </c>
      <c r="R1957" s="35" t="s">
        <v>15</v>
      </c>
      <c r="S1957" s="35">
        <v>52490</v>
      </c>
      <c r="T1957" s="35">
        <v>294</v>
      </c>
      <c r="U1957" s="81">
        <v>52196</v>
      </c>
    </row>
    <row r="1958" spans="12:21">
      <c r="L1958" s="32">
        <v>154411</v>
      </c>
      <c r="M1958" s="35" t="s">
        <v>16</v>
      </c>
      <c r="N1958" s="32" t="s">
        <v>35</v>
      </c>
      <c r="O1958" s="32" t="s">
        <v>30</v>
      </c>
      <c r="P1958" s="32" t="s">
        <v>13</v>
      </c>
      <c r="Q1958" s="32" t="s">
        <v>28</v>
      </c>
      <c r="R1958" s="32" t="s">
        <v>15</v>
      </c>
      <c r="S1958" s="32">
        <v>11874</v>
      </c>
      <c r="T1958" s="32">
        <v>0</v>
      </c>
      <c r="U1958" s="81">
        <v>11874</v>
      </c>
    </row>
    <row r="1959" spans="12:21">
      <c r="L1959" s="35">
        <v>7270</v>
      </c>
      <c r="M1959" s="35" t="s">
        <v>16</v>
      </c>
      <c r="N1959" s="35" t="s">
        <v>20</v>
      </c>
      <c r="O1959" s="35" t="s">
        <v>32</v>
      </c>
      <c r="P1959" s="35" t="s">
        <v>13</v>
      </c>
      <c r="Q1959" s="35" t="s">
        <v>14</v>
      </c>
      <c r="R1959" s="35" t="s">
        <v>15</v>
      </c>
      <c r="S1959" s="35">
        <v>20920</v>
      </c>
      <c r="T1959" s="35">
        <v>0</v>
      </c>
      <c r="U1959" s="81">
        <v>20920</v>
      </c>
    </row>
    <row r="1960" spans="12:21">
      <c r="L1960" s="32">
        <v>64798</v>
      </c>
      <c r="M1960" s="35" t="s">
        <v>16</v>
      </c>
      <c r="N1960" s="32" t="s">
        <v>27</v>
      </c>
      <c r="O1960" s="32" t="s">
        <v>32</v>
      </c>
      <c r="P1960" s="32" t="s">
        <v>13</v>
      </c>
      <c r="Q1960" s="32" t="s">
        <v>14</v>
      </c>
      <c r="R1960" s="32" t="s">
        <v>24</v>
      </c>
      <c r="S1960" s="32">
        <v>12989</v>
      </c>
      <c r="T1960" s="32">
        <v>0</v>
      </c>
      <c r="U1960" s="81">
        <v>12989</v>
      </c>
    </row>
    <row r="1961" spans="12:21">
      <c r="L1961" s="35">
        <v>248493</v>
      </c>
      <c r="M1961" s="35" t="s">
        <v>16</v>
      </c>
      <c r="N1961" s="35" t="s">
        <v>22</v>
      </c>
      <c r="O1961" s="35" t="s">
        <v>33</v>
      </c>
      <c r="P1961" s="35" t="s">
        <v>13</v>
      </c>
      <c r="Q1961" s="35" t="s">
        <v>14</v>
      </c>
      <c r="R1961" s="35" t="s">
        <v>24</v>
      </c>
      <c r="S1961" s="35">
        <v>59941</v>
      </c>
      <c r="T1961" s="35">
        <v>1677</v>
      </c>
      <c r="U1961" s="81">
        <v>58264</v>
      </c>
    </row>
    <row r="1962" spans="12:21">
      <c r="L1962" s="32">
        <v>36906</v>
      </c>
      <c r="M1962" s="35" t="s">
        <v>16</v>
      </c>
      <c r="N1962" s="32" t="s">
        <v>35</v>
      </c>
      <c r="O1962" s="32" t="s">
        <v>33</v>
      </c>
      <c r="P1962" s="32" t="s">
        <v>13</v>
      </c>
      <c r="Q1962" s="32" t="s">
        <v>28</v>
      </c>
      <c r="R1962" s="32" t="s">
        <v>15</v>
      </c>
      <c r="S1962" s="32">
        <v>38</v>
      </c>
      <c r="T1962" s="32">
        <v>0</v>
      </c>
      <c r="U1962" s="81">
        <v>38</v>
      </c>
    </row>
    <row r="1963" spans="12:21">
      <c r="L1963" s="35">
        <v>25268</v>
      </c>
      <c r="M1963" s="35" t="s">
        <v>16</v>
      </c>
      <c r="N1963" s="35" t="s">
        <v>11</v>
      </c>
      <c r="O1963" s="35" t="s">
        <v>32</v>
      </c>
      <c r="P1963" s="35" t="s">
        <v>13</v>
      </c>
      <c r="Q1963" s="35" t="s">
        <v>14</v>
      </c>
      <c r="R1963" s="35" t="s">
        <v>15</v>
      </c>
      <c r="S1963" s="35">
        <v>6093</v>
      </c>
      <c r="T1963" s="35">
        <v>0</v>
      </c>
      <c r="U1963" s="81">
        <v>6093</v>
      </c>
    </row>
    <row r="1964" spans="12:21">
      <c r="L1964" s="32">
        <v>206128</v>
      </c>
      <c r="M1964" s="35" t="s">
        <v>16</v>
      </c>
      <c r="N1964" s="32" t="s">
        <v>11</v>
      </c>
      <c r="O1964" s="32" t="s">
        <v>32</v>
      </c>
      <c r="P1964" s="32" t="s">
        <v>13</v>
      </c>
      <c r="Q1964" s="32" t="s">
        <v>14</v>
      </c>
      <c r="R1964" s="32" t="s">
        <v>24</v>
      </c>
      <c r="S1964" s="32">
        <v>-32058</v>
      </c>
      <c r="T1964" s="32">
        <v>487</v>
      </c>
      <c r="U1964" s="81">
        <v>-32545</v>
      </c>
    </row>
    <row r="1965" spans="12:21">
      <c r="L1965" s="35">
        <v>9748</v>
      </c>
      <c r="M1965" s="35" t="s">
        <v>16</v>
      </c>
      <c r="N1965" s="35" t="s">
        <v>20</v>
      </c>
      <c r="O1965" s="35" t="s">
        <v>32</v>
      </c>
      <c r="P1965" s="35" t="s">
        <v>19</v>
      </c>
      <c r="Q1965" s="35" t="s">
        <v>14</v>
      </c>
      <c r="R1965" s="35" t="s">
        <v>24</v>
      </c>
      <c r="S1965" s="35">
        <v>4081</v>
      </c>
      <c r="T1965" s="35">
        <v>0</v>
      </c>
      <c r="U1965" s="81">
        <v>4081</v>
      </c>
    </row>
    <row r="1966" spans="12:21">
      <c r="L1966" s="32">
        <v>91336</v>
      </c>
      <c r="M1966" s="35" t="s">
        <v>16</v>
      </c>
      <c r="N1966" s="32" t="s">
        <v>39</v>
      </c>
      <c r="O1966" s="32" t="s">
        <v>32</v>
      </c>
      <c r="P1966" s="32" t="s">
        <v>13</v>
      </c>
      <c r="Q1966" s="32" t="s">
        <v>14</v>
      </c>
      <c r="R1966" s="32" t="s">
        <v>15</v>
      </c>
      <c r="S1966" s="32">
        <v>82385</v>
      </c>
      <c r="T1966" s="32">
        <v>287</v>
      </c>
      <c r="U1966" s="81">
        <v>82098</v>
      </c>
    </row>
    <row r="1967" spans="12:21">
      <c r="L1967" s="35">
        <v>247868</v>
      </c>
      <c r="M1967" s="35" t="s">
        <v>16</v>
      </c>
      <c r="N1967" s="35" t="s">
        <v>17</v>
      </c>
      <c r="O1967" s="35" t="s">
        <v>36</v>
      </c>
      <c r="P1967" s="35" t="s">
        <v>19</v>
      </c>
      <c r="Q1967" s="35" t="s">
        <v>14</v>
      </c>
      <c r="R1967" s="35" t="s">
        <v>24</v>
      </c>
      <c r="S1967" s="35">
        <v>24605</v>
      </c>
      <c r="T1967" s="35">
        <v>752</v>
      </c>
      <c r="U1967" s="81">
        <v>23853</v>
      </c>
    </row>
    <row r="1968" spans="12:21">
      <c r="L1968" s="32">
        <v>88435</v>
      </c>
      <c r="M1968" s="35" t="s">
        <v>16</v>
      </c>
      <c r="N1968" s="32" t="s">
        <v>37</v>
      </c>
      <c r="O1968" s="32" t="s">
        <v>33</v>
      </c>
      <c r="P1968" s="32" t="s">
        <v>19</v>
      </c>
      <c r="Q1968" s="32" t="s">
        <v>14</v>
      </c>
      <c r="R1968" s="32" t="s">
        <v>24</v>
      </c>
      <c r="S1968" s="32">
        <v>50446</v>
      </c>
      <c r="T1968" s="32">
        <v>269</v>
      </c>
      <c r="U1968" s="81">
        <v>50177</v>
      </c>
    </row>
    <row r="1969" spans="12:21">
      <c r="L1969" s="35">
        <v>97312</v>
      </c>
      <c r="M1969" s="35" t="s">
        <v>16</v>
      </c>
      <c r="N1969" s="35" t="s">
        <v>39</v>
      </c>
      <c r="O1969" s="35" t="s">
        <v>32</v>
      </c>
      <c r="P1969" s="35" t="s">
        <v>13</v>
      </c>
      <c r="Q1969" s="35" t="s">
        <v>14</v>
      </c>
      <c r="R1969" s="35" t="s">
        <v>15</v>
      </c>
      <c r="S1969" s="35">
        <v>17843</v>
      </c>
      <c r="T1969" s="35">
        <v>0</v>
      </c>
      <c r="U1969" s="81">
        <v>17843</v>
      </c>
    </row>
    <row r="1970" spans="12:21">
      <c r="L1970" s="32">
        <v>90600</v>
      </c>
      <c r="M1970" s="35" t="s">
        <v>16</v>
      </c>
      <c r="N1970" s="32" t="s">
        <v>37</v>
      </c>
      <c r="O1970" s="32" t="s">
        <v>26</v>
      </c>
      <c r="P1970" s="32" t="s">
        <v>13</v>
      </c>
      <c r="Q1970" s="32" t="s">
        <v>28</v>
      </c>
      <c r="R1970" s="32" t="s">
        <v>15</v>
      </c>
      <c r="S1970" s="32">
        <v>49587</v>
      </c>
      <c r="T1970" s="32">
        <v>542</v>
      </c>
      <c r="U1970" s="81">
        <v>49045</v>
      </c>
    </row>
    <row r="1971" spans="12:21">
      <c r="L1971" s="35">
        <v>51995</v>
      </c>
      <c r="M1971" s="35" t="s">
        <v>16</v>
      </c>
      <c r="N1971" s="35" t="s">
        <v>35</v>
      </c>
      <c r="O1971" s="35" t="s">
        <v>23</v>
      </c>
      <c r="P1971" s="35" t="s">
        <v>13</v>
      </c>
      <c r="Q1971" s="35" t="s">
        <v>28</v>
      </c>
      <c r="R1971" s="35" t="s">
        <v>15</v>
      </c>
      <c r="S1971" s="35">
        <v>28927</v>
      </c>
      <c r="T1971" s="35">
        <v>599</v>
      </c>
      <c r="U1971" s="81">
        <v>28328</v>
      </c>
    </row>
    <row r="1972" spans="12:21">
      <c r="L1972" s="32">
        <v>237221</v>
      </c>
      <c r="M1972" s="35" t="s">
        <v>16</v>
      </c>
      <c r="N1972" s="32" t="s">
        <v>17</v>
      </c>
      <c r="O1972" s="32" t="s">
        <v>21</v>
      </c>
      <c r="P1972" s="32" t="s">
        <v>19</v>
      </c>
      <c r="Q1972" s="32" t="s">
        <v>14</v>
      </c>
      <c r="R1972" s="32" t="s">
        <v>24</v>
      </c>
      <c r="S1972" s="32">
        <v>31064</v>
      </c>
      <c r="T1972" s="32">
        <v>282</v>
      </c>
      <c r="U1972" s="81">
        <v>30782</v>
      </c>
    </row>
    <row r="1973" spans="12:21">
      <c r="L1973" s="35">
        <v>84823</v>
      </c>
      <c r="M1973" s="35" t="s">
        <v>16</v>
      </c>
      <c r="N1973" s="35" t="s">
        <v>11</v>
      </c>
      <c r="O1973" s="35" t="s">
        <v>18</v>
      </c>
      <c r="P1973" s="35" t="s">
        <v>19</v>
      </c>
      <c r="Q1973" s="35" t="s">
        <v>14</v>
      </c>
      <c r="R1973" s="35" t="s">
        <v>15</v>
      </c>
      <c r="S1973" s="35">
        <v>49063</v>
      </c>
      <c r="T1973" s="35">
        <v>1000</v>
      </c>
      <c r="U1973" s="81">
        <v>48063</v>
      </c>
    </row>
    <row r="1974" spans="12:21">
      <c r="L1974" s="32">
        <v>92893</v>
      </c>
      <c r="M1974" s="35" t="s">
        <v>16</v>
      </c>
      <c r="N1974" s="32" t="s">
        <v>37</v>
      </c>
      <c r="O1974" s="32" t="s">
        <v>30</v>
      </c>
      <c r="P1974" s="32" t="s">
        <v>13</v>
      </c>
      <c r="Q1974" s="32" t="s">
        <v>14</v>
      </c>
      <c r="R1974" s="32" t="s">
        <v>15</v>
      </c>
      <c r="S1974" s="32">
        <v>26983</v>
      </c>
      <c r="T1974" s="32">
        <v>1109</v>
      </c>
      <c r="U1974" s="81">
        <v>25874</v>
      </c>
    </row>
    <row r="1975" spans="12:21">
      <c r="L1975" s="35">
        <v>91058</v>
      </c>
      <c r="M1975" s="35" t="s">
        <v>16</v>
      </c>
      <c r="N1975" s="35" t="s">
        <v>38</v>
      </c>
      <c r="O1975" s="35" t="s">
        <v>18</v>
      </c>
      <c r="P1975" s="35" t="s">
        <v>13</v>
      </c>
      <c r="Q1975" s="35" t="s">
        <v>14</v>
      </c>
      <c r="R1975" s="35" t="s">
        <v>15</v>
      </c>
      <c r="S1975" s="35">
        <v>18227</v>
      </c>
      <c r="T1975" s="35">
        <v>481</v>
      </c>
      <c r="U1975" s="81">
        <v>17746</v>
      </c>
    </row>
    <row r="1976" spans="12:21">
      <c r="L1976" s="32">
        <v>45215</v>
      </c>
      <c r="M1976" s="35" t="s">
        <v>16</v>
      </c>
      <c r="N1976" s="32" t="s">
        <v>35</v>
      </c>
      <c r="O1976" s="32" t="s">
        <v>36</v>
      </c>
      <c r="P1976" s="32" t="s">
        <v>13</v>
      </c>
      <c r="Q1976" s="32" t="s">
        <v>14</v>
      </c>
      <c r="R1976" s="32" t="s">
        <v>24</v>
      </c>
      <c r="S1976" s="32">
        <v>15687</v>
      </c>
      <c r="T1976" s="32">
        <v>394</v>
      </c>
      <c r="U1976" s="81">
        <v>15293</v>
      </c>
    </row>
    <row r="1977" spans="12:21">
      <c r="L1977" s="35">
        <v>17674</v>
      </c>
      <c r="M1977" s="35" t="s">
        <v>16</v>
      </c>
      <c r="N1977" s="35" t="s">
        <v>34</v>
      </c>
      <c r="O1977" s="35" t="s">
        <v>32</v>
      </c>
      <c r="P1977" s="35" t="s">
        <v>19</v>
      </c>
      <c r="Q1977" s="35" t="s">
        <v>28</v>
      </c>
      <c r="R1977" s="35" t="s">
        <v>15</v>
      </c>
      <c r="S1977" s="35">
        <v>25214</v>
      </c>
      <c r="T1977" s="35">
        <v>0</v>
      </c>
      <c r="U1977" s="81">
        <v>25214</v>
      </c>
    </row>
    <row r="1978" spans="12:21">
      <c r="L1978" s="32">
        <v>121669</v>
      </c>
      <c r="M1978" s="35" t="s">
        <v>16</v>
      </c>
      <c r="N1978" s="32" t="s">
        <v>22</v>
      </c>
      <c r="O1978" s="32" t="s">
        <v>21</v>
      </c>
      <c r="P1978" s="32" t="s">
        <v>13</v>
      </c>
      <c r="Q1978" s="32" t="s">
        <v>28</v>
      </c>
      <c r="R1978" s="32" t="s">
        <v>15</v>
      </c>
      <c r="S1978" s="32">
        <v>18</v>
      </c>
      <c r="T1978" s="32">
        <v>0</v>
      </c>
      <c r="U1978" s="81">
        <v>18</v>
      </c>
    </row>
    <row r="1979" spans="12:21">
      <c r="L1979" s="35">
        <v>214730</v>
      </c>
      <c r="M1979" s="35" t="s">
        <v>16</v>
      </c>
      <c r="N1979" s="35" t="s">
        <v>34</v>
      </c>
      <c r="O1979" s="35" t="s">
        <v>30</v>
      </c>
      <c r="P1979" s="35" t="s">
        <v>13</v>
      </c>
      <c r="Q1979" s="35" t="s">
        <v>14</v>
      </c>
      <c r="R1979" s="35" t="s">
        <v>15</v>
      </c>
      <c r="S1979" s="35">
        <v>69307</v>
      </c>
      <c r="T1979" s="35">
        <v>0</v>
      </c>
      <c r="U1979" s="81">
        <v>69307</v>
      </c>
    </row>
    <row r="1980" spans="12:21">
      <c r="L1980" s="32">
        <v>138562</v>
      </c>
      <c r="M1980" s="35" t="s">
        <v>16</v>
      </c>
      <c r="N1980" s="32" t="s">
        <v>22</v>
      </c>
      <c r="O1980" s="32" t="s">
        <v>30</v>
      </c>
      <c r="P1980" s="32" t="s">
        <v>13</v>
      </c>
      <c r="Q1980" s="32" t="s">
        <v>14</v>
      </c>
      <c r="R1980" s="32" t="s">
        <v>15</v>
      </c>
      <c r="S1980" s="32">
        <v>86371</v>
      </c>
      <c r="T1980" s="32">
        <v>4503</v>
      </c>
      <c r="U1980" s="81">
        <v>81868</v>
      </c>
    </row>
    <row r="1981" spans="12:21">
      <c r="L1981" s="35">
        <v>38177</v>
      </c>
      <c r="M1981" s="35" t="s">
        <v>16</v>
      </c>
      <c r="N1981" s="35" t="s">
        <v>37</v>
      </c>
      <c r="O1981" s="35" t="s">
        <v>26</v>
      </c>
      <c r="P1981" s="35" t="s">
        <v>13</v>
      </c>
      <c r="Q1981" s="35" t="s">
        <v>14</v>
      </c>
      <c r="R1981" s="35" t="s">
        <v>15</v>
      </c>
      <c r="S1981" s="35">
        <v>21247</v>
      </c>
      <c r="T1981" s="35">
        <v>568</v>
      </c>
      <c r="U1981" s="81">
        <v>20679</v>
      </c>
    </row>
    <row r="1982" spans="12:21">
      <c r="L1982" s="32">
        <v>155738</v>
      </c>
      <c r="M1982" s="35" t="s">
        <v>16</v>
      </c>
      <c r="N1982" s="32" t="s">
        <v>38</v>
      </c>
      <c r="O1982" s="32" t="s">
        <v>30</v>
      </c>
      <c r="P1982" s="32" t="s">
        <v>13</v>
      </c>
      <c r="Q1982" s="32" t="s">
        <v>14</v>
      </c>
      <c r="R1982" s="32" t="s">
        <v>15</v>
      </c>
      <c r="S1982" s="32">
        <v>13556</v>
      </c>
      <c r="T1982" s="32">
        <v>0</v>
      </c>
      <c r="U1982" s="81">
        <v>13556</v>
      </c>
    </row>
    <row r="1983" spans="12:21">
      <c r="L1983" s="35">
        <v>50965</v>
      </c>
      <c r="M1983" s="35" t="s">
        <v>16</v>
      </c>
      <c r="N1983" s="35" t="s">
        <v>35</v>
      </c>
      <c r="O1983" s="35" t="s">
        <v>33</v>
      </c>
      <c r="P1983" s="35" t="s">
        <v>13</v>
      </c>
      <c r="Q1983" s="35" t="s">
        <v>14</v>
      </c>
      <c r="R1983" s="35" t="s">
        <v>15</v>
      </c>
      <c r="S1983" s="35">
        <v>32763</v>
      </c>
      <c r="T1983" s="35">
        <v>283</v>
      </c>
      <c r="U1983" s="81">
        <v>32480</v>
      </c>
    </row>
    <row r="1984" spans="12:21">
      <c r="L1984" s="32">
        <v>15545</v>
      </c>
      <c r="M1984" s="35" t="s">
        <v>16</v>
      </c>
      <c r="N1984" s="32" t="s">
        <v>11</v>
      </c>
      <c r="O1984" s="32" t="s">
        <v>30</v>
      </c>
      <c r="P1984" s="32" t="s">
        <v>13</v>
      </c>
      <c r="Q1984" s="32" t="s">
        <v>14</v>
      </c>
      <c r="R1984" s="32" t="s">
        <v>15</v>
      </c>
      <c r="S1984" s="32">
        <v>38194</v>
      </c>
      <c r="T1984" s="32">
        <v>8101</v>
      </c>
      <c r="U1984" s="81">
        <v>30093</v>
      </c>
    </row>
    <row r="1985" spans="12:21">
      <c r="L1985" s="35">
        <v>43154</v>
      </c>
      <c r="M1985" s="35" t="s">
        <v>16</v>
      </c>
      <c r="N1985" s="35" t="s">
        <v>11</v>
      </c>
      <c r="O1985" s="35" t="s">
        <v>30</v>
      </c>
      <c r="P1985" s="35" t="s">
        <v>19</v>
      </c>
      <c r="Q1985" s="35" t="s">
        <v>14</v>
      </c>
      <c r="R1985" s="35" t="s">
        <v>15</v>
      </c>
      <c r="S1985" s="35">
        <v>71716</v>
      </c>
      <c r="T1985" s="35">
        <v>2334</v>
      </c>
      <c r="U1985" s="81">
        <v>69382</v>
      </c>
    </row>
    <row r="1986" spans="12:21">
      <c r="L1986" s="32">
        <v>248962</v>
      </c>
      <c r="M1986" s="35" t="s">
        <v>16</v>
      </c>
      <c r="N1986" s="32" t="s">
        <v>25</v>
      </c>
      <c r="O1986" s="32" t="s">
        <v>18</v>
      </c>
      <c r="P1986" s="32" t="s">
        <v>13</v>
      </c>
      <c r="Q1986" s="32" t="s">
        <v>14</v>
      </c>
      <c r="R1986" s="32" t="s">
        <v>15</v>
      </c>
      <c r="S1986" s="32">
        <v>23782</v>
      </c>
      <c r="T1986" s="32">
        <v>273</v>
      </c>
      <c r="U1986" s="81">
        <v>23509</v>
      </c>
    </row>
    <row r="1987" spans="12:21">
      <c r="L1987" s="35">
        <v>35604</v>
      </c>
      <c r="M1987" s="35" t="s">
        <v>16</v>
      </c>
      <c r="N1987" s="35" t="s">
        <v>35</v>
      </c>
      <c r="O1987" s="35" t="s">
        <v>18</v>
      </c>
      <c r="P1987" s="35" t="s">
        <v>19</v>
      </c>
      <c r="Q1987" s="35" t="s">
        <v>14</v>
      </c>
      <c r="R1987" s="35" t="s">
        <v>24</v>
      </c>
      <c r="S1987" s="35">
        <v>43570</v>
      </c>
      <c r="T1987" s="35">
        <v>939</v>
      </c>
      <c r="U1987" s="81">
        <v>42631</v>
      </c>
    </row>
    <row r="1988" spans="12:21">
      <c r="L1988" s="32">
        <v>234753</v>
      </c>
      <c r="M1988" s="35" t="s">
        <v>16</v>
      </c>
      <c r="N1988" s="32" t="s">
        <v>27</v>
      </c>
      <c r="O1988" s="32" t="s">
        <v>12</v>
      </c>
      <c r="P1988" s="32" t="s">
        <v>19</v>
      </c>
      <c r="Q1988" s="32" t="s">
        <v>14</v>
      </c>
      <c r="R1988" s="32" t="s">
        <v>24</v>
      </c>
      <c r="S1988" s="32">
        <v>25239</v>
      </c>
      <c r="T1988" s="32">
        <v>431</v>
      </c>
      <c r="U1988" s="81">
        <v>24808</v>
      </c>
    </row>
    <row r="1989" spans="12:21">
      <c r="L1989" s="35">
        <v>221400</v>
      </c>
      <c r="M1989" s="35" t="s">
        <v>16</v>
      </c>
      <c r="N1989" s="35" t="s">
        <v>25</v>
      </c>
      <c r="O1989" s="35" t="s">
        <v>33</v>
      </c>
      <c r="P1989" s="35" t="s">
        <v>19</v>
      </c>
      <c r="Q1989" s="35" t="s">
        <v>14</v>
      </c>
      <c r="R1989" s="35" t="s">
        <v>24</v>
      </c>
      <c r="S1989" s="35">
        <v>53544</v>
      </c>
      <c r="T1989" s="35">
        <v>1300</v>
      </c>
      <c r="U1989" s="81">
        <v>52244</v>
      </c>
    </row>
    <row r="1990" spans="12:21">
      <c r="L1990" s="32">
        <v>94204</v>
      </c>
      <c r="M1990" s="35" t="s">
        <v>16</v>
      </c>
      <c r="N1990" s="32" t="s">
        <v>37</v>
      </c>
      <c r="O1990" s="32" t="s">
        <v>30</v>
      </c>
      <c r="P1990" s="32" t="s">
        <v>13</v>
      </c>
      <c r="Q1990" s="32" t="s">
        <v>14</v>
      </c>
      <c r="R1990" s="32" t="s">
        <v>15</v>
      </c>
      <c r="S1990" s="32">
        <v>125466</v>
      </c>
      <c r="T1990" s="32">
        <v>21075</v>
      </c>
      <c r="U1990" s="81">
        <v>104391</v>
      </c>
    </row>
    <row r="1991" spans="12:21">
      <c r="L1991" s="35">
        <v>60482</v>
      </c>
      <c r="M1991" s="35" t="s">
        <v>16</v>
      </c>
      <c r="N1991" s="35" t="s">
        <v>35</v>
      </c>
      <c r="O1991" s="35" t="s">
        <v>12</v>
      </c>
      <c r="P1991" s="35" t="s">
        <v>19</v>
      </c>
      <c r="Q1991" s="35" t="s">
        <v>14</v>
      </c>
      <c r="R1991" s="35" t="s">
        <v>15</v>
      </c>
      <c r="S1991" s="35">
        <v>57941</v>
      </c>
      <c r="T1991" s="35">
        <v>804</v>
      </c>
      <c r="U1991" s="81">
        <v>57137</v>
      </c>
    </row>
    <row r="1992" spans="12:21">
      <c r="L1992" s="32">
        <v>234758</v>
      </c>
      <c r="M1992" s="35" t="s">
        <v>16</v>
      </c>
      <c r="N1992" s="32" t="s">
        <v>17</v>
      </c>
      <c r="O1992" s="32" t="s">
        <v>30</v>
      </c>
      <c r="P1992" s="32" t="s">
        <v>19</v>
      </c>
      <c r="Q1992" s="32" t="s">
        <v>28</v>
      </c>
      <c r="R1992" s="32" t="s">
        <v>15</v>
      </c>
      <c r="S1992" s="32">
        <v>11580</v>
      </c>
      <c r="T1992" s="32">
        <v>0</v>
      </c>
      <c r="U1992" s="81">
        <v>11580</v>
      </c>
    </row>
    <row r="1993" spans="12:21">
      <c r="L1993" s="35">
        <v>251462</v>
      </c>
      <c r="M1993" s="35" t="s">
        <v>16</v>
      </c>
      <c r="N1993" s="35" t="s">
        <v>17</v>
      </c>
      <c r="O1993" s="35" t="s">
        <v>21</v>
      </c>
      <c r="P1993" s="35" t="s">
        <v>19</v>
      </c>
      <c r="Q1993" s="35" t="s">
        <v>14</v>
      </c>
      <c r="R1993" s="35" t="s">
        <v>24</v>
      </c>
      <c r="S1993" s="35">
        <v>30678</v>
      </c>
      <c r="T1993" s="35">
        <v>280</v>
      </c>
      <c r="U1993" s="81">
        <v>30398</v>
      </c>
    </row>
    <row r="1994" spans="12:21">
      <c r="L1994" s="32">
        <v>101893</v>
      </c>
      <c r="M1994" s="35" t="s">
        <v>16</v>
      </c>
      <c r="N1994" s="32" t="s">
        <v>11</v>
      </c>
      <c r="O1994" s="32" t="s">
        <v>33</v>
      </c>
      <c r="P1994" s="32" t="s">
        <v>13</v>
      </c>
      <c r="Q1994" s="32" t="s">
        <v>28</v>
      </c>
      <c r="R1994" s="32" t="s">
        <v>15</v>
      </c>
      <c r="S1994" s="32">
        <v>24192</v>
      </c>
      <c r="T1994" s="32">
        <v>2178</v>
      </c>
      <c r="U1994" s="81">
        <v>22014</v>
      </c>
    </row>
    <row r="1995" spans="12:21">
      <c r="L1995" s="35">
        <v>72789</v>
      </c>
      <c r="M1995" s="35" t="s">
        <v>16</v>
      </c>
      <c r="N1995" s="35" t="s">
        <v>35</v>
      </c>
      <c r="O1995" s="35" t="s">
        <v>32</v>
      </c>
      <c r="P1995" s="35" t="s">
        <v>19</v>
      </c>
      <c r="Q1995" s="35" t="s">
        <v>14</v>
      </c>
      <c r="R1995" s="35" t="s">
        <v>24</v>
      </c>
      <c r="S1995" s="35">
        <v>619</v>
      </c>
      <c r="T1995" s="35">
        <v>0</v>
      </c>
      <c r="U1995" s="81">
        <v>619</v>
      </c>
    </row>
    <row r="1996" spans="12:21">
      <c r="L1996" s="32">
        <v>243444</v>
      </c>
      <c r="M1996" s="35" t="s">
        <v>16</v>
      </c>
      <c r="N1996" s="32" t="s">
        <v>17</v>
      </c>
      <c r="O1996" s="32" t="s">
        <v>33</v>
      </c>
      <c r="P1996" s="32" t="s">
        <v>19</v>
      </c>
      <c r="Q1996" s="32" t="s">
        <v>28</v>
      </c>
      <c r="R1996" s="32" t="s">
        <v>24</v>
      </c>
      <c r="S1996" s="32">
        <v>39749</v>
      </c>
      <c r="T1996" s="32">
        <v>0</v>
      </c>
      <c r="U1996" s="81">
        <v>39749</v>
      </c>
    </row>
    <row r="1997" spans="12:21">
      <c r="L1997" s="35">
        <v>39919</v>
      </c>
      <c r="M1997" s="35" t="s">
        <v>16</v>
      </c>
      <c r="N1997" s="35" t="s">
        <v>35</v>
      </c>
      <c r="O1997" s="35" t="s">
        <v>23</v>
      </c>
      <c r="P1997" s="35" t="s">
        <v>13</v>
      </c>
      <c r="Q1997" s="35" t="s">
        <v>14</v>
      </c>
      <c r="R1997" s="35" t="s">
        <v>15</v>
      </c>
      <c r="S1997" s="35">
        <v>14397</v>
      </c>
      <c r="T1997" s="35">
        <v>0</v>
      </c>
      <c r="U1997" s="81">
        <v>14397</v>
      </c>
    </row>
    <row r="1998" spans="12:21">
      <c r="L1998" s="32">
        <v>185076</v>
      </c>
      <c r="M1998" s="35" t="s">
        <v>16</v>
      </c>
      <c r="N1998" s="32" t="s">
        <v>11</v>
      </c>
      <c r="O1998" s="32" t="s">
        <v>26</v>
      </c>
      <c r="P1998" s="32" t="s">
        <v>13</v>
      </c>
      <c r="Q1998" s="32" t="s">
        <v>14</v>
      </c>
      <c r="R1998" s="32" t="s">
        <v>24</v>
      </c>
      <c r="S1998" s="32">
        <v>9974</v>
      </c>
      <c r="T1998" s="32">
        <v>320</v>
      </c>
      <c r="U1998" s="81">
        <v>9654</v>
      </c>
    </row>
    <row r="1999" spans="12:21">
      <c r="L1999" s="35">
        <v>110529</v>
      </c>
      <c r="M1999" s="35" t="s">
        <v>16</v>
      </c>
      <c r="N1999" s="35" t="s">
        <v>27</v>
      </c>
      <c r="O1999" s="35" t="s">
        <v>36</v>
      </c>
      <c r="P1999" s="35" t="s">
        <v>19</v>
      </c>
      <c r="Q1999" s="35" t="s">
        <v>14</v>
      </c>
      <c r="R1999" s="35" t="s">
        <v>24</v>
      </c>
      <c r="S1999" s="35">
        <v>11043</v>
      </c>
      <c r="T1999" s="35">
        <v>0</v>
      </c>
      <c r="U1999" s="81">
        <v>11043</v>
      </c>
    </row>
    <row r="2000" spans="12:21">
      <c r="L2000" s="32">
        <v>13459</v>
      </c>
      <c r="M2000" s="35" t="s">
        <v>16</v>
      </c>
      <c r="N2000" s="32" t="s">
        <v>37</v>
      </c>
      <c r="O2000" s="32" t="s">
        <v>32</v>
      </c>
      <c r="P2000" s="32" t="s">
        <v>13</v>
      </c>
      <c r="Q2000" s="32" t="s">
        <v>14</v>
      </c>
      <c r="R2000" s="32" t="s">
        <v>15</v>
      </c>
      <c r="S2000" s="32">
        <v>15365</v>
      </c>
      <c r="T2000" s="32">
        <v>202</v>
      </c>
      <c r="U2000" s="81">
        <v>15163</v>
      </c>
    </row>
    <row r="2001" spans="12:21">
      <c r="L2001" s="35">
        <v>210154</v>
      </c>
      <c r="M2001" s="35" t="s">
        <v>16</v>
      </c>
      <c r="N2001" s="35" t="s">
        <v>38</v>
      </c>
      <c r="O2001" s="35" t="s">
        <v>32</v>
      </c>
      <c r="P2001" s="35" t="s">
        <v>13</v>
      </c>
      <c r="Q2001" s="35" t="s">
        <v>14</v>
      </c>
      <c r="R2001" s="35" t="s">
        <v>15</v>
      </c>
      <c r="S2001" s="35">
        <v>5070</v>
      </c>
      <c r="T2001" s="35">
        <v>0</v>
      </c>
      <c r="U2001" s="81">
        <v>5070</v>
      </c>
    </row>
    <row r="2002" spans="12:21">
      <c r="L2002" s="32">
        <v>76736</v>
      </c>
      <c r="M2002" s="35" t="s">
        <v>16</v>
      </c>
      <c r="N2002" s="32" t="s">
        <v>27</v>
      </c>
      <c r="O2002" s="32" t="s">
        <v>33</v>
      </c>
      <c r="P2002" s="32" t="s">
        <v>13</v>
      </c>
      <c r="Q2002" s="32" t="s">
        <v>28</v>
      </c>
      <c r="R2002" s="32" t="s">
        <v>15</v>
      </c>
      <c r="S2002" s="32">
        <v>36392</v>
      </c>
      <c r="T2002" s="32">
        <v>281</v>
      </c>
      <c r="U2002" s="81">
        <v>36111</v>
      </c>
    </row>
    <row r="2003" spans="12:21">
      <c r="L2003" s="35">
        <v>140624</v>
      </c>
      <c r="M2003" s="35" t="s">
        <v>16</v>
      </c>
      <c r="N2003" s="35" t="s">
        <v>17</v>
      </c>
      <c r="O2003" s="35" t="s">
        <v>36</v>
      </c>
      <c r="P2003" s="35" t="s">
        <v>19</v>
      </c>
      <c r="Q2003" s="35" t="s">
        <v>14</v>
      </c>
      <c r="R2003" s="35" t="s">
        <v>15</v>
      </c>
      <c r="S2003" s="35">
        <v>29381</v>
      </c>
      <c r="T2003" s="35">
        <v>1032</v>
      </c>
      <c r="U2003" s="81">
        <v>28349</v>
      </c>
    </row>
    <row r="2004" spans="12:21">
      <c r="L2004" s="32">
        <v>242470</v>
      </c>
      <c r="M2004" s="35" t="s">
        <v>16</v>
      </c>
      <c r="N2004" s="32" t="s">
        <v>25</v>
      </c>
      <c r="O2004" s="32" t="s">
        <v>30</v>
      </c>
      <c r="P2004" s="32" t="s">
        <v>13</v>
      </c>
      <c r="Q2004" s="32" t="s">
        <v>28</v>
      </c>
      <c r="R2004" s="32" t="s">
        <v>24</v>
      </c>
      <c r="S2004" s="32">
        <v>31108</v>
      </c>
      <c r="T2004" s="32">
        <v>2557</v>
      </c>
      <c r="U2004" s="81">
        <v>28551</v>
      </c>
    </row>
    <row r="2005" spans="12:21">
      <c r="L2005" s="35">
        <v>47868</v>
      </c>
      <c r="M2005" s="35" t="s">
        <v>16</v>
      </c>
      <c r="N2005" s="35" t="s">
        <v>35</v>
      </c>
      <c r="O2005" s="35" t="s">
        <v>30</v>
      </c>
      <c r="P2005" s="35" t="s">
        <v>19</v>
      </c>
      <c r="Q2005" s="35" t="s">
        <v>14</v>
      </c>
      <c r="R2005" s="35" t="s">
        <v>15</v>
      </c>
      <c r="S2005" s="35">
        <v>200292</v>
      </c>
      <c r="T2005" s="35">
        <v>9151</v>
      </c>
      <c r="U2005" s="81">
        <v>191141</v>
      </c>
    </row>
    <row r="2006" spans="12:21">
      <c r="L2006" s="32">
        <v>200631</v>
      </c>
      <c r="M2006" s="35" t="s">
        <v>16</v>
      </c>
      <c r="N2006" s="32" t="s">
        <v>37</v>
      </c>
      <c r="O2006" s="32" t="s">
        <v>33</v>
      </c>
      <c r="P2006" s="32" t="s">
        <v>13</v>
      </c>
      <c r="Q2006" s="32" t="s">
        <v>14</v>
      </c>
      <c r="R2006" s="32" t="s">
        <v>15</v>
      </c>
      <c r="S2006" s="32">
        <v>57207</v>
      </c>
      <c r="T2006" s="32">
        <v>243</v>
      </c>
      <c r="U2006" s="81">
        <v>56964</v>
      </c>
    </row>
    <row r="2007" spans="12:21">
      <c r="L2007" s="35">
        <v>54541</v>
      </c>
      <c r="M2007" s="35" t="s">
        <v>16</v>
      </c>
      <c r="N2007" s="35" t="s">
        <v>35</v>
      </c>
      <c r="O2007" s="35" t="s">
        <v>32</v>
      </c>
      <c r="P2007" s="35" t="s">
        <v>13</v>
      </c>
      <c r="Q2007" s="35" t="s">
        <v>14</v>
      </c>
      <c r="R2007" s="35" t="s">
        <v>15</v>
      </c>
      <c r="S2007" s="35">
        <v>32368</v>
      </c>
      <c r="T2007" s="35">
        <v>9</v>
      </c>
      <c r="U2007" s="81">
        <v>32359</v>
      </c>
    </row>
    <row r="2008" spans="12:21">
      <c r="L2008" s="32">
        <v>54483</v>
      </c>
      <c r="M2008" s="35" t="s">
        <v>16</v>
      </c>
      <c r="N2008" s="32" t="s">
        <v>27</v>
      </c>
      <c r="O2008" s="32" t="s">
        <v>12</v>
      </c>
      <c r="P2008" s="32" t="s">
        <v>19</v>
      </c>
      <c r="Q2008" s="32" t="s">
        <v>14</v>
      </c>
      <c r="R2008" s="32" t="s">
        <v>15</v>
      </c>
      <c r="S2008" s="32">
        <v>161245</v>
      </c>
      <c r="T2008" s="32">
        <v>21631</v>
      </c>
      <c r="U2008" s="81">
        <v>139614</v>
      </c>
    </row>
    <row r="2009" spans="12:21">
      <c r="L2009" s="35">
        <v>242401</v>
      </c>
      <c r="M2009" s="35" t="s">
        <v>16</v>
      </c>
      <c r="N2009" s="35" t="s">
        <v>17</v>
      </c>
      <c r="O2009" s="35" t="s">
        <v>21</v>
      </c>
      <c r="P2009" s="35" t="s">
        <v>13</v>
      </c>
      <c r="Q2009" s="35" t="s">
        <v>28</v>
      </c>
      <c r="R2009" s="35" t="s">
        <v>15</v>
      </c>
      <c r="S2009" s="35">
        <v>24171</v>
      </c>
      <c r="T2009" s="35">
        <v>256</v>
      </c>
      <c r="U2009" s="81">
        <v>23915</v>
      </c>
    </row>
    <row r="2010" spans="12:21">
      <c r="L2010" s="32">
        <v>41384</v>
      </c>
      <c r="M2010" s="35" t="s">
        <v>16</v>
      </c>
      <c r="N2010" s="32" t="s">
        <v>34</v>
      </c>
      <c r="O2010" s="32" t="s">
        <v>12</v>
      </c>
      <c r="P2010" s="32" t="s">
        <v>13</v>
      </c>
      <c r="Q2010" s="32" t="s">
        <v>14</v>
      </c>
      <c r="R2010" s="32" t="s">
        <v>15</v>
      </c>
      <c r="S2010" s="32">
        <v>97322</v>
      </c>
      <c r="T2010" s="32">
        <v>1931</v>
      </c>
      <c r="U2010" s="81">
        <v>95391</v>
      </c>
    </row>
    <row r="2011" spans="12:21">
      <c r="L2011" s="35">
        <v>127799</v>
      </c>
      <c r="M2011" s="35" t="s">
        <v>16</v>
      </c>
      <c r="N2011" s="35" t="s">
        <v>22</v>
      </c>
      <c r="O2011" s="35" t="s">
        <v>33</v>
      </c>
      <c r="P2011" s="35" t="s">
        <v>19</v>
      </c>
      <c r="Q2011" s="35" t="s">
        <v>14</v>
      </c>
      <c r="R2011" s="35" t="s">
        <v>15</v>
      </c>
      <c r="S2011" s="35">
        <v>81435</v>
      </c>
      <c r="T2011" s="35">
        <v>897</v>
      </c>
      <c r="U2011" s="81">
        <v>80538</v>
      </c>
    </row>
    <row r="2012" spans="12:21">
      <c r="L2012" s="32">
        <v>50703</v>
      </c>
      <c r="M2012" s="35" t="s">
        <v>16</v>
      </c>
      <c r="N2012" s="32" t="s">
        <v>35</v>
      </c>
      <c r="O2012" s="32" t="s">
        <v>32</v>
      </c>
      <c r="P2012" s="32" t="s">
        <v>13</v>
      </c>
      <c r="Q2012" s="32" t="s">
        <v>28</v>
      </c>
      <c r="R2012" s="32" t="s">
        <v>15</v>
      </c>
      <c r="S2012" s="32">
        <v>5</v>
      </c>
      <c r="T2012" s="32">
        <v>0</v>
      </c>
      <c r="U2012" s="81">
        <v>5</v>
      </c>
    </row>
    <row r="2013" spans="12:21">
      <c r="L2013" s="35">
        <v>68215</v>
      </c>
      <c r="M2013" s="35" t="s">
        <v>16</v>
      </c>
      <c r="N2013" s="35" t="s">
        <v>37</v>
      </c>
      <c r="O2013" s="35" t="s">
        <v>33</v>
      </c>
      <c r="P2013" s="35" t="s">
        <v>13</v>
      </c>
      <c r="Q2013" s="35" t="s">
        <v>14</v>
      </c>
      <c r="R2013" s="35" t="s">
        <v>24</v>
      </c>
      <c r="S2013" s="35">
        <v>21780</v>
      </c>
      <c r="T2013" s="35">
        <v>578</v>
      </c>
      <c r="U2013" s="81">
        <v>21202</v>
      </c>
    </row>
    <row r="2014" spans="12:21">
      <c r="L2014" s="32">
        <v>13552</v>
      </c>
      <c r="M2014" s="35" t="s">
        <v>16</v>
      </c>
      <c r="N2014" s="32" t="s">
        <v>34</v>
      </c>
      <c r="O2014" s="32" t="s">
        <v>30</v>
      </c>
      <c r="P2014" s="32" t="s">
        <v>13</v>
      </c>
      <c r="Q2014" s="32" t="s">
        <v>14</v>
      </c>
      <c r="R2014" s="32" t="s">
        <v>15</v>
      </c>
      <c r="S2014" s="32">
        <v>155773</v>
      </c>
      <c r="T2014" s="32">
        <v>0</v>
      </c>
      <c r="U2014" s="81">
        <v>155773</v>
      </c>
    </row>
    <row r="2015" spans="12:21">
      <c r="L2015" s="35">
        <v>131274</v>
      </c>
      <c r="M2015" s="35" t="s">
        <v>16</v>
      </c>
      <c r="N2015" s="35" t="s">
        <v>25</v>
      </c>
      <c r="O2015" s="35" t="s">
        <v>30</v>
      </c>
      <c r="P2015" s="35" t="s">
        <v>19</v>
      </c>
      <c r="Q2015" s="35" t="s">
        <v>28</v>
      </c>
      <c r="R2015" s="35" t="s">
        <v>24</v>
      </c>
      <c r="S2015" s="35">
        <v>22081</v>
      </c>
      <c r="T2015" s="35">
        <v>0</v>
      </c>
      <c r="U2015" s="81">
        <v>22081</v>
      </c>
    </row>
    <row r="2016" spans="12:21">
      <c r="L2016" s="32">
        <v>120004</v>
      </c>
      <c r="M2016" s="35" t="s">
        <v>16</v>
      </c>
      <c r="N2016" s="32" t="s">
        <v>22</v>
      </c>
      <c r="O2016" s="32" t="s">
        <v>12</v>
      </c>
      <c r="P2016" s="32" t="s">
        <v>13</v>
      </c>
      <c r="Q2016" s="32" t="s">
        <v>14</v>
      </c>
      <c r="R2016" s="32" t="s">
        <v>15</v>
      </c>
      <c r="S2016" s="32">
        <v>48062</v>
      </c>
      <c r="T2016" s="32">
        <v>1027</v>
      </c>
      <c r="U2016" s="81">
        <v>47035</v>
      </c>
    </row>
    <row r="2017" spans="12:21">
      <c r="L2017" s="35">
        <v>147138</v>
      </c>
      <c r="M2017" s="35" t="s">
        <v>16</v>
      </c>
      <c r="N2017" s="35" t="s">
        <v>22</v>
      </c>
      <c r="O2017" s="35" t="s">
        <v>33</v>
      </c>
      <c r="P2017" s="35" t="s">
        <v>19</v>
      </c>
      <c r="Q2017" s="35" t="s">
        <v>14</v>
      </c>
      <c r="R2017" s="35" t="s">
        <v>24</v>
      </c>
      <c r="S2017" s="35">
        <v>21838</v>
      </c>
      <c r="T2017" s="35">
        <v>0</v>
      </c>
      <c r="U2017" s="81">
        <v>21838</v>
      </c>
    </row>
    <row r="2018" spans="12:21">
      <c r="L2018" s="32">
        <v>139546</v>
      </c>
      <c r="M2018" s="35" t="s">
        <v>16</v>
      </c>
      <c r="N2018" s="32" t="s">
        <v>25</v>
      </c>
      <c r="O2018" s="32" t="s">
        <v>30</v>
      </c>
      <c r="P2018" s="32" t="s">
        <v>19</v>
      </c>
      <c r="Q2018" s="32" t="s">
        <v>28</v>
      </c>
      <c r="R2018" s="32" t="s">
        <v>15</v>
      </c>
      <c r="S2018" s="32">
        <v>60370</v>
      </c>
      <c r="T2018" s="32">
        <v>920</v>
      </c>
      <c r="U2018" s="81">
        <v>59450</v>
      </c>
    </row>
    <row r="2019" spans="12:21">
      <c r="L2019" s="35">
        <v>122451</v>
      </c>
      <c r="M2019" s="35" t="s">
        <v>16</v>
      </c>
      <c r="N2019" s="35" t="s">
        <v>25</v>
      </c>
      <c r="O2019" s="35" t="s">
        <v>21</v>
      </c>
      <c r="P2019" s="35" t="s">
        <v>13</v>
      </c>
      <c r="Q2019" s="35" t="s">
        <v>28</v>
      </c>
      <c r="R2019" s="35" t="s">
        <v>24</v>
      </c>
      <c r="S2019" s="35">
        <v>38440</v>
      </c>
      <c r="T2019" s="35">
        <v>2328</v>
      </c>
      <c r="U2019" s="81">
        <v>36112</v>
      </c>
    </row>
    <row r="2020" spans="12:21">
      <c r="L2020" s="32">
        <v>99748</v>
      </c>
      <c r="M2020" s="35" t="s">
        <v>16</v>
      </c>
      <c r="N2020" s="32" t="s">
        <v>27</v>
      </c>
      <c r="O2020" s="32" t="s">
        <v>32</v>
      </c>
      <c r="P2020" s="32" t="s">
        <v>13</v>
      </c>
      <c r="Q2020" s="32" t="s">
        <v>14</v>
      </c>
      <c r="R2020" s="32" t="s">
        <v>15</v>
      </c>
      <c r="S2020" s="32">
        <v>39366</v>
      </c>
      <c r="T2020" s="32">
        <v>0</v>
      </c>
      <c r="U2020" s="81">
        <v>39366</v>
      </c>
    </row>
    <row r="2021" spans="12:21">
      <c r="L2021" s="35">
        <v>90820</v>
      </c>
      <c r="M2021" s="35" t="s">
        <v>16</v>
      </c>
      <c r="N2021" s="35" t="s">
        <v>38</v>
      </c>
      <c r="O2021" s="35" t="s">
        <v>33</v>
      </c>
      <c r="P2021" s="35" t="s">
        <v>13</v>
      </c>
      <c r="Q2021" s="35" t="s">
        <v>14</v>
      </c>
      <c r="R2021" s="35" t="s">
        <v>15</v>
      </c>
      <c r="S2021" s="35">
        <v>4582</v>
      </c>
      <c r="T2021" s="35">
        <v>210</v>
      </c>
      <c r="U2021" s="81">
        <v>4372</v>
      </c>
    </row>
    <row r="2022" spans="12:21">
      <c r="L2022" s="39">
        <v>37585</v>
      </c>
      <c r="M2022" s="41" t="s">
        <v>16</v>
      </c>
      <c r="N2022" s="39" t="s">
        <v>35</v>
      </c>
      <c r="O2022" s="39" t="s">
        <v>18</v>
      </c>
      <c r="P2022" s="39" t="s">
        <v>19</v>
      </c>
      <c r="Q2022" s="39" t="s">
        <v>14</v>
      </c>
      <c r="R2022" s="39" t="s">
        <v>24</v>
      </c>
      <c r="S2022" s="39">
        <v>47072</v>
      </c>
      <c r="T2022" s="39">
        <v>892</v>
      </c>
      <c r="U2022" s="86">
        <v>46180</v>
      </c>
    </row>
  </sheetData>
  <mergeCells count="2">
    <mergeCell ref="X23:Z24"/>
    <mergeCell ref="X46:Z46"/>
  </mergeCells>
  <pageMargins left="0.7" right="0.7" top="0.75" bottom="0.75" header="0.3" footer="0.3"/>
  <pageSetup paperSize="9" orientation="portrait" horizontalDpi="0" verticalDpi="0"/>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2540E-7154-EF42-90E5-AFEA4D571CA9}">
  <sheetPr codeName="Sheet11"/>
  <dimension ref="A1:L1001"/>
  <sheetViews>
    <sheetView showGridLines="0" topLeftCell="A38" zoomScale="113" zoomScaleNormal="121" workbookViewId="0">
      <selection activeCell="I61" sqref="I61"/>
    </sheetView>
  </sheetViews>
  <sheetFormatPr defaultColWidth="11.5546875" defaultRowHeight="15.95"/>
  <cols>
    <col min="1" max="1" width="11.6640625" customWidth="1"/>
    <col min="2" max="2" width="13.109375" customWidth="1"/>
    <col min="4" max="4" width="15" customWidth="1"/>
    <col min="5" max="5" width="14.33203125" customWidth="1"/>
    <col min="6" max="6" width="13.5546875" bestFit="1" customWidth="1"/>
    <col min="7" max="7" width="12" bestFit="1" customWidth="1"/>
    <col min="8" max="11" width="11.6640625" bestFit="1" customWidth="1"/>
  </cols>
  <sheetData>
    <row r="1" spans="1:5">
      <c r="A1" s="3" t="s">
        <v>138</v>
      </c>
      <c r="B1" s="3" t="s">
        <v>7</v>
      </c>
    </row>
    <row r="2" spans="1:5">
      <c r="A2" s="5">
        <v>47</v>
      </c>
      <c r="B2" s="5">
        <v>86368</v>
      </c>
      <c r="D2" s="44" t="s">
        <v>139</v>
      </c>
      <c r="E2" t="s">
        <v>140</v>
      </c>
    </row>
    <row r="3" spans="1:5">
      <c r="A3" s="5">
        <v>22</v>
      </c>
      <c r="B3" s="5">
        <v>62342</v>
      </c>
      <c r="D3" t="s">
        <v>31</v>
      </c>
      <c r="E3" s="8">
        <v>17</v>
      </c>
    </row>
    <row r="4" spans="1:5">
      <c r="A4" s="5">
        <v>72</v>
      </c>
      <c r="B4" s="5">
        <v>19046</v>
      </c>
      <c r="D4" t="s">
        <v>17</v>
      </c>
      <c r="E4" s="8">
        <v>22</v>
      </c>
    </row>
    <row r="5" spans="1:5">
      <c r="A5" s="5">
        <v>32</v>
      </c>
      <c r="B5" s="5">
        <v>70672</v>
      </c>
      <c r="D5" t="s">
        <v>25</v>
      </c>
      <c r="E5" s="8">
        <v>27</v>
      </c>
    </row>
    <row r="6" spans="1:5">
      <c r="A6" s="5">
        <v>27</v>
      </c>
      <c r="B6" s="5">
        <v>49168</v>
      </c>
      <c r="D6" t="s">
        <v>22</v>
      </c>
      <c r="E6" s="8">
        <v>32</v>
      </c>
    </row>
    <row r="7" spans="1:5">
      <c r="A7" s="5">
        <v>32</v>
      </c>
      <c r="B7" s="5">
        <v>69092</v>
      </c>
      <c r="D7" t="s">
        <v>27</v>
      </c>
      <c r="E7" s="8">
        <v>37</v>
      </c>
    </row>
    <row r="8" spans="1:5">
      <c r="A8" s="5">
        <v>37</v>
      </c>
      <c r="B8" s="5">
        <v>94769</v>
      </c>
      <c r="D8" t="s">
        <v>35</v>
      </c>
      <c r="E8" s="8">
        <v>42</v>
      </c>
    </row>
    <row r="9" spans="1:5">
      <c r="A9" s="5">
        <v>22</v>
      </c>
      <c r="B9" s="5">
        <v>43127</v>
      </c>
      <c r="D9" t="s">
        <v>11</v>
      </c>
      <c r="E9" s="8">
        <v>47</v>
      </c>
    </row>
    <row r="10" spans="1:5">
      <c r="A10" s="5">
        <v>32</v>
      </c>
      <c r="B10" s="5">
        <v>120743</v>
      </c>
      <c r="D10" t="s">
        <v>34</v>
      </c>
      <c r="E10" s="8">
        <v>52</v>
      </c>
    </row>
    <row r="11" spans="1:5">
      <c r="A11" s="5">
        <v>37</v>
      </c>
      <c r="B11" s="5">
        <v>105006</v>
      </c>
      <c r="D11" t="s">
        <v>37</v>
      </c>
      <c r="E11" s="8">
        <v>57</v>
      </c>
    </row>
    <row r="12" spans="1:5">
      <c r="A12" s="5">
        <v>22</v>
      </c>
      <c r="B12" s="5">
        <v>17427</v>
      </c>
      <c r="D12" t="s">
        <v>38</v>
      </c>
      <c r="E12" s="8">
        <v>62</v>
      </c>
    </row>
    <row r="13" spans="1:5">
      <c r="A13" s="5">
        <v>17</v>
      </c>
      <c r="B13" s="5">
        <v>329</v>
      </c>
      <c r="D13" t="s">
        <v>39</v>
      </c>
      <c r="E13" s="8">
        <v>67</v>
      </c>
    </row>
    <row r="14" spans="1:5">
      <c r="A14" s="5">
        <v>32</v>
      </c>
      <c r="B14" s="5">
        <v>90156</v>
      </c>
      <c r="D14" t="s">
        <v>20</v>
      </c>
      <c r="E14" s="8">
        <v>72</v>
      </c>
    </row>
    <row r="15" spans="1:5">
      <c r="A15" s="5">
        <v>22</v>
      </c>
      <c r="B15" s="5">
        <v>144244</v>
      </c>
    </row>
    <row r="16" spans="1:5">
      <c r="A16" s="5">
        <v>37</v>
      </c>
      <c r="B16" s="5">
        <v>51006</v>
      </c>
    </row>
    <row r="17" spans="1:6">
      <c r="A17" s="5">
        <v>52</v>
      </c>
      <c r="B17" s="5">
        <v>28047</v>
      </c>
    </row>
    <row r="18" spans="1:6">
      <c r="A18" s="5">
        <v>27</v>
      </c>
      <c r="B18" s="5">
        <v>58304</v>
      </c>
    </row>
    <row r="19" spans="1:6">
      <c r="A19" s="5">
        <v>27</v>
      </c>
      <c r="B19" s="5">
        <v>25172</v>
      </c>
    </row>
    <row r="20" spans="1:6">
      <c r="A20" s="5">
        <v>42</v>
      </c>
      <c r="B20" s="5">
        <v>51530</v>
      </c>
      <c r="F20" t="s">
        <v>141</v>
      </c>
    </row>
    <row r="21" spans="1:6">
      <c r="A21" s="5">
        <v>57</v>
      </c>
      <c r="B21" s="5">
        <v>201030</v>
      </c>
    </row>
    <row r="22" spans="1:6">
      <c r="A22" s="5">
        <v>62</v>
      </c>
      <c r="B22" s="5">
        <v>106667</v>
      </c>
    </row>
    <row r="23" spans="1:6">
      <c r="A23" s="5">
        <v>22</v>
      </c>
      <c r="B23" s="5">
        <v>106932</v>
      </c>
    </row>
    <row r="24" spans="1:6">
      <c r="A24" s="5">
        <v>47</v>
      </c>
      <c r="B24" s="5">
        <v>71962</v>
      </c>
    </row>
    <row r="25" spans="1:6">
      <c r="A25" s="5">
        <v>67</v>
      </c>
      <c r="B25" s="5">
        <v>26386</v>
      </c>
    </row>
    <row r="26" spans="1:6">
      <c r="A26" s="5">
        <v>27</v>
      </c>
      <c r="B26" s="5">
        <v>7089</v>
      </c>
    </row>
    <row r="27" spans="1:6">
      <c r="A27" s="5">
        <v>32</v>
      </c>
      <c r="B27" s="5">
        <v>53285</v>
      </c>
    </row>
    <row r="28" spans="1:6">
      <c r="A28" s="5">
        <v>67</v>
      </c>
      <c r="B28" s="5">
        <v>45319</v>
      </c>
    </row>
    <row r="29" spans="1:6">
      <c r="A29" s="5">
        <v>27</v>
      </c>
      <c r="B29" s="5">
        <v>34603</v>
      </c>
    </row>
    <row r="30" spans="1:6">
      <c r="A30" s="5">
        <v>42</v>
      </c>
      <c r="B30" s="5">
        <v>18824</v>
      </c>
    </row>
    <row r="31" spans="1:6">
      <c r="A31" s="5">
        <v>67</v>
      </c>
      <c r="B31" s="5">
        <v>25568</v>
      </c>
    </row>
    <row r="32" spans="1:6" ht="17.100000000000001" thickBot="1">
      <c r="A32" s="5">
        <v>52</v>
      </c>
      <c r="B32" s="5">
        <v>80751</v>
      </c>
      <c r="D32" s="91" t="s">
        <v>142</v>
      </c>
    </row>
    <row r="33" spans="1:12">
      <c r="A33" s="5">
        <v>17</v>
      </c>
      <c r="B33" s="5">
        <v>32117</v>
      </c>
      <c r="D33" s="92" t="s">
        <v>143</v>
      </c>
      <c r="E33" s="92"/>
    </row>
    <row r="34" spans="1:12">
      <c r="A34" s="5">
        <v>22</v>
      </c>
      <c r="B34" s="5">
        <v>42233</v>
      </c>
      <c r="D34" t="s">
        <v>144</v>
      </c>
      <c r="E34" s="43">
        <v>6.0472815710847908E-2</v>
      </c>
      <c r="F34" s="97" t="s">
        <v>145</v>
      </c>
    </row>
    <row r="35" spans="1:12">
      <c r="A35" s="5">
        <v>27</v>
      </c>
      <c r="B35" s="5">
        <v>25564</v>
      </c>
      <c r="D35" t="s">
        <v>146</v>
      </c>
      <c r="E35" s="43">
        <v>3.6569614399981736E-3</v>
      </c>
    </row>
    <row r="36" spans="1:12">
      <c r="A36" s="5">
        <v>17</v>
      </c>
      <c r="B36" s="5">
        <v>25716</v>
      </c>
      <c r="D36" t="s">
        <v>147</v>
      </c>
      <c r="E36">
        <v>2.6586217220021797E-3</v>
      </c>
    </row>
    <row r="37" spans="1:12">
      <c r="A37" s="5">
        <v>47</v>
      </c>
      <c r="B37" s="5">
        <v>50038</v>
      </c>
      <c r="D37" t="s">
        <v>60</v>
      </c>
      <c r="E37">
        <v>57537.967326849321</v>
      </c>
    </row>
    <row r="38" spans="1:12" ht="17.100000000000001" thickBot="1">
      <c r="A38" s="5">
        <v>27</v>
      </c>
      <c r="B38" s="5">
        <v>19124</v>
      </c>
      <c r="D38" s="25" t="s">
        <v>116</v>
      </c>
      <c r="E38" s="25">
        <v>1000</v>
      </c>
    </row>
    <row r="39" spans="1:12">
      <c r="A39" s="5">
        <v>57</v>
      </c>
      <c r="B39" s="5">
        <v>665612</v>
      </c>
    </row>
    <row r="40" spans="1:12" ht="17.100000000000001" thickBot="1">
      <c r="A40" s="5">
        <v>22</v>
      </c>
      <c r="B40" s="5">
        <v>17386</v>
      </c>
      <c r="D40" s="91" t="s">
        <v>148</v>
      </c>
    </row>
    <row r="41" spans="1:12">
      <c r="A41" s="5">
        <v>37</v>
      </c>
      <c r="B41" s="5">
        <v>84178</v>
      </c>
      <c r="D41" s="93"/>
      <c r="E41" s="93" t="s">
        <v>119</v>
      </c>
      <c r="F41" s="93" t="s">
        <v>149</v>
      </c>
      <c r="G41" s="93" t="s">
        <v>150</v>
      </c>
      <c r="H41" s="93" t="s">
        <v>151</v>
      </c>
      <c r="I41" s="93" t="s">
        <v>152</v>
      </c>
    </row>
    <row r="42" spans="1:12">
      <c r="A42" s="5">
        <v>57</v>
      </c>
      <c r="B42" s="5">
        <v>49236</v>
      </c>
      <c r="D42" t="s">
        <v>153</v>
      </c>
      <c r="E42">
        <v>1</v>
      </c>
      <c r="F42">
        <v>12126935345.868652</v>
      </c>
      <c r="G42">
        <v>12126935345.868652</v>
      </c>
      <c r="H42">
        <v>3.6630431245778086</v>
      </c>
      <c r="I42" s="43">
        <v>5.591772428462196E-2</v>
      </c>
    </row>
    <row r="43" spans="1:12">
      <c r="A43" s="5">
        <v>42</v>
      </c>
      <c r="B43" s="5">
        <v>9527</v>
      </c>
      <c r="D43" t="s">
        <v>154</v>
      </c>
      <c r="E43">
        <v>998</v>
      </c>
      <c r="F43">
        <v>3303996448737.3687</v>
      </c>
      <c r="G43">
        <v>3310617684.1055799</v>
      </c>
    </row>
    <row r="44" spans="1:12" ht="17.100000000000001" thickBot="1">
      <c r="A44" s="5">
        <v>52</v>
      </c>
      <c r="B44" s="5">
        <v>66500</v>
      </c>
      <c r="D44" s="25" t="s">
        <v>155</v>
      </c>
      <c r="E44" s="25">
        <v>999</v>
      </c>
      <c r="F44" s="25">
        <v>3316123384083.2373</v>
      </c>
      <c r="G44" s="25"/>
      <c r="H44" s="25"/>
      <c r="I44" s="25"/>
    </row>
    <row r="45" spans="1:12">
      <c r="A45" s="5">
        <v>52</v>
      </c>
      <c r="B45" s="5">
        <v>61386</v>
      </c>
    </row>
    <row r="46" spans="1:12">
      <c r="A46" s="5">
        <v>37</v>
      </c>
      <c r="B46" s="5">
        <v>83925</v>
      </c>
      <c r="D46" s="52"/>
      <c r="E46" s="52" t="s">
        <v>156</v>
      </c>
      <c r="F46" s="52" t="s">
        <v>60</v>
      </c>
      <c r="G46" s="52" t="s">
        <v>120</v>
      </c>
      <c r="H46" s="52" t="s">
        <v>157</v>
      </c>
      <c r="I46" s="52" t="s">
        <v>158</v>
      </c>
      <c r="J46" s="52" t="s">
        <v>159</v>
      </c>
      <c r="K46" s="52" t="s">
        <v>160</v>
      </c>
      <c r="L46" s="52" t="s">
        <v>161</v>
      </c>
    </row>
    <row r="47" spans="1:12">
      <c r="A47" s="5">
        <v>57</v>
      </c>
      <c r="B47" s="5">
        <v>60311</v>
      </c>
      <c r="D47" t="s">
        <v>162</v>
      </c>
      <c r="E47" s="43">
        <v>49776.381682499101</v>
      </c>
      <c r="F47">
        <v>5521.3366139370592</v>
      </c>
      <c r="G47">
        <v>9.0152774885799634</v>
      </c>
      <c r="H47">
        <v>9.8139123006356561E-19</v>
      </c>
      <c r="I47">
        <v>38941.620755250748</v>
      </c>
      <c r="J47">
        <v>60611.142609747425</v>
      </c>
      <c r="K47">
        <v>38941.620755250748</v>
      </c>
      <c r="L47">
        <v>60611.142609747425</v>
      </c>
    </row>
    <row r="48" spans="1:12">
      <c r="A48" s="5">
        <v>42</v>
      </c>
      <c r="B48" s="5">
        <v>37523</v>
      </c>
      <c r="D48" t="s">
        <v>138</v>
      </c>
      <c r="E48" s="43">
        <v>228.83140636469975</v>
      </c>
      <c r="F48">
        <v>119.5623971871197</v>
      </c>
      <c r="G48" s="43">
        <v>1.9139078150680593</v>
      </c>
      <c r="H48" s="43">
        <v>5.5917724284595731E-2</v>
      </c>
      <c r="I48">
        <v>-5.791127994318126</v>
      </c>
      <c r="J48">
        <v>463.45394072371761</v>
      </c>
      <c r="K48">
        <v>-5.791127994318126</v>
      </c>
      <c r="L48">
        <v>463.45394072371761</v>
      </c>
    </row>
    <row r="49" spans="1:12">
      <c r="A49" s="5">
        <v>72</v>
      </c>
      <c r="B49" s="5">
        <v>59910</v>
      </c>
      <c r="D49" s="98"/>
      <c r="E49" s="98"/>
      <c r="F49" s="98"/>
      <c r="G49" s="98"/>
      <c r="H49" s="98" t="s">
        <v>163</v>
      </c>
      <c r="I49" s="98"/>
      <c r="J49" s="98"/>
      <c r="K49" s="98"/>
      <c r="L49" s="98"/>
    </row>
    <row r="50" spans="1:12">
      <c r="A50" s="5">
        <v>22</v>
      </c>
      <c r="B50" s="5">
        <v>66457</v>
      </c>
      <c r="E50" s="94" t="s">
        <v>153</v>
      </c>
      <c r="F50" s="94" t="s">
        <v>164</v>
      </c>
      <c r="G50" s="95"/>
      <c r="H50" s="95"/>
    </row>
    <row r="51" spans="1:12">
      <c r="A51" s="5">
        <v>62</v>
      </c>
      <c r="B51" s="5">
        <v>10439</v>
      </c>
    </row>
    <row r="52" spans="1:12">
      <c r="A52" s="5">
        <v>27</v>
      </c>
      <c r="B52" s="5">
        <v>21969</v>
      </c>
    </row>
    <row r="53" spans="1:12">
      <c r="A53" s="5">
        <v>27</v>
      </c>
      <c r="B53" s="5">
        <v>54325</v>
      </c>
      <c r="D53" s="52" t="s">
        <v>165</v>
      </c>
      <c r="E53" s="52"/>
    </row>
    <row r="54" spans="1:12">
      <c r="A54" s="5">
        <v>47</v>
      </c>
      <c r="B54" s="5">
        <v>98107</v>
      </c>
      <c r="D54" s="8" t="s">
        <v>110</v>
      </c>
      <c r="E54" s="99" t="s">
        <v>166</v>
      </c>
      <c r="F54" s="96" t="s">
        <v>167</v>
      </c>
      <c r="G54" s="8">
        <f>G48</f>
        <v>1.9139078150680593</v>
      </c>
      <c r="H54" t="str">
        <f ca="1">_xlfn.FORMULATEXT(G54)</f>
        <v>=G48</v>
      </c>
    </row>
    <row r="55" spans="1:12">
      <c r="A55" s="5">
        <v>37</v>
      </c>
      <c r="B55" s="5">
        <v>79237</v>
      </c>
      <c r="D55" s="8" t="s">
        <v>112</v>
      </c>
      <c r="E55" s="99" t="s">
        <v>168</v>
      </c>
      <c r="F55" s="96" t="s">
        <v>169</v>
      </c>
      <c r="G55" s="8">
        <f>_xlfn.T.INV.2T(0.05,998)</f>
        <v>1.9623438462163374</v>
      </c>
      <c r="H55" t="str">
        <f ca="1">_xlfn.FORMULATEXT(G55)</f>
        <v>=T.INV.2T(0.05,998)</v>
      </c>
    </row>
    <row r="56" spans="1:12">
      <c r="A56" s="5">
        <v>32</v>
      </c>
      <c r="B56" s="5">
        <v>71800</v>
      </c>
    </row>
    <row r="57" spans="1:12">
      <c r="A57" s="5">
        <v>42</v>
      </c>
      <c r="B57" s="5">
        <v>744</v>
      </c>
    </row>
    <row r="58" spans="1:12">
      <c r="A58" s="5">
        <v>47</v>
      </c>
      <c r="B58" s="5">
        <v>132544</v>
      </c>
    </row>
    <row r="59" spans="1:12">
      <c r="A59" s="5">
        <v>27</v>
      </c>
      <c r="B59" s="5">
        <v>73774</v>
      </c>
    </row>
    <row r="60" spans="1:12">
      <c r="A60" s="5">
        <v>52</v>
      </c>
      <c r="B60" s="5">
        <v>66671</v>
      </c>
    </row>
    <row r="61" spans="1:12">
      <c r="A61" s="5">
        <v>37</v>
      </c>
      <c r="B61" s="5">
        <v>207850</v>
      </c>
    </row>
    <row r="62" spans="1:12">
      <c r="A62" s="5">
        <v>37</v>
      </c>
      <c r="B62" s="5">
        <v>35404</v>
      </c>
    </row>
    <row r="63" spans="1:12">
      <c r="A63" s="5">
        <v>52</v>
      </c>
      <c r="B63" s="5">
        <v>77899</v>
      </c>
    </row>
    <row r="64" spans="1:12">
      <c r="A64" s="5">
        <v>42</v>
      </c>
      <c r="B64" s="5">
        <v>113671</v>
      </c>
    </row>
    <row r="65" spans="1:2">
      <c r="A65" s="5">
        <v>22</v>
      </c>
      <c r="B65" s="5">
        <v>34495</v>
      </c>
    </row>
    <row r="66" spans="1:2">
      <c r="A66" s="5">
        <v>32</v>
      </c>
      <c r="B66" s="5">
        <v>13399</v>
      </c>
    </row>
    <row r="67" spans="1:2">
      <c r="A67" s="5">
        <v>22</v>
      </c>
      <c r="B67" s="5">
        <v>38149</v>
      </c>
    </row>
    <row r="68" spans="1:2">
      <c r="A68" s="5">
        <v>42</v>
      </c>
      <c r="B68" s="5">
        <v>45490</v>
      </c>
    </row>
    <row r="69" spans="1:2">
      <c r="A69" s="5">
        <v>42</v>
      </c>
      <c r="B69" s="5">
        <v>39061</v>
      </c>
    </row>
    <row r="70" spans="1:2">
      <c r="A70" s="5">
        <v>57</v>
      </c>
      <c r="B70" s="5">
        <v>65209</v>
      </c>
    </row>
    <row r="71" spans="1:2">
      <c r="A71" s="5">
        <v>37</v>
      </c>
      <c r="B71" s="5">
        <v>115567</v>
      </c>
    </row>
    <row r="72" spans="1:2">
      <c r="A72" s="5">
        <v>22</v>
      </c>
      <c r="B72" s="5">
        <v>38984</v>
      </c>
    </row>
    <row r="73" spans="1:2">
      <c r="A73" s="5">
        <v>57</v>
      </c>
      <c r="B73" s="5">
        <v>59711</v>
      </c>
    </row>
    <row r="74" spans="1:2">
      <c r="A74" s="5">
        <v>27</v>
      </c>
      <c r="B74" s="5">
        <v>12417</v>
      </c>
    </row>
    <row r="75" spans="1:2">
      <c r="A75" s="5">
        <v>52</v>
      </c>
      <c r="B75" s="5">
        <v>26987</v>
      </c>
    </row>
    <row r="76" spans="1:2">
      <c r="A76" s="5">
        <v>42</v>
      </c>
      <c r="B76" s="5">
        <v>7401</v>
      </c>
    </row>
    <row r="77" spans="1:2">
      <c r="A77" s="5">
        <v>72</v>
      </c>
      <c r="B77" s="5">
        <v>395</v>
      </c>
    </row>
    <row r="78" spans="1:2">
      <c r="A78" s="5">
        <v>57</v>
      </c>
      <c r="B78" s="5">
        <v>48152</v>
      </c>
    </row>
    <row r="79" spans="1:2">
      <c r="A79" s="5">
        <v>22</v>
      </c>
      <c r="B79" s="5">
        <v>116422</v>
      </c>
    </row>
    <row r="80" spans="1:2">
      <c r="A80" s="5">
        <v>72</v>
      </c>
      <c r="B80" s="5">
        <v>40149</v>
      </c>
    </row>
    <row r="81" spans="1:2">
      <c r="A81" s="5">
        <v>27</v>
      </c>
      <c r="B81" s="5">
        <v>10157</v>
      </c>
    </row>
    <row r="82" spans="1:2">
      <c r="A82" s="5">
        <v>57</v>
      </c>
      <c r="B82" s="5">
        <v>105262</v>
      </c>
    </row>
    <row r="83" spans="1:2">
      <c r="A83" s="5">
        <v>37</v>
      </c>
      <c r="B83" s="5">
        <v>47980</v>
      </c>
    </row>
    <row r="84" spans="1:2">
      <c r="A84" s="5">
        <v>57</v>
      </c>
      <c r="B84" s="5">
        <v>98086</v>
      </c>
    </row>
    <row r="85" spans="1:2">
      <c r="A85" s="5">
        <v>72</v>
      </c>
      <c r="B85" s="5">
        <v>73677</v>
      </c>
    </row>
    <row r="86" spans="1:2">
      <c r="A86" s="5">
        <v>22</v>
      </c>
      <c r="B86" s="5">
        <v>46978</v>
      </c>
    </row>
    <row r="87" spans="1:2">
      <c r="A87" s="5">
        <v>32</v>
      </c>
      <c r="B87" s="5">
        <v>14916</v>
      </c>
    </row>
    <row r="88" spans="1:2">
      <c r="A88" s="5">
        <v>52</v>
      </c>
      <c r="B88" s="5">
        <v>50419</v>
      </c>
    </row>
    <row r="89" spans="1:2">
      <c r="A89" s="5">
        <v>17</v>
      </c>
      <c r="B89" s="5">
        <v>92452</v>
      </c>
    </row>
    <row r="90" spans="1:2">
      <c r="A90" s="5">
        <v>67</v>
      </c>
      <c r="B90" s="5">
        <v>74000</v>
      </c>
    </row>
    <row r="91" spans="1:2">
      <c r="A91" s="5">
        <v>47</v>
      </c>
      <c r="B91" s="5">
        <v>127747</v>
      </c>
    </row>
    <row r="92" spans="1:2">
      <c r="A92" s="5">
        <v>57</v>
      </c>
      <c r="B92" s="5">
        <v>17707</v>
      </c>
    </row>
    <row r="93" spans="1:2">
      <c r="A93" s="5">
        <v>57</v>
      </c>
      <c r="B93" s="5">
        <v>64774</v>
      </c>
    </row>
    <row r="94" spans="1:2">
      <c r="A94" s="5">
        <v>37</v>
      </c>
      <c r="B94" s="5">
        <v>88783</v>
      </c>
    </row>
    <row r="95" spans="1:2">
      <c r="A95" s="5">
        <v>52</v>
      </c>
      <c r="B95" s="5">
        <v>114667</v>
      </c>
    </row>
    <row r="96" spans="1:2">
      <c r="A96" s="5">
        <v>52</v>
      </c>
      <c r="B96" s="5">
        <v>37583</v>
      </c>
    </row>
    <row r="97" spans="1:2">
      <c r="A97" s="5">
        <v>47</v>
      </c>
      <c r="B97" s="5">
        <v>81937</v>
      </c>
    </row>
    <row r="98" spans="1:2">
      <c r="A98" s="5">
        <v>17</v>
      </c>
      <c r="B98" s="5">
        <v>31943</v>
      </c>
    </row>
    <row r="99" spans="1:2">
      <c r="A99" s="5">
        <v>47</v>
      </c>
      <c r="B99" s="5">
        <v>47786</v>
      </c>
    </row>
    <row r="100" spans="1:2">
      <c r="A100" s="5">
        <v>47</v>
      </c>
      <c r="B100" s="5">
        <v>76936</v>
      </c>
    </row>
    <row r="101" spans="1:2">
      <c r="A101" s="5">
        <v>67</v>
      </c>
      <c r="B101" s="5">
        <v>4081</v>
      </c>
    </row>
    <row r="102" spans="1:2">
      <c r="A102" s="5">
        <v>57</v>
      </c>
      <c r="B102" s="5">
        <v>329444</v>
      </c>
    </row>
    <row r="103" spans="1:2">
      <c r="A103" s="5">
        <v>52</v>
      </c>
      <c r="B103" s="5">
        <v>122207</v>
      </c>
    </row>
    <row r="104" spans="1:2">
      <c r="A104" s="5">
        <v>27</v>
      </c>
      <c r="B104" s="5">
        <v>99468</v>
      </c>
    </row>
    <row r="105" spans="1:2">
      <c r="A105" s="5">
        <v>57</v>
      </c>
      <c r="B105" s="5">
        <v>50782</v>
      </c>
    </row>
    <row r="106" spans="1:2">
      <c r="A106" s="5">
        <v>27</v>
      </c>
      <c r="B106" s="5">
        <v>53826</v>
      </c>
    </row>
    <row r="107" spans="1:2">
      <c r="A107" s="5">
        <v>32</v>
      </c>
      <c r="B107" s="5">
        <v>49288</v>
      </c>
    </row>
    <row r="108" spans="1:2">
      <c r="A108" s="5">
        <v>32</v>
      </c>
      <c r="B108" s="5">
        <v>42556</v>
      </c>
    </row>
    <row r="109" spans="1:2">
      <c r="A109" s="5">
        <v>47</v>
      </c>
      <c r="B109" s="5">
        <v>42654</v>
      </c>
    </row>
    <row r="110" spans="1:2">
      <c r="A110" s="5">
        <v>52</v>
      </c>
      <c r="B110" s="5">
        <v>79984</v>
      </c>
    </row>
    <row r="111" spans="1:2">
      <c r="A111" s="5">
        <v>32</v>
      </c>
      <c r="B111" s="5">
        <v>315</v>
      </c>
    </row>
    <row r="112" spans="1:2">
      <c r="A112" s="5">
        <v>22</v>
      </c>
      <c r="B112" s="5">
        <v>11568</v>
      </c>
    </row>
    <row r="113" spans="1:2">
      <c r="A113" s="5">
        <v>72</v>
      </c>
      <c r="B113" s="5">
        <v>25773</v>
      </c>
    </row>
    <row r="114" spans="1:2">
      <c r="A114" s="5">
        <v>22</v>
      </c>
      <c r="B114" s="5">
        <v>45033</v>
      </c>
    </row>
    <row r="115" spans="1:2">
      <c r="A115" s="5">
        <v>47</v>
      </c>
      <c r="B115" s="5">
        <v>106693</v>
      </c>
    </row>
    <row r="116" spans="1:2">
      <c r="A116" s="5">
        <v>22</v>
      </c>
      <c r="B116" s="5">
        <v>23903</v>
      </c>
    </row>
    <row r="117" spans="1:2">
      <c r="A117" s="5">
        <v>72</v>
      </c>
      <c r="B117" s="5">
        <v>107373</v>
      </c>
    </row>
    <row r="118" spans="1:2">
      <c r="A118" s="5">
        <v>27</v>
      </c>
      <c r="B118" s="5">
        <v>65323</v>
      </c>
    </row>
    <row r="119" spans="1:2">
      <c r="A119" s="5">
        <v>32</v>
      </c>
      <c r="B119" s="5">
        <v>127211</v>
      </c>
    </row>
    <row r="120" spans="1:2">
      <c r="A120" s="5">
        <v>62</v>
      </c>
      <c r="B120" s="5">
        <v>14509</v>
      </c>
    </row>
    <row r="121" spans="1:2">
      <c r="A121" s="5">
        <v>37</v>
      </c>
      <c r="B121" s="5">
        <v>43748</v>
      </c>
    </row>
    <row r="122" spans="1:2">
      <c r="A122" s="5">
        <v>17</v>
      </c>
      <c r="B122" s="5">
        <v>25281</v>
      </c>
    </row>
    <row r="123" spans="1:2">
      <c r="A123" s="5">
        <v>62</v>
      </c>
      <c r="B123" s="5">
        <v>4007</v>
      </c>
    </row>
    <row r="124" spans="1:2">
      <c r="A124" s="5">
        <v>37</v>
      </c>
      <c r="B124" s="5">
        <v>133566</v>
      </c>
    </row>
    <row r="125" spans="1:2">
      <c r="A125" s="5">
        <v>57</v>
      </c>
      <c r="B125" s="5">
        <v>39357</v>
      </c>
    </row>
    <row r="126" spans="1:2">
      <c r="A126" s="5">
        <v>22</v>
      </c>
      <c r="B126" s="5">
        <v>19613</v>
      </c>
    </row>
    <row r="127" spans="1:2">
      <c r="A127" s="5">
        <v>52</v>
      </c>
      <c r="B127" s="5">
        <v>12158</v>
      </c>
    </row>
    <row r="128" spans="1:2">
      <c r="A128" s="5">
        <v>37</v>
      </c>
      <c r="B128" s="5">
        <v>57090</v>
      </c>
    </row>
    <row r="129" spans="1:2">
      <c r="A129" s="5">
        <v>37</v>
      </c>
      <c r="B129" s="5">
        <v>111777</v>
      </c>
    </row>
    <row r="130" spans="1:2">
      <c r="A130" s="5">
        <v>22</v>
      </c>
      <c r="B130" s="5">
        <v>26704</v>
      </c>
    </row>
    <row r="131" spans="1:2">
      <c r="A131" s="5">
        <v>37</v>
      </c>
      <c r="B131" s="5">
        <v>71831</v>
      </c>
    </row>
    <row r="132" spans="1:2">
      <c r="A132" s="5">
        <v>57</v>
      </c>
      <c r="B132" s="5">
        <v>47597</v>
      </c>
    </row>
    <row r="133" spans="1:2">
      <c r="A133" s="5">
        <v>42</v>
      </c>
      <c r="B133" s="5">
        <v>63752</v>
      </c>
    </row>
    <row r="134" spans="1:2">
      <c r="A134" s="5">
        <v>22</v>
      </c>
      <c r="B134" s="5">
        <v>40434</v>
      </c>
    </row>
    <row r="135" spans="1:2">
      <c r="A135" s="5">
        <v>32</v>
      </c>
      <c r="B135" s="5">
        <v>0</v>
      </c>
    </row>
    <row r="136" spans="1:2">
      <c r="A136" s="5">
        <v>57</v>
      </c>
      <c r="B136" s="5">
        <v>23118</v>
      </c>
    </row>
    <row r="137" spans="1:2">
      <c r="A137" s="5">
        <v>22</v>
      </c>
      <c r="B137" s="5">
        <v>33626</v>
      </c>
    </row>
    <row r="138" spans="1:2">
      <c r="A138" s="5">
        <v>47</v>
      </c>
      <c r="B138" s="5">
        <v>49023</v>
      </c>
    </row>
    <row r="139" spans="1:2">
      <c r="A139" s="5">
        <v>47</v>
      </c>
      <c r="B139" s="5">
        <v>44018</v>
      </c>
    </row>
    <row r="140" spans="1:2">
      <c r="A140" s="5">
        <v>52</v>
      </c>
      <c r="B140" s="5">
        <v>153645</v>
      </c>
    </row>
    <row r="141" spans="1:2">
      <c r="A141" s="5">
        <v>22</v>
      </c>
      <c r="B141" s="5">
        <v>30551</v>
      </c>
    </row>
    <row r="142" spans="1:2">
      <c r="A142" s="5">
        <v>42</v>
      </c>
      <c r="B142" s="5">
        <v>40291</v>
      </c>
    </row>
    <row r="143" spans="1:2">
      <c r="A143" s="5">
        <v>52</v>
      </c>
      <c r="B143" s="5">
        <v>48649</v>
      </c>
    </row>
    <row r="144" spans="1:2">
      <c r="A144" s="5">
        <v>52</v>
      </c>
      <c r="B144" s="5">
        <v>23126</v>
      </c>
    </row>
    <row r="145" spans="1:2">
      <c r="A145" s="5">
        <v>62</v>
      </c>
      <c r="B145" s="5">
        <v>22803</v>
      </c>
    </row>
    <row r="146" spans="1:2">
      <c r="A146" s="5">
        <v>32</v>
      </c>
      <c r="B146" s="5">
        <v>61574</v>
      </c>
    </row>
    <row r="147" spans="1:2">
      <c r="A147" s="5">
        <v>52</v>
      </c>
      <c r="B147" s="5">
        <v>20410</v>
      </c>
    </row>
    <row r="148" spans="1:2">
      <c r="A148" s="5">
        <v>72</v>
      </c>
      <c r="B148" s="5">
        <v>81512</v>
      </c>
    </row>
    <row r="149" spans="1:2">
      <c r="A149" s="5">
        <v>27</v>
      </c>
      <c r="B149" s="5">
        <v>54378</v>
      </c>
    </row>
    <row r="150" spans="1:2">
      <c r="A150" s="5">
        <v>32</v>
      </c>
      <c r="B150" s="5">
        <v>103899</v>
      </c>
    </row>
    <row r="151" spans="1:2">
      <c r="A151" s="5">
        <v>32</v>
      </c>
      <c r="B151" s="5">
        <v>67993</v>
      </c>
    </row>
    <row r="152" spans="1:2">
      <c r="A152" s="5">
        <v>32</v>
      </c>
      <c r="B152" s="5">
        <v>38749</v>
      </c>
    </row>
    <row r="153" spans="1:2">
      <c r="A153" s="5">
        <v>22</v>
      </c>
      <c r="B153" s="5">
        <v>15506</v>
      </c>
    </row>
    <row r="154" spans="1:2">
      <c r="A154" s="5">
        <v>27</v>
      </c>
      <c r="B154" s="5">
        <v>67930</v>
      </c>
    </row>
    <row r="155" spans="1:2">
      <c r="A155" s="5">
        <v>52</v>
      </c>
      <c r="B155" s="5">
        <v>18500</v>
      </c>
    </row>
    <row r="156" spans="1:2">
      <c r="A156" s="5">
        <v>72</v>
      </c>
      <c r="B156" s="5">
        <v>303</v>
      </c>
    </row>
    <row r="157" spans="1:2">
      <c r="A157" s="5">
        <v>37</v>
      </c>
      <c r="B157" s="5">
        <v>13558</v>
      </c>
    </row>
    <row r="158" spans="1:2">
      <c r="A158" s="5">
        <v>37</v>
      </c>
      <c r="B158" s="5">
        <v>44214</v>
      </c>
    </row>
    <row r="159" spans="1:2">
      <c r="A159" s="5">
        <v>47</v>
      </c>
      <c r="B159" s="5">
        <v>162588</v>
      </c>
    </row>
    <row r="160" spans="1:2">
      <c r="A160" s="5">
        <v>27</v>
      </c>
      <c r="B160" s="5">
        <v>19823</v>
      </c>
    </row>
    <row r="161" spans="1:2">
      <c r="A161" s="5">
        <v>32</v>
      </c>
      <c r="B161" s="5">
        <v>53957</v>
      </c>
    </row>
    <row r="162" spans="1:2">
      <c r="A162" s="5">
        <v>47</v>
      </c>
      <c r="B162" s="5">
        <v>81088</v>
      </c>
    </row>
    <row r="163" spans="1:2">
      <c r="A163" s="5">
        <v>32</v>
      </c>
      <c r="B163" s="5">
        <v>21138</v>
      </c>
    </row>
    <row r="164" spans="1:2">
      <c r="A164" s="5">
        <v>47</v>
      </c>
      <c r="B164" s="5">
        <v>130660</v>
      </c>
    </row>
    <row r="165" spans="1:2">
      <c r="A165" s="5">
        <v>42</v>
      </c>
      <c r="B165" s="5">
        <v>71502</v>
      </c>
    </row>
    <row r="166" spans="1:2">
      <c r="A166" s="5">
        <v>52</v>
      </c>
      <c r="B166" s="5">
        <v>83643</v>
      </c>
    </row>
    <row r="167" spans="1:2">
      <c r="A167" s="5">
        <v>22</v>
      </c>
      <c r="B167" s="5">
        <v>70284</v>
      </c>
    </row>
    <row r="168" spans="1:2">
      <c r="A168" s="5">
        <v>52</v>
      </c>
      <c r="B168" s="5">
        <v>74516</v>
      </c>
    </row>
    <row r="169" spans="1:2">
      <c r="A169" s="5">
        <v>47</v>
      </c>
      <c r="B169" s="5">
        <v>100363</v>
      </c>
    </row>
    <row r="170" spans="1:2">
      <c r="A170" s="5">
        <v>42</v>
      </c>
      <c r="B170" s="5">
        <v>81360</v>
      </c>
    </row>
    <row r="171" spans="1:2">
      <c r="A171" s="5">
        <v>52</v>
      </c>
      <c r="B171" s="5">
        <v>868</v>
      </c>
    </row>
    <row r="172" spans="1:2">
      <c r="A172" s="5">
        <v>52</v>
      </c>
      <c r="B172" s="5">
        <v>105632</v>
      </c>
    </row>
    <row r="173" spans="1:2">
      <c r="A173" s="5">
        <v>67</v>
      </c>
      <c r="B173" s="5">
        <v>81081</v>
      </c>
    </row>
    <row r="174" spans="1:2">
      <c r="A174" s="5">
        <v>72</v>
      </c>
      <c r="B174" s="5">
        <v>39656</v>
      </c>
    </row>
    <row r="175" spans="1:2">
      <c r="A175" s="5">
        <v>47</v>
      </c>
      <c r="B175" s="5">
        <v>65452</v>
      </c>
    </row>
    <row r="176" spans="1:2">
      <c r="A176" s="5">
        <v>62</v>
      </c>
      <c r="B176" s="5">
        <v>123215</v>
      </c>
    </row>
    <row r="177" spans="1:2">
      <c r="A177" s="5">
        <v>62</v>
      </c>
      <c r="B177" s="5">
        <v>60741</v>
      </c>
    </row>
    <row r="178" spans="1:2">
      <c r="A178" s="5">
        <v>52</v>
      </c>
      <c r="B178" s="5">
        <v>204950</v>
      </c>
    </row>
    <row r="179" spans="1:2">
      <c r="A179" s="5">
        <v>42</v>
      </c>
      <c r="B179" s="5">
        <v>14683</v>
      </c>
    </row>
    <row r="180" spans="1:2">
      <c r="A180" s="5">
        <v>42</v>
      </c>
      <c r="B180" s="5">
        <v>37616</v>
      </c>
    </row>
    <row r="181" spans="1:2">
      <c r="A181" s="5">
        <v>42</v>
      </c>
      <c r="B181" s="5">
        <v>34270</v>
      </c>
    </row>
    <row r="182" spans="1:2">
      <c r="A182" s="5">
        <v>72</v>
      </c>
      <c r="B182" s="5">
        <v>17057</v>
      </c>
    </row>
    <row r="183" spans="1:2">
      <c r="A183" s="5">
        <v>67</v>
      </c>
      <c r="B183" s="5">
        <v>65677</v>
      </c>
    </row>
    <row r="184" spans="1:2">
      <c r="A184" s="5">
        <v>32</v>
      </c>
      <c r="B184" s="5">
        <v>84287</v>
      </c>
    </row>
    <row r="185" spans="1:2">
      <c r="A185" s="5">
        <v>42</v>
      </c>
      <c r="B185" s="5">
        <v>56512</v>
      </c>
    </row>
    <row r="186" spans="1:2">
      <c r="A186" s="5">
        <v>27</v>
      </c>
      <c r="B186" s="5">
        <v>64006</v>
      </c>
    </row>
    <row r="187" spans="1:2">
      <c r="A187" s="5">
        <v>27</v>
      </c>
      <c r="B187" s="5">
        <v>65714</v>
      </c>
    </row>
    <row r="188" spans="1:2">
      <c r="A188" s="5">
        <v>42</v>
      </c>
      <c r="B188" s="5">
        <v>99883</v>
      </c>
    </row>
    <row r="189" spans="1:2">
      <c r="A189" s="5">
        <v>52</v>
      </c>
      <c r="B189" s="5">
        <v>57610</v>
      </c>
    </row>
    <row r="190" spans="1:2">
      <c r="A190" s="5">
        <v>52</v>
      </c>
      <c r="B190" s="5">
        <v>40743</v>
      </c>
    </row>
    <row r="191" spans="1:2">
      <c r="A191" s="5">
        <v>47</v>
      </c>
      <c r="B191" s="5">
        <v>87091</v>
      </c>
    </row>
    <row r="192" spans="1:2">
      <c r="A192" s="5">
        <v>32</v>
      </c>
      <c r="B192" s="5">
        <v>151829</v>
      </c>
    </row>
    <row r="193" spans="1:2">
      <c r="A193" s="5">
        <v>52</v>
      </c>
      <c r="B193" s="5">
        <v>36104</v>
      </c>
    </row>
    <row r="194" spans="1:2">
      <c r="A194" s="5">
        <v>37</v>
      </c>
      <c r="B194" s="5">
        <v>41335</v>
      </c>
    </row>
    <row r="195" spans="1:2">
      <c r="A195" s="5">
        <v>47</v>
      </c>
      <c r="B195" s="5">
        <v>27462</v>
      </c>
    </row>
    <row r="196" spans="1:2">
      <c r="A196" s="5">
        <v>52</v>
      </c>
      <c r="B196" s="5">
        <v>20258</v>
      </c>
    </row>
    <row r="197" spans="1:2">
      <c r="A197" s="5">
        <v>37</v>
      </c>
      <c r="B197" s="5">
        <v>63833</v>
      </c>
    </row>
    <row r="198" spans="1:2">
      <c r="A198" s="5">
        <v>67</v>
      </c>
      <c r="B198" s="5">
        <v>15211</v>
      </c>
    </row>
    <row r="199" spans="1:2">
      <c r="A199" s="5">
        <v>62</v>
      </c>
      <c r="B199" s="5">
        <v>23959</v>
      </c>
    </row>
    <row r="200" spans="1:2">
      <c r="A200" s="5">
        <v>72</v>
      </c>
      <c r="B200" s="5">
        <v>32345</v>
      </c>
    </row>
    <row r="201" spans="1:2">
      <c r="A201" s="5">
        <v>27</v>
      </c>
      <c r="B201" s="5">
        <v>21540</v>
      </c>
    </row>
    <row r="202" spans="1:2">
      <c r="A202" s="5">
        <v>42</v>
      </c>
      <c r="B202" s="5">
        <v>67726</v>
      </c>
    </row>
    <row r="203" spans="1:2">
      <c r="A203" s="5">
        <v>17</v>
      </c>
      <c r="B203" s="5">
        <v>8948</v>
      </c>
    </row>
    <row r="204" spans="1:2">
      <c r="A204" s="5">
        <v>32</v>
      </c>
      <c r="B204" s="5">
        <v>44467</v>
      </c>
    </row>
    <row r="205" spans="1:2">
      <c r="A205" s="5">
        <v>32</v>
      </c>
      <c r="B205" s="5">
        <v>121177</v>
      </c>
    </row>
    <row r="206" spans="1:2">
      <c r="A206" s="5">
        <v>37</v>
      </c>
      <c r="B206" s="5">
        <v>73607</v>
      </c>
    </row>
    <row r="207" spans="1:2">
      <c r="A207" s="5">
        <v>52</v>
      </c>
      <c r="B207" s="5">
        <v>42603</v>
      </c>
    </row>
    <row r="208" spans="1:2">
      <c r="A208" s="5">
        <v>37</v>
      </c>
      <c r="B208" s="5">
        <v>67294</v>
      </c>
    </row>
    <row r="209" spans="1:2">
      <c r="A209" s="5">
        <v>52</v>
      </c>
      <c r="B209" s="5">
        <v>134744</v>
      </c>
    </row>
    <row r="210" spans="1:2">
      <c r="A210" s="5">
        <v>32</v>
      </c>
      <c r="B210" s="5">
        <v>75608</v>
      </c>
    </row>
    <row r="211" spans="1:2">
      <c r="A211" s="5">
        <v>37</v>
      </c>
      <c r="B211" s="5">
        <v>36783</v>
      </c>
    </row>
    <row r="212" spans="1:2">
      <c r="A212" s="5">
        <v>72</v>
      </c>
      <c r="B212" s="5">
        <v>16680</v>
      </c>
    </row>
    <row r="213" spans="1:2">
      <c r="A213" s="5">
        <v>22</v>
      </c>
      <c r="B213" s="5">
        <v>24423</v>
      </c>
    </row>
    <row r="214" spans="1:2">
      <c r="A214" s="5">
        <v>72</v>
      </c>
      <c r="B214" s="5">
        <v>23195</v>
      </c>
    </row>
    <row r="215" spans="1:2">
      <c r="A215" s="5">
        <v>32</v>
      </c>
      <c r="B215" s="5">
        <v>57058</v>
      </c>
    </row>
    <row r="216" spans="1:2">
      <c r="A216" s="5">
        <v>37</v>
      </c>
      <c r="B216" s="5">
        <v>68293</v>
      </c>
    </row>
    <row r="217" spans="1:2">
      <c r="A217" s="5">
        <v>37</v>
      </c>
      <c r="B217" s="5">
        <v>31422</v>
      </c>
    </row>
    <row r="218" spans="1:2">
      <c r="A218" s="5">
        <v>32</v>
      </c>
      <c r="B218" s="5">
        <v>24596</v>
      </c>
    </row>
    <row r="219" spans="1:2">
      <c r="A219" s="5">
        <v>47</v>
      </c>
      <c r="B219" s="5">
        <v>117377</v>
      </c>
    </row>
    <row r="220" spans="1:2">
      <c r="A220" s="5">
        <v>27</v>
      </c>
      <c r="B220" s="5">
        <v>61329</v>
      </c>
    </row>
    <row r="221" spans="1:2">
      <c r="A221" s="5">
        <v>52</v>
      </c>
      <c r="B221" s="5">
        <v>53672</v>
      </c>
    </row>
    <row r="222" spans="1:2">
      <c r="A222" s="5">
        <v>62</v>
      </c>
      <c r="B222" s="5">
        <v>18519</v>
      </c>
    </row>
    <row r="223" spans="1:2">
      <c r="A223" s="5">
        <v>62</v>
      </c>
      <c r="B223" s="5">
        <v>28742</v>
      </c>
    </row>
    <row r="224" spans="1:2">
      <c r="A224" s="5">
        <v>32</v>
      </c>
      <c r="B224" s="5">
        <v>65113</v>
      </c>
    </row>
    <row r="225" spans="1:2">
      <c r="A225" s="5">
        <v>37</v>
      </c>
      <c r="B225" s="5">
        <v>112561</v>
      </c>
    </row>
    <row r="226" spans="1:2">
      <c r="A226" s="5">
        <v>57</v>
      </c>
      <c r="B226" s="5">
        <v>49107</v>
      </c>
    </row>
    <row r="227" spans="1:2">
      <c r="A227" s="5">
        <v>22</v>
      </c>
      <c r="B227" s="5">
        <v>36653</v>
      </c>
    </row>
    <row r="228" spans="1:2">
      <c r="A228" s="5">
        <v>57</v>
      </c>
      <c r="B228" s="5">
        <v>22172</v>
      </c>
    </row>
    <row r="229" spans="1:2">
      <c r="A229" s="5">
        <v>62</v>
      </c>
      <c r="B229" s="5">
        <v>108891</v>
      </c>
    </row>
    <row r="230" spans="1:2">
      <c r="A230" s="5">
        <v>22</v>
      </c>
      <c r="B230" s="5">
        <v>17201</v>
      </c>
    </row>
    <row r="231" spans="1:2">
      <c r="A231" s="5">
        <v>42</v>
      </c>
      <c r="B231" s="5">
        <v>75441</v>
      </c>
    </row>
    <row r="232" spans="1:2">
      <c r="A232" s="5">
        <v>22</v>
      </c>
      <c r="B232" s="5">
        <v>58779</v>
      </c>
    </row>
    <row r="233" spans="1:2">
      <c r="A233" s="5">
        <v>22</v>
      </c>
      <c r="B233" s="5">
        <v>63738</v>
      </c>
    </row>
    <row r="234" spans="1:2">
      <c r="A234" s="5">
        <v>67</v>
      </c>
      <c r="B234" s="5">
        <v>41728</v>
      </c>
    </row>
    <row r="235" spans="1:2">
      <c r="A235" s="5">
        <v>62</v>
      </c>
      <c r="B235" s="5">
        <v>78487</v>
      </c>
    </row>
    <row r="236" spans="1:2">
      <c r="A236" s="5">
        <v>32</v>
      </c>
      <c r="B236" s="5">
        <v>69216</v>
      </c>
    </row>
    <row r="237" spans="1:2">
      <c r="A237" s="5">
        <v>52</v>
      </c>
      <c r="B237" s="5">
        <v>74018</v>
      </c>
    </row>
    <row r="238" spans="1:2">
      <c r="A238" s="5">
        <v>52</v>
      </c>
      <c r="B238" s="5">
        <v>41702</v>
      </c>
    </row>
    <row r="239" spans="1:2">
      <c r="A239" s="5">
        <v>22</v>
      </c>
      <c r="B239" s="5">
        <v>15157</v>
      </c>
    </row>
    <row r="240" spans="1:2">
      <c r="A240" s="5">
        <v>42</v>
      </c>
      <c r="B240" s="5">
        <v>3053</v>
      </c>
    </row>
    <row r="241" spans="1:2">
      <c r="A241" s="5">
        <v>37</v>
      </c>
      <c r="B241" s="5">
        <v>63393</v>
      </c>
    </row>
    <row r="242" spans="1:2">
      <c r="A242" s="5">
        <v>72</v>
      </c>
      <c r="B242" s="5">
        <v>586</v>
      </c>
    </row>
    <row r="243" spans="1:2">
      <c r="A243" s="5">
        <v>32</v>
      </c>
      <c r="B243" s="5">
        <v>103123</v>
      </c>
    </row>
    <row r="244" spans="1:2">
      <c r="A244" s="5">
        <v>62</v>
      </c>
      <c r="B244" s="5">
        <v>74064</v>
      </c>
    </row>
    <row r="245" spans="1:2">
      <c r="A245" s="5">
        <v>52</v>
      </c>
      <c r="B245" s="5">
        <v>38693</v>
      </c>
    </row>
    <row r="246" spans="1:2">
      <c r="A246" s="5">
        <v>22</v>
      </c>
      <c r="B246" s="5">
        <v>8702</v>
      </c>
    </row>
    <row r="247" spans="1:2">
      <c r="A247" s="5">
        <v>57</v>
      </c>
      <c r="B247" s="5">
        <v>41147</v>
      </c>
    </row>
    <row r="248" spans="1:2">
      <c r="A248" s="5">
        <v>52</v>
      </c>
      <c r="B248" s="5">
        <v>72696</v>
      </c>
    </row>
    <row r="249" spans="1:2">
      <c r="A249" s="5">
        <v>72</v>
      </c>
      <c r="B249" s="5">
        <v>222</v>
      </c>
    </row>
    <row r="250" spans="1:2">
      <c r="A250" s="5">
        <v>32</v>
      </c>
      <c r="B250" s="5">
        <v>19880</v>
      </c>
    </row>
    <row r="251" spans="1:2">
      <c r="A251" s="5">
        <v>32</v>
      </c>
      <c r="B251" s="5">
        <v>8754</v>
      </c>
    </row>
    <row r="252" spans="1:2">
      <c r="A252" s="5">
        <v>27</v>
      </c>
      <c r="B252" s="5">
        <v>53738</v>
      </c>
    </row>
    <row r="253" spans="1:2">
      <c r="A253" s="5">
        <v>57</v>
      </c>
      <c r="B253" s="5">
        <v>49797</v>
      </c>
    </row>
    <row r="254" spans="1:2">
      <c r="A254" s="5">
        <v>22</v>
      </c>
      <c r="B254" s="5">
        <v>17061</v>
      </c>
    </row>
    <row r="255" spans="1:2">
      <c r="A255" s="5">
        <v>27</v>
      </c>
      <c r="B255" s="5">
        <v>53378</v>
      </c>
    </row>
    <row r="256" spans="1:2">
      <c r="A256" s="5">
        <v>47</v>
      </c>
      <c r="B256" s="5">
        <v>36553</v>
      </c>
    </row>
    <row r="257" spans="1:2">
      <c r="A257" s="5">
        <v>27</v>
      </c>
      <c r="B257" s="5">
        <v>92204</v>
      </c>
    </row>
    <row r="258" spans="1:2">
      <c r="A258" s="5">
        <v>52</v>
      </c>
      <c r="B258" s="5">
        <v>46032</v>
      </c>
    </row>
    <row r="259" spans="1:2">
      <c r="A259" s="5">
        <v>57</v>
      </c>
      <c r="B259" s="5">
        <v>164860</v>
      </c>
    </row>
    <row r="260" spans="1:2">
      <c r="A260" s="5">
        <v>27</v>
      </c>
      <c r="B260" s="5">
        <v>20390</v>
      </c>
    </row>
    <row r="261" spans="1:2">
      <c r="A261" s="5">
        <v>72</v>
      </c>
      <c r="B261" s="5">
        <v>411</v>
      </c>
    </row>
    <row r="262" spans="1:2">
      <c r="A262" s="5">
        <v>42</v>
      </c>
      <c r="B262" s="5">
        <v>362528</v>
      </c>
    </row>
    <row r="263" spans="1:2">
      <c r="A263" s="5">
        <v>37</v>
      </c>
      <c r="B263" s="5">
        <v>84012</v>
      </c>
    </row>
    <row r="264" spans="1:2">
      <c r="A264" s="5">
        <v>17</v>
      </c>
      <c r="B264" s="5">
        <v>11932</v>
      </c>
    </row>
    <row r="265" spans="1:2">
      <c r="A265" s="5">
        <v>37</v>
      </c>
      <c r="B265" s="5">
        <v>87820</v>
      </c>
    </row>
    <row r="266" spans="1:2">
      <c r="A266" s="5">
        <v>37</v>
      </c>
      <c r="B266" s="5">
        <v>63677</v>
      </c>
    </row>
    <row r="267" spans="1:2">
      <c r="A267" s="5">
        <v>52</v>
      </c>
      <c r="B267" s="5">
        <v>41408</v>
      </c>
    </row>
    <row r="268" spans="1:2">
      <c r="A268" s="5">
        <v>32</v>
      </c>
      <c r="B268" s="5">
        <v>687</v>
      </c>
    </row>
    <row r="269" spans="1:2">
      <c r="A269" s="5">
        <v>72</v>
      </c>
      <c r="B269" s="5">
        <v>24043</v>
      </c>
    </row>
    <row r="270" spans="1:2">
      <c r="A270" s="5">
        <v>72</v>
      </c>
      <c r="B270" s="5">
        <v>18083</v>
      </c>
    </row>
    <row r="271" spans="1:2">
      <c r="A271" s="5">
        <v>17</v>
      </c>
      <c r="B271" s="5">
        <v>21621</v>
      </c>
    </row>
    <row r="272" spans="1:2">
      <c r="A272" s="5">
        <v>67</v>
      </c>
      <c r="B272" s="5">
        <v>45731</v>
      </c>
    </row>
    <row r="273" spans="1:2">
      <c r="A273" s="5">
        <v>47</v>
      </c>
      <c r="B273" s="5">
        <v>-989</v>
      </c>
    </row>
    <row r="274" spans="1:2">
      <c r="A274" s="5">
        <v>42</v>
      </c>
      <c r="B274" s="5">
        <v>66338</v>
      </c>
    </row>
    <row r="275" spans="1:2">
      <c r="A275" s="5">
        <v>47</v>
      </c>
      <c r="B275" s="5">
        <v>63322</v>
      </c>
    </row>
    <row r="276" spans="1:2">
      <c r="A276" s="5">
        <v>37</v>
      </c>
      <c r="B276" s="5">
        <v>19786</v>
      </c>
    </row>
    <row r="277" spans="1:2">
      <c r="A277" s="5">
        <v>57</v>
      </c>
      <c r="B277" s="5">
        <v>46660</v>
      </c>
    </row>
    <row r="278" spans="1:2">
      <c r="A278" s="5">
        <v>52</v>
      </c>
      <c r="B278" s="5">
        <v>115874</v>
      </c>
    </row>
    <row r="279" spans="1:2">
      <c r="A279" s="5">
        <v>22</v>
      </c>
      <c r="B279" s="5">
        <v>23868</v>
      </c>
    </row>
    <row r="280" spans="1:2">
      <c r="A280" s="5">
        <v>27</v>
      </c>
      <c r="B280" s="5">
        <v>43868</v>
      </c>
    </row>
    <row r="281" spans="1:2">
      <c r="A281" s="5">
        <v>72</v>
      </c>
      <c r="B281" s="5">
        <v>10966</v>
      </c>
    </row>
    <row r="282" spans="1:2">
      <c r="A282" s="5">
        <v>32</v>
      </c>
      <c r="B282" s="5">
        <v>75468</v>
      </c>
    </row>
    <row r="283" spans="1:2">
      <c r="A283" s="5">
        <v>52</v>
      </c>
      <c r="B283" s="5">
        <v>19340</v>
      </c>
    </row>
    <row r="284" spans="1:2">
      <c r="A284" s="5">
        <v>32</v>
      </c>
      <c r="B284" s="5">
        <v>204515</v>
      </c>
    </row>
    <row r="285" spans="1:2">
      <c r="A285" s="5">
        <v>62</v>
      </c>
      <c r="B285" s="5">
        <v>76777</v>
      </c>
    </row>
    <row r="286" spans="1:2">
      <c r="A286" s="5">
        <v>27</v>
      </c>
      <c r="B286" s="5">
        <v>22865</v>
      </c>
    </row>
    <row r="287" spans="1:2">
      <c r="A287" s="5">
        <v>62</v>
      </c>
      <c r="B287" s="5">
        <v>170613</v>
      </c>
    </row>
    <row r="288" spans="1:2">
      <c r="A288" s="5">
        <v>47</v>
      </c>
      <c r="B288" s="5">
        <v>39073</v>
      </c>
    </row>
    <row r="289" spans="1:2">
      <c r="A289" s="5">
        <v>22</v>
      </c>
      <c r="B289" s="5">
        <v>22825</v>
      </c>
    </row>
    <row r="290" spans="1:2">
      <c r="A290" s="5">
        <v>47</v>
      </c>
      <c r="B290" s="5">
        <v>68022</v>
      </c>
    </row>
    <row r="291" spans="1:2">
      <c r="A291" s="5">
        <v>22</v>
      </c>
      <c r="B291" s="5">
        <v>15649</v>
      </c>
    </row>
    <row r="292" spans="1:2">
      <c r="A292" s="5">
        <v>47</v>
      </c>
      <c r="B292" s="5">
        <v>14902</v>
      </c>
    </row>
    <row r="293" spans="1:2">
      <c r="A293" s="5">
        <v>27</v>
      </c>
      <c r="B293" s="5">
        <v>50117</v>
      </c>
    </row>
    <row r="294" spans="1:2">
      <c r="A294" s="5">
        <v>67</v>
      </c>
      <c r="B294" s="5">
        <v>10032</v>
      </c>
    </row>
    <row r="295" spans="1:2">
      <c r="A295" s="5">
        <v>27</v>
      </c>
      <c r="B295" s="5">
        <v>145393</v>
      </c>
    </row>
    <row r="296" spans="1:2">
      <c r="A296" s="5">
        <v>72</v>
      </c>
      <c r="B296" s="5">
        <v>1530</v>
      </c>
    </row>
    <row r="297" spans="1:2">
      <c r="A297" s="5">
        <v>27</v>
      </c>
      <c r="B297" s="5">
        <v>45494</v>
      </c>
    </row>
    <row r="298" spans="1:2">
      <c r="A298" s="5">
        <v>62</v>
      </c>
      <c r="B298" s="5">
        <v>33927</v>
      </c>
    </row>
    <row r="299" spans="1:2">
      <c r="A299" s="5">
        <v>52</v>
      </c>
      <c r="B299" s="5">
        <v>40478</v>
      </c>
    </row>
    <row r="300" spans="1:2">
      <c r="A300" s="5">
        <v>32</v>
      </c>
      <c r="B300" s="5">
        <v>48598</v>
      </c>
    </row>
    <row r="301" spans="1:2">
      <c r="A301" s="5">
        <v>47</v>
      </c>
      <c r="B301" s="5">
        <v>64041</v>
      </c>
    </row>
    <row r="302" spans="1:2">
      <c r="A302" s="5">
        <v>47</v>
      </c>
      <c r="B302" s="5">
        <v>278</v>
      </c>
    </row>
    <row r="303" spans="1:2">
      <c r="A303" s="5">
        <v>47</v>
      </c>
      <c r="B303" s="5">
        <v>107092</v>
      </c>
    </row>
    <row r="304" spans="1:2">
      <c r="A304" s="5">
        <v>62</v>
      </c>
      <c r="B304" s="5">
        <v>3202</v>
      </c>
    </row>
    <row r="305" spans="1:2">
      <c r="A305" s="5">
        <v>57</v>
      </c>
      <c r="B305" s="5">
        <v>45498</v>
      </c>
    </row>
    <row r="306" spans="1:2">
      <c r="A306" s="5">
        <v>52</v>
      </c>
      <c r="B306" s="5">
        <v>68615</v>
      </c>
    </row>
    <row r="307" spans="1:2">
      <c r="A307" s="5">
        <v>57</v>
      </c>
      <c r="B307" s="5">
        <v>31488</v>
      </c>
    </row>
    <row r="308" spans="1:2">
      <c r="A308" s="5">
        <v>42</v>
      </c>
      <c r="B308" s="5">
        <v>38450</v>
      </c>
    </row>
    <row r="309" spans="1:2">
      <c r="A309" s="5">
        <v>22</v>
      </c>
      <c r="B309" s="5">
        <v>41728</v>
      </c>
    </row>
    <row r="310" spans="1:2">
      <c r="A310" s="5">
        <v>27</v>
      </c>
      <c r="B310" s="5">
        <v>52404</v>
      </c>
    </row>
    <row r="311" spans="1:2">
      <c r="A311" s="5">
        <v>57</v>
      </c>
      <c r="B311" s="5">
        <v>15171</v>
      </c>
    </row>
    <row r="312" spans="1:2">
      <c r="A312" s="5">
        <v>52</v>
      </c>
      <c r="B312" s="5">
        <v>74453</v>
      </c>
    </row>
    <row r="313" spans="1:2">
      <c r="A313" s="5">
        <v>47</v>
      </c>
      <c r="B313" s="5">
        <v>19648</v>
      </c>
    </row>
    <row r="314" spans="1:2">
      <c r="A314" s="5">
        <v>42</v>
      </c>
      <c r="B314" s="5">
        <v>80271</v>
      </c>
    </row>
    <row r="315" spans="1:2">
      <c r="A315" s="5">
        <v>47</v>
      </c>
      <c r="B315" s="5">
        <v>119681</v>
      </c>
    </row>
    <row r="316" spans="1:2">
      <c r="A316" s="5">
        <v>52</v>
      </c>
      <c r="B316" s="5">
        <v>2629</v>
      </c>
    </row>
    <row r="317" spans="1:2">
      <c r="A317" s="5">
        <v>72</v>
      </c>
      <c r="B317" s="5">
        <v>130322</v>
      </c>
    </row>
    <row r="318" spans="1:2">
      <c r="A318" s="5">
        <v>57</v>
      </c>
      <c r="B318" s="5">
        <v>42586</v>
      </c>
    </row>
    <row r="319" spans="1:2">
      <c r="A319" s="5">
        <v>52</v>
      </c>
      <c r="B319" s="5">
        <v>116709</v>
      </c>
    </row>
    <row r="320" spans="1:2">
      <c r="A320" s="5">
        <v>47</v>
      </c>
      <c r="B320" s="5">
        <v>77766</v>
      </c>
    </row>
    <row r="321" spans="1:2">
      <c r="A321" s="5">
        <v>32</v>
      </c>
      <c r="B321" s="5">
        <v>76166</v>
      </c>
    </row>
    <row r="322" spans="1:2">
      <c r="A322" s="5">
        <v>52</v>
      </c>
      <c r="B322" s="5">
        <v>28863</v>
      </c>
    </row>
    <row r="323" spans="1:2">
      <c r="A323" s="5">
        <v>22</v>
      </c>
      <c r="B323" s="5">
        <v>45633</v>
      </c>
    </row>
    <row r="324" spans="1:2">
      <c r="A324" s="5">
        <v>42</v>
      </c>
      <c r="B324" s="5">
        <v>75128</v>
      </c>
    </row>
    <row r="325" spans="1:2">
      <c r="A325" s="5">
        <v>42</v>
      </c>
      <c r="B325" s="5">
        <v>78897</v>
      </c>
    </row>
    <row r="326" spans="1:2">
      <c r="A326" s="5">
        <v>27</v>
      </c>
      <c r="B326" s="5">
        <v>67510</v>
      </c>
    </row>
    <row r="327" spans="1:2">
      <c r="A327" s="5">
        <v>62</v>
      </c>
      <c r="B327" s="5">
        <v>43561</v>
      </c>
    </row>
    <row r="328" spans="1:2">
      <c r="A328" s="5">
        <v>27</v>
      </c>
      <c r="B328" s="5">
        <v>59184</v>
      </c>
    </row>
    <row r="329" spans="1:2">
      <c r="A329" s="5">
        <v>62</v>
      </c>
      <c r="B329" s="5">
        <v>69530</v>
      </c>
    </row>
    <row r="330" spans="1:2">
      <c r="A330" s="5">
        <v>72</v>
      </c>
      <c r="B330" s="5">
        <v>138540</v>
      </c>
    </row>
    <row r="331" spans="1:2">
      <c r="A331" s="5">
        <v>37</v>
      </c>
      <c r="B331" s="5">
        <v>49108</v>
      </c>
    </row>
    <row r="332" spans="1:2">
      <c r="A332" s="5">
        <v>57</v>
      </c>
      <c r="B332" s="5">
        <v>48662</v>
      </c>
    </row>
    <row r="333" spans="1:2">
      <c r="A333" s="5">
        <v>47</v>
      </c>
      <c r="B333" s="5">
        <v>37481</v>
      </c>
    </row>
    <row r="334" spans="1:2">
      <c r="A334" s="5">
        <v>57</v>
      </c>
      <c r="B334" s="5">
        <v>65253</v>
      </c>
    </row>
    <row r="335" spans="1:2">
      <c r="A335" s="5">
        <v>47</v>
      </c>
      <c r="B335" s="5">
        <v>59928</v>
      </c>
    </row>
    <row r="336" spans="1:2">
      <c r="A336" s="5">
        <v>42</v>
      </c>
      <c r="B336" s="5">
        <v>11159</v>
      </c>
    </row>
    <row r="337" spans="1:2">
      <c r="A337" s="5">
        <v>72</v>
      </c>
      <c r="B337" s="5">
        <v>58984</v>
      </c>
    </row>
    <row r="338" spans="1:2">
      <c r="A338" s="5">
        <v>27</v>
      </c>
      <c r="B338" s="5">
        <v>91953</v>
      </c>
    </row>
    <row r="339" spans="1:2">
      <c r="A339" s="5">
        <v>52</v>
      </c>
      <c r="B339" s="5">
        <v>106104</v>
      </c>
    </row>
    <row r="340" spans="1:2">
      <c r="A340" s="5">
        <v>37</v>
      </c>
      <c r="B340" s="5">
        <v>15205</v>
      </c>
    </row>
    <row r="341" spans="1:2">
      <c r="A341" s="5">
        <v>47</v>
      </c>
      <c r="B341" s="5">
        <v>36653</v>
      </c>
    </row>
    <row r="342" spans="1:2">
      <c r="A342" s="5">
        <v>57</v>
      </c>
      <c r="B342" s="5">
        <v>27258</v>
      </c>
    </row>
    <row r="343" spans="1:2">
      <c r="A343" s="5">
        <v>52</v>
      </c>
      <c r="B343" s="5">
        <v>24223</v>
      </c>
    </row>
    <row r="344" spans="1:2">
      <c r="A344" s="5">
        <v>72</v>
      </c>
      <c r="B344" s="5">
        <v>41210</v>
      </c>
    </row>
    <row r="345" spans="1:2">
      <c r="A345" s="5">
        <v>42</v>
      </c>
      <c r="B345" s="5">
        <v>177747</v>
      </c>
    </row>
    <row r="346" spans="1:2">
      <c r="A346" s="5">
        <v>52</v>
      </c>
      <c r="B346" s="5">
        <v>26670</v>
      </c>
    </row>
    <row r="347" spans="1:2">
      <c r="A347" s="5">
        <v>52</v>
      </c>
      <c r="B347" s="5">
        <v>6392</v>
      </c>
    </row>
    <row r="348" spans="1:2">
      <c r="A348" s="5">
        <v>47</v>
      </c>
      <c r="B348" s="5">
        <v>64042</v>
      </c>
    </row>
    <row r="349" spans="1:2">
      <c r="A349" s="5">
        <v>52</v>
      </c>
      <c r="B349" s="5">
        <v>59677</v>
      </c>
    </row>
    <row r="350" spans="1:2">
      <c r="A350" s="5">
        <v>72</v>
      </c>
      <c r="B350" s="5">
        <v>205028</v>
      </c>
    </row>
    <row r="351" spans="1:2">
      <c r="A351" s="5">
        <v>72</v>
      </c>
      <c r="B351" s="5">
        <v>121759</v>
      </c>
    </row>
    <row r="352" spans="1:2">
      <c r="A352" s="5">
        <v>52</v>
      </c>
      <c r="B352" s="5">
        <v>50248</v>
      </c>
    </row>
    <row r="353" spans="1:2">
      <c r="A353" s="5">
        <v>37</v>
      </c>
      <c r="B353" s="5">
        <v>81260</v>
      </c>
    </row>
    <row r="354" spans="1:2">
      <c r="A354" s="5">
        <v>27</v>
      </c>
      <c r="B354" s="5">
        <v>26314</v>
      </c>
    </row>
    <row r="355" spans="1:2">
      <c r="A355" s="5">
        <v>72</v>
      </c>
      <c r="B355" s="5">
        <v>308266</v>
      </c>
    </row>
    <row r="356" spans="1:2">
      <c r="A356" s="5">
        <v>47</v>
      </c>
      <c r="B356" s="5">
        <v>94643</v>
      </c>
    </row>
    <row r="357" spans="1:2">
      <c r="A357" s="5">
        <v>67</v>
      </c>
      <c r="B357" s="5">
        <v>14091</v>
      </c>
    </row>
    <row r="358" spans="1:2">
      <c r="A358" s="5">
        <v>52</v>
      </c>
      <c r="B358" s="5">
        <v>37766</v>
      </c>
    </row>
    <row r="359" spans="1:2">
      <c r="A359" s="5">
        <v>57</v>
      </c>
      <c r="B359" s="5">
        <v>91854</v>
      </c>
    </row>
    <row r="360" spans="1:2">
      <c r="A360" s="5">
        <v>42</v>
      </c>
      <c r="B360" s="5">
        <v>14003</v>
      </c>
    </row>
    <row r="361" spans="1:2">
      <c r="A361" s="5">
        <v>42</v>
      </c>
      <c r="B361" s="5">
        <v>101018</v>
      </c>
    </row>
    <row r="362" spans="1:2">
      <c r="A362" s="5">
        <v>57</v>
      </c>
      <c r="B362" s="5">
        <v>88363</v>
      </c>
    </row>
    <row r="363" spans="1:2">
      <c r="A363" s="5">
        <v>37</v>
      </c>
      <c r="B363" s="5">
        <v>125755</v>
      </c>
    </row>
    <row r="364" spans="1:2">
      <c r="A364" s="5">
        <v>47</v>
      </c>
      <c r="B364" s="5">
        <v>102712</v>
      </c>
    </row>
    <row r="365" spans="1:2">
      <c r="A365" s="5">
        <v>22</v>
      </c>
      <c r="B365" s="5">
        <v>62999</v>
      </c>
    </row>
    <row r="366" spans="1:2">
      <c r="A366" s="5">
        <v>27</v>
      </c>
      <c r="B366" s="5">
        <v>35008</v>
      </c>
    </row>
    <row r="367" spans="1:2">
      <c r="A367" s="5">
        <v>47</v>
      </c>
      <c r="B367" s="5">
        <v>37744</v>
      </c>
    </row>
    <row r="368" spans="1:2">
      <c r="A368" s="5">
        <v>62</v>
      </c>
      <c r="B368" s="5">
        <v>1011</v>
      </c>
    </row>
    <row r="369" spans="1:2">
      <c r="A369" s="5">
        <v>57</v>
      </c>
      <c r="B369" s="5">
        <v>23655</v>
      </c>
    </row>
    <row r="370" spans="1:2">
      <c r="A370" s="5">
        <v>47</v>
      </c>
      <c r="B370" s="5">
        <v>488320</v>
      </c>
    </row>
    <row r="371" spans="1:2">
      <c r="A371" s="5">
        <v>37</v>
      </c>
      <c r="B371" s="5">
        <v>39860</v>
      </c>
    </row>
    <row r="372" spans="1:2">
      <c r="A372" s="5">
        <v>52</v>
      </c>
      <c r="B372" s="5">
        <v>151110</v>
      </c>
    </row>
    <row r="373" spans="1:2">
      <c r="A373" s="5">
        <v>52</v>
      </c>
      <c r="B373" s="5">
        <v>308194</v>
      </c>
    </row>
    <row r="374" spans="1:2">
      <c r="A374" s="5">
        <v>37</v>
      </c>
      <c r="B374" s="5">
        <v>18363</v>
      </c>
    </row>
    <row r="375" spans="1:2">
      <c r="A375" s="5">
        <v>42</v>
      </c>
      <c r="B375" s="5">
        <v>181275</v>
      </c>
    </row>
    <row r="376" spans="1:2">
      <c r="A376" s="5">
        <v>32</v>
      </c>
      <c r="B376" s="5">
        <v>78850</v>
      </c>
    </row>
    <row r="377" spans="1:2">
      <c r="A377" s="5">
        <v>52</v>
      </c>
      <c r="B377" s="5">
        <v>41389</v>
      </c>
    </row>
    <row r="378" spans="1:2">
      <c r="A378" s="5">
        <v>62</v>
      </c>
      <c r="B378" s="5">
        <v>87181</v>
      </c>
    </row>
    <row r="379" spans="1:2">
      <c r="A379" s="5">
        <v>62</v>
      </c>
      <c r="B379" s="5">
        <v>38618</v>
      </c>
    </row>
    <row r="380" spans="1:2">
      <c r="A380" s="5">
        <v>37</v>
      </c>
      <c r="B380" s="5">
        <v>108263</v>
      </c>
    </row>
    <row r="381" spans="1:2">
      <c r="A381" s="5">
        <v>52</v>
      </c>
      <c r="B381" s="5">
        <v>164958</v>
      </c>
    </row>
    <row r="382" spans="1:2">
      <c r="A382" s="5">
        <v>62</v>
      </c>
      <c r="B382" s="5">
        <v>33655</v>
      </c>
    </row>
    <row r="383" spans="1:2">
      <c r="A383" s="5">
        <v>42</v>
      </c>
      <c r="B383" s="5">
        <v>69036</v>
      </c>
    </row>
    <row r="384" spans="1:2">
      <c r="A384" s="5">
        <v>57</v>
      </c>
      <c r="B384" s="5">
        <v>74892</v>
      </c>
    </row>
    <row r="385" spans="1:2">
      <c r="A385" s="5">
        <v>22</v>
      </c>
      <c r="B385" s="5">
        <v>96112</v>
      </c>
    </row>
    <row r="386" spans="1:2">
      <c r="A386" s="5">
        <v>17</v>
      </c>
      <c r="B386" s="5">
        <v>30087</v>
      </c>
    </row>
    <row r="387" spans="1:2">
      <c r="A387" s="5">
        <v>62</v>
      </c>
      <c r="B387" s="5">
        <v>91742</v>
      </c>
    </row>
    <row r="388" spans="1:2">
      <c r="A388" s="5">
        <v>67</v>
      </c>
      <c r="B388" s="5">
        <v>28828</v>
      </c>
    </row>
    <row r="389" spans="1:2">
      <c r="A389" s="5">
        <v>57</v>
      </c>
      <c r="B389" s="5">
        <v>64806</v>
      </c>
    </row>
    <row r="390" spans="1:2">
      <c r="A390" s="5">
        <v>32</v>
      </c>
      <c r="B390" s="5">
        <v>35360</v>
      </c>
    </row>
    <row r="391" spans="1:2">
      <c r="A391" s="5">
        <v>47</v>
      </c>
      <c r="B391" s="5">
        <v>72218</v>
      </c>
    </row>
    <row r="392" spans="1:2">
      <c r="A392" s="5">
        <v>37</v>
      </c>
      <c r="B392" s="5">
        <v>79835</v>
      </c>
    </row>
    <row r="393" spans="1:2">
      <c r="A393" s="5">
        <v>32</v>
      </c>
      <c r="B393" s="5">
        <v>85896</v>
      </c>
    </row>
    <row r="394" spans="1:2">
      <c r="A394" s="5">
        <v>57</v>
      </c>
      <c r="B394" s="5">
        <v>51113</v>
      </c>
    </row>
    <row r="395" spans="1:2">
      <c r="A395" s="5">
        <v>37</v>
      </c>
      <c r="B395" s="5">
        <v>50304</v>
      </c>
    </row>
    <row r="396" spans="1:2">
      <c r="A396" s="5">
        <v>62</v>
      </c>
      <c r="B396" s="5">
        <v>15571</v>
      </c>
    </row>
    <row r="397" spans="1:2">
      <c r="A397" s="5">
        <v>32</v>
      </c>
      <c r="B397" s="5">
        <v>81769</v>
      </c>
    </row>
    <row r="398" spans="1:2">
      <c r="A398" s="5">
        <v>57</v>
      </c>
      <c r="B398" s="5">
        <v>1144</v>
      </c>
    </row>
    <row r="399" spans="1:2">
      <c r="A399" s="5">
        <v>52</v>
      </c>
      <c r="B399" s="5">
        <v>19039</v>
      </c>
    </row>
    <row r="400" spans="1:2">
      <c r="A400" s="5">
        <v>22</v>
      </c>
      <c r="B400" s="5">
        <v>31289</v>
      </c>
    </row>
    <row r="401" spans="1:2">
      <c r="A401" s="5">
        <v>47</v>
      </c>
      <c r="B401" s="5">
        <v>12492</v>
      </c>
    </row>
    <row r="402" spans="1:2">
      <c r="A402" s="5">
        <v>27</v>
      </c>
      <c r="B402" s="5">
        <v>34940</v>
      </c>
    </row>
    <row r="403" spans="1:2">
      <c r="A403" s="5">
        <v>62</v>
      </c>
      <c r="B403" s="5">
        <v>14743</v>
      </c>
    </row>
    <row r="404" spans="1:2">
      <c r="A404" s="5">
        <v>32</v>
      </c>
      <c r="B404" s="5">
        <v>59661</v>
      </c>
    </row>
    <row r="405" spans="1:2">
      <c r="A405" s="5">
        <v>17</v>
      </c>
      <c r="B405" s="5">
        <v>37787</v>
      </c>
    </row>
    <row r="406" spans="1:2">
      <c r="A406" s="5">
        <v>27</v>
      </c>
      <c r="B406" s="5">
        <v>67807</v>
      </c>
    </row>
    <row r="407" spans="1:2">
      <c r="A407" s="5">
        <v>47</v>
      </c>
      <c r="B407" s="5">
        <v>66885</v>
      </c>
    </row>
    <row r="408" spans="1:2">
      <c r="A408" s="5">
        <v>27</v>
      </c>
      <c r="B408" s="5">
        <v>32101</v>
      </c>
    </row>
    <row r="409" spans="1:2">
      <c r="A409" s="5">
        <v>27</v>
      </c>
      <c r="B409" s="5">
        <v>73390</v>
      </c>
    </row>
    <row r="410" spans="1:2">
      <c r="A410" s="5">
        <v>32</v>
      </c>
      <c r="B410" s="5">
        <v>61922</v>
      </c>
    </row>
    <row r="411" spans="1:2">
      <c r="A411" s="5">
        <v>47</v>
      </c>
      <c r="B411" s="5">
        <v>215808</v>
      </c>
    </row>
    <row r="412" spans="1:2">
      <c r="A412" s="5">
        <v>22</v>
      </c>
      <c r="B412" s="5">
        <v>9150</v>
      </c>
    </row>
    <row r="413" spans="1:2">
      <c r="A413" s="5">
        <v>32</v>
      </c>
      <c r="B413" s="5">
        <v>56215</v>
      </c>
    </row>
    <row r="414" spans="1:2">
      <c r="A414" s="5">
        <v>37</v>
      </c>
      <c r="B414" s="5">
        <v>45100</v>
      </c>
    </row>
    <row r="415" spans="1:2">
      <c r="A415" s="5">
        <v>27</v>
      </c>
      <c r="B415" s="5">
        <v>57408</v>
      </c>
    </row>
    <row r="416" spans="1:2">
      <c r="A416" s="5">
        <v>47</v>
      </c>
      <c r="B416" s="5">
        <v>72575</v>
      </c>
    </row>
    <row r="417" spans="1:2">
      <c r="A417" s="5">
        <v>27</v>
      </c>
      <c r="B417" s="5">
        <v>7581</v>
      </c>
    </row>
    <row r="418" spans="1:2">
      <c r="A418" s="5">
        <v>57</v>
      </c>
      <c r="B418" s="5">
        <v>12457</v>
      </c>
    </row>
    <row r="419" spans="1:2">
      <c r="A419" s="5">
        <v>62</v>
      </c>
      <c r="B419" s="5">
        <v>60686</v>
      </c>
    </row>
    <row r="420" spans="1:2">
      <c r="A420" s="5">
        <v>32</v>
      </c>
      <c r="B420" s="5">
        <v>65324</v>
      </c>
    </row>
    <row r="421" spans="1:2">
      <c r="A421" s="5">
        <v>57</v>
      </c>
      <c r="B421" s="5">
        <v>84938</v>
      </c>
    </row>
    <row r="422" spans="1:2">
      <c r="A422" s="5">
        <v>32</v>
      </c>
      <c r="B422" s="5">
        <v>55</v>
      </c>
    </row>
    <row r="423" spans="1:2">
      <c r="A423" s="5">
        <v>62</v>
      </c>
      <c r="B423" s="5">
        <v>33227</v>
      </c>
    </row>
    <row r="424" spans="1:2">
      <c r="A424" s="5">
        <v>42</v>
      </c>
      <c r="B424" s="5">
        <v>259130</v>
      </c>
    </row>
    <row r="425" spans="1:2">
      <c r="A425" s="5">
        <v>52</v>
      </c>
      <c r="B425" s="5">
        <v>19372</v>
      </c>
    </row>
    <row r="426" spans="1:2">
      <c r="A426" s="5">
        <v>47</v>
      </c>
      <c r="B426" s="5">
        <v>34027</v>
      </c>
    </row>
    <row r="427" spans="1:2">
      <c r="A427" s="5">
        <v>32</v>
      </c>
      <c r="B427" s="5">
        <v>11742</v>
      </c>
    </row>
    <row r="428" spans="1:2">
      <c r="A428" s="5">
        <v>62</v>
      </c>
      <c r="B428" s="5">
        <v>47796</v>
      </c>
    </row>
    <row r="429" spans="1:2">
      <c r="A429" s="5">
        <v>62</v>
      </c>
      <c r="B429" s="5">
        <v>177360</v>
      </c>
    </row>
    <row r="430" spans="1:2">
      <c r="A430" s="5">
        <v>42</v>
      </c>
      <c r="B430" s="5">
        <v>103878</v>
      </c>
    </row>
    <row r="431" spans="1:2">
      <c r="A431" s="5">
        <v>32</v>
      </c>
      <c r="B431" s="5">
        <v>63636</v>
      </c>
    </row>
    <row r="432" spans="1:2">
      <c r="A432" s="5">
        <v>57</v>
      </c>
      <c r="B432" s="5">
        <v>38585</v>
      </c>
    </row>
    <row r="433" spans="1:2">
      <c r="A433" s="5">
        <v>52</v>
      </c>
      <c r="B433" s="5">
        <v>13962</v>
      </c>
    </row>
    <row r="434" spans="1:2">
      <c r="A434" s="5">
        <v>27</v>
      </c>
      <c r="B434" s="5">
        <v>34362</v>
      </c>
    </row>
    <row r="435" spans="1:2">
      <c r="A435" s="5">
        <v>22</v>
      </c>
      <c r="B435" s="5">
        <v>23269</v>
      </c>
    </row>
    <row r="436" spans="1:2">
      <c r="A436" s="5">
        <v>42</v>
      </c>
      <c r="B436" s="5">
        <v>81530</v>
      </c>
    </row>
    <row r="437" spans="1:2">
      <c r="A437" s="5">
        <v>32</v>
      </c>
      <c r="B437" s="5">
        <v>87487</v>
      </c>
    </row>
    <row r="438" spans="1:2">
      <c r="A438" s="5">
        <v>32</v>
      </c>
      <c r="B438" s="5">
        <v>84164</v>
      </c>
    </row>
    <row r="439" spans="1:2">
      <c r="A439" s="5">
        <v>57</v>
      </c>
      <c r="B439" s="5">
        <v>19278</v>
      </c>
    </row>
    <row r="440" spans="1:2">
      <c r="A440" s="5">
        <v>47</v>
      </c>
      <c r="B440" s="5">
        <v>28460</v>
      </c>
    </row>
    <row r="441" spans="1:2">
      <c r="A441" s="5">
        <v>52</v>
      </c>
      <c r="B441" s="5">
        <v>20102</v>
      </c>
    </row>
    <row r="442" spans="1:2">
      <c r="A442" s="5">
        <v>27</v>
      </c>
      <c r="B442" s="5">
        <v>86061</v>
      </c>
    </row>
    <row r="443" spans="1:2">
      <c r="A443" s="5">
        <v>47</v>
      </c>
      <c r="B443" s="5">
        <v>34008</v>
      </c>
    </row>
    <row r="444" spans="1:2">
      <c r="A444" s="5">
        <v>37</v>
      </c>
      <c r="B444" s="5">
        <v>65604</v>
      </c>
    </row>
    <row r="445" spans="1:2">
      <c r="A445" s="5">
        <v>72</v>
      </c>
      <c r="B445" s="5">
        <v>23041</v>
      </c>
    </row>
    <row r="446" spans="1:2">
      <c r="A446" s="5">
        <v>37</v>
      </c>
      <c r="B446" s="5">
        <v>49826</v>
      </c>
    </row>
    <row r="447" spans="1:2">
      <c r="A447" s="5">
        <v>32</v>
      </c>
      <c r="B447" s="5">
        <v>53978</v>
      </c>
    </row>
    <row r="448" spans="1:2">
      <c r="A448" s="5">
        <v>37</v>
      </c>
      <c r="B448" s="5">
        <v>45598</v>
      </c>
    </row>
    <row r="449" spans="1:2">
      <c r="A449" s="5">
        <v>52</v>
      </c>
      <c r="B449" s="5">
        <v>16347</v>
      </c>
    </row>
    <row r="450" spans="1:2">
      <c r="A450" s="5">
        <v>22</v>
      </c>
      <c r="B450" s="5">
        <v>52820</v>
      </c>
    </row>
    <row r="451" spans="1:2">
      <c r="A451" s="5">
        <v>57</v>
      </c>
      <c r="B451" s="5">
        <v>196896</v>
      </c>
    </row>
    <row r="452" spans="1:2">
      <c r="A452" s="5">
        <v>37</v>
      </c>
      <c r="B452" s="5">
        <v>68475</v>
      </c>
    </row>
    <row r="453" spans="1:2">
      <c r="A453" s="5">
        <v>27</v>
      </c>
      <c r="B453" s="5">
        <v>22999</v>
      </c>
    </row>
    <row r="454" spans="1:2">
      <c r="A454" s="5">
        <v>52</v>
      </c>
      <c r="B454" s="5">
        <v>112532</v>
      </c>
    </row>
    <row r="455" spans="1:2">
      <c r="A455" s="5">
        <v>57</v>
      </c>
      <c r="B455" s="5">
        <v>70096</v>
      </c>
    </row>
    <row r="456" spans="1:2">
      <c r="A456" s="5">
        <v>22</v>
      </c>
      <c r="B456" s="5">
        <v>51388</v>
      </c>
    </row>
    <row r="457" spans="1:2">
      <c r="A457" s="5">
        <v>52</v>
      </c>
      <c r="B457" s="5">
        <v>80691</v>
      </c>
    </row>
    <row r="458" spans="1:2">
      <c r="A458" s="5">
        <v>42</v>
      </c>
      <c r="B458" s="5">
        <v>12875</v>
      </c>
    </row>
    <row r="459" spans="1:2">
      <c r="A459" s="5">
        <v>27</v>
      </c>
      <c r="B459" s="5">
        <v>66797</v>
      </c>
    </row>
    <row r="460" spans="1:2">
      <c r="A460" s="5">
        <v>42</v>
      </c>
      <c r="B460" s="5">
        <v>60159</v>
      </c>
    </row>
    <row r="461" spans="1:2">
      <c r="A461" s="5">
        <v>27</v>
      </c>
      <c r="B461" s="5">
        <v>2731</v>
      </c>
    </row>
    <row r="462" spans="1:2">
      <c r="A462" s="5">
        <v>67</v>
      </c>
      <c r="B462" s="5">
        <v>60031</v>
      </c>
    </row>
    <row r="463" spans="1:2">
      <c r="A463" s="5">
        <v>37</v>
      </c>
      <c r="B463" s="5">
        <v>39657</v>
      </c>
    </row>
    <row r="464" spans="1:2">
      <c r="A464" s="5">
        <v>47</v>
      </c>
      <c r="B464" s="5">
        <v>45622</v>
      </c>
    </row>
    <row r="465" spans="1:2">
      <c r="A465" s="5">
        <v>52</v>
      </c>
      <c r="B465" s="5">
        <v>76989</v>
      </c>
    </row>
    <row r="466" spans="1:2">
      <c r="A466" s="5">
        <v>67</v>
      </c>
      <c r="B466" s="5">
        <v>3687</v>
      </c>
    </row>
    <row r="467" spans="1:2">
      <c r="A467" s="5">
        <v>52</v>
      </c>
      <c r="B467" s="5">
        <v>43819</v>
      </c>
    </row>
    <row r="468" spans="1:2">
      <c r="A468" s="5">
        <v>37</v>
      </c>
      <c r="B468" s="5">
        <v>77295</v>
      </c>
    </row>
    <row r="469" spans="1:2">
      <c r="A469" s="5">
        <v>22</v>
      </c>
      <c r="B469" s="5">
        <v>57962</v>
      </c>
    </row>
    <row r="470" spans="1:2">
      <c r="A470" s="5">
        <v>42</v>
      </c>
      <c r="B470" s="5">
        <v>81639</v>
      </c>
    </row>
    <row r="471" spans="1:2">
      <c r="A471" s="5">
        <v>72</v>
      </c>
      <c r="B471" s="5">
        <v>8764</v>
      </c>
    </row>
    <row r="472" spans="1:2">
      <c r="A472" s="5">
        <v>47</v>
      </c>
      <c r="B472" s="5">
        <v>144106</v>
      </c>
    </row>
    <row r="473" spans="1:2">
      <c r="A473" s="5">
        <v>62</v>
      </c>
      <c r="B473" s="5">
        <v>21902</v>
      </c>
    </row>
    <row r="474" spans="1:2">
      <c r="A474" s="5">
        <v>37</v>
      </c>
      <c r="B474" s="5">
        <v>38707</v>
      </c>
    </row>
    <row r="475" spans="1:2">
      <c r="A475" s="5">
        <v>42</v>
      </c>
      <c r="B475" s="5">
        <v>67891</v>
      </c>
    </row>
    <row r="476" spans="1:2">
      <c r="A476" s="5">
        <v>32</v>
      </c>
      <c r="B476" s="5">
        <v>144994</v>
      </c>
    </row>
    <row r="477" spans="1:2">
      <c r="A477" s="5">
        <v>42</v>
      </c>
      <c r="B477" s="5">
        <v>39871</v>
      </c>
    </row>
    <row r="478" spans="1:2">
      <c r="A478" s="5">
        <v>27</v>
      </c>
      <c r="B478" s="5">
        <v>97853</v>
      </c>
    </row>
    <row r="479" spans="1:2">
      <c r="A479" s="5">
        <v>52</v>
      </c>
      <c r="B479" s="5">
        <v>60979</v>
      </c>
    </row>
    <row r="480" spans="1:2">
      <c r="A480" s="5">
        <v>67</v>
      </c>
      <c r="B480" s="5">
        <v>87680</v>
      </c>
    </row>
    <row r="481" spans="1:2">
      <c r="A481" s="5">
        <v>62</v>
      </c>
      <c r="B481" s="5">
        <v>92333</v>
      </c>
    </row>
    <row r="482" spans="1:2">
      <c r="A482" s="5">
        <v>42</v>
      </c>
      <c r="B482" s="5">
        <v>72324</v>
      </c>
    </row>
    <row r="483" spans="1:2">
      <c r="A483" s="5">
        <v>32</v>
      </c>
      <c r="B483" s="5">
        <v>34884</v>
      </c>
    </row>
    <row r="484" spans="1:2">
      <c r="A484" s="5">
        <v>27</v>
      </c>
      <c r="B484" s="5">
        <v>78906</v>
      </c>
    </row>
    <row r="485" spans="1:2">
      <c r="A485" s="5">
        <v>62</v>
      </c>
      <c r="B485" s="5">
        <v>8035</v>
      </c>
    </row>
    <row r="486" spans="1:2">
      <c r="A486" s="5">
        <v>47</v>
      </c>
      <c r="B486" s="5">
        <v>34772</v>
      </c>
    </row>
    <row r="487" spans="1:2">
      <c r="A487" s="5">
        <v>57</v>
      </c>
      <c r="B487" s="5">
        <v>51584</v>
      </c>
    </row>
    <row r="488" spans="1:2">
      <c r="A488" s="5">
        <v>67</v>
      </c>
      <c r="B488" s="5">
        <v>43261</v>
      </c>
    </row>
    <row r="489" spans="1:2">
      <c r="A489" s="5">
        <v>52</v>
      </c>
      <c r="B489" s="5">
        <v>65772</v>
      </c>
    </row>
    <row r="490" spans="1:2">
      <c r="A490" s="5">
        <v>37</v>
      </c>
      <c r="B490" s="5">
        <v>133661</v>
      </c>
    </row>
    <row r="491" spans="1:2">
      <c r="A491" s="5">
        <v>47</v>
      </c>
      <c r="B491" s="5">
        <v>77401</v>
      </c>
    </row>
    <row r="492" spans="1:2">
      <c r="A492" s="5">
        <v>22</v>
      </c>
      <c r="B492" s="5">
        <v>12723</v>
      </c>
    </row>
    <row r="493" spans="1:2">
      <c r="A493" s="5">
        <v>57</v>
      </c>
      <c r="B493" s="5">
        <v>29394</v>
      </c>
    </row>
    <row r="494" spans="1:2">
      <c r="A494" s="5">
        <v>17</v>
      </c>
      <c r="B494" s="5">
        <v>39927</v>
      </c>
    </row>
    <row r="495" spans="1:2">
      <c r="A495" s="5">
        <v>42</v>
      </c>
      <c r="B495" s="5">
        <v>130740</v>
      </c>
    </row>
    <row r="496" spans="1:2">
      <c r="A496" s="5">
        <v>52</v>
      </c>
      <c r="B496" s="5">
        <v>46461</v>
      </c>
    </row>
    <row r="497" spans="1:2">
      <c r="A497" s="5">
        <v>57</v>
      </c>
      <c r="B497" s="5">
        <v>67632</v>
      </c>
    </row>
    <row r="498" spans="1:2">
      <c r="A498" s="5">
        <v>47</v>
      </c>
      <c r="B498" s="5">
        <v>110728</v>
      </c>
    </row>
    <row r="499" spans="1:2">
      <c r="A499" s="5">
        <v>57</v>
      </c>
      <c r="B499" s="5">
        <v>2364</v>
      </c>
    </row>
    <row r="500" spans="1:2">
      <c r="A500" s="5">
        <v>37</v>
      </c>
      <c r="B500" s="5">
        <v>75547</v>
      </c>
    </row>
    <row r="501" spans="1:2">
      <c r="A501" s="5">
        <v>62</v>
      </c>
      <c r="B501" s="5">
        <v>45100</v>
      </c>
    </row>
    <row r="502" spans="1:2">
      <c r="A502" s="5">
        <v>22</v>
      </c>
      <c r="B502" s="5">
        <v>51449</v>
      </c>
    </row>
    <row r="503" spans="1:2">
      <c r="A503" s="5">
        <v>42</v>
      </c>
      <c r="B503" s="5">
        <v>111011</v>
      </c>
    </row>
    <row r="504" spans="1:2">
      <c r="A504" s="5">
        <v>62</v>
      </c>
      <c r="B504" s="5">
        <v>99465</v>
      </c>
    </row>
    <row r="505" spans="1:2">
      <c r="A505" s="5">
        <v>57</v>
      </c>
      <c r="B505" s="5">
        <v>43529</v>
      </c>
    </row>
    <row r="506" spans="1:2">
      <c r="A506" s="5">
        <v>72</v>
      </c>
      <c r="B506" s="5">
        <v>57321</v>
      </c>
    </row>
    <row r="507" spans="1:2">
      <c r="A507" s="5">
        <v>27</v>
      </c>
      <c r="B507" s="5">
        <v>96524</v>
      </c>
    </row>
    <row r="508" spans="1:2">
      <c r="A508" s="5">
        <v>42</v>
      </c>
      <c r="B508" s="5">
        <v>74897</v>
      </c>
    </row>
    <row r="509" spans="1:2">
      <c r="A509" s="5">
        <v>52</v>
      </c>
      <c r="B509" s="5">
        <v>84918</v>
      </c>
    </row>
    <row r="510" spans="1:2">
      <c r="A510" s="5">
        <v>72</v>
      </c>
      <c r="B510" s="5">
        <v>32111</v>
      </c>
    </row>
    <row r="511" spans="1:2">
      <c r="A511" s="5">
        <v>22</v>
      </c>
      <c r="B511" s="5">
        <v>103097</v>
      </c>
    </row>
    <row r="512" spans="1:2">
      <c r="A512" s="5">
        <v>22</v>
      </c>
      <c r="B512" s="5">
        <v>41222</v>
      </c>
    </row>
    <row r="513" spans="1:2">
      <c r="A513" s="5">
        <v>32</v>
      </c>
      <c r="B513" s="5">
        <v>15263</v>
      </c>
    </row>
    <row r="514" spans="1:2">
      <c r="A514" s="5">
        <v>47</v>
      </c>
      <c r="B514" s="5">
        <v>34985</v>
      </c>
    </row>
    <row r="515" spans="1:2">
      <c r="A515" s="5">
        <v>22</v>
      </c>
      <c r="B515" s="5">
        <v>55677</v>
      </c>
    </row>
    <row r="516" spans="1:2">
      <c r="A516" s="5">
        <v>47</v>
      </c>
      <c r="B516" s="5">
        <v>32695</v>
      </c>
    </row>
    <row r="517" spans="1:2">
      <c r="A517" s="5">
        <v>27</v>
      </c>
      <c r="B517" s="5">
        <v>214767</v>
      </c>
    </row>
    <row r="518" spans="1:2">
      <c r="A518" s="5">
        <v>42</v>
      </c>
      <c r="B518" s="5">
        <v>35588</v>
      </c>
    </row>
    <row r="519" spans="1:2">
      <c r="A519" s="5">
        <v>17</v>
      </c>
      <c r="B519" s="5">
        <v>38729</v>
      </c>
    </row>
    <row r="520" spans="1:2">
      <c r="A520" s="5">
        <v>32</v>
      </c>
      <c r="B520" s="5">
        <v>19963</v>
      </c>
    </row>
    <row r="521" spans="1:2">
      <c r="A521" s="5">
        <v>47</v>
      </c>
      <c r="B521" s="5">
        <v>33963</v>
      </c>
    </row>
    <row r="522" spans="1:2">
      <c r="A522" s="5">
        <v>72</v>
      </c>
      <c r="B522" s="5">
        <v>-192</v>
      </c>
    </row>
    <row r="523" spans="1:2">
      <c r="A523" s="5">
        <v>62</v>
      </c>
      <c r="B523" s="5">
        <v>87649</v>
      </c>
    </row>
    <row r="524" spans="1:2">
      <c r="A524" s="5">
        <v>37</v>
      </c>
      <c r="B524" s="5">
        <v>74993</v>
      </c>
    </row>
    <row r="525" spans="1:2">
      <c r="A525" s="5">
        <v>42</v>
      </c>
      <c r="B525" s="5">
        <v>33402</v>
      </c>
    </row>
    <row r="526" spans="1:2">
      <c r="A526" s="5">
        <v>67</v>
      </c>
      <c r="B526" s="5">
        <v>39656</v>
      </c>
    </row>
    <row r="527" spans="1:2">
      <c r="A527" s="5">
        <v>27</v>
      </c>
      <c r="B527" s="5">
        <v>67007</v>
      </c>
    </row>
    <row r="528" spans="1:2">
      <c r="A528" s="5">
        <v>27</v>
      </c>
      <c r="B528" s="5">
        <v>75178</v>
      </c>
    </row>
    <row r="529" spans="1:2">
      <c r="A529" s="5">
        <v>62</v>
      </c>
      <c r="B529" s="5">
        <v>13433</v>
      </c>
    </row>
    <row r="530" spans="1:2">
      <c r="A530" s="5">
        <v>72</v>
      </c>
      <c r="B530" s="5">
        <v>17622</v>
      </c>
    </row>
    <row r="531" spans="1:2">
      <c r="A531" s="5">
        <v>22</v>
      </c>
      <c r="B531" s="5">
        <v>17979</v>
      </c>
    </row>
    <row r="532" spans="1:2">
      <c r="A532" s="5">
        <v>47</v>
      </c>
      <c r="B532" s="5">
        <v>23328</v>
      </c>
    </row>
    <row r="533" spans="1:2">
      <c r="A533" s="5">
        <v>47</v>
      </c>
      <c r="B533" s="5">
        <v>69146</v>
      </c>
    </row>
    <row r="534" spans="1:2">
      <c r="A534" s="5">
        <v>62</v>
      </c>
      <c r="B534" s="5">
        <v>57304</v>
      </c>
    </row>
    <row r="535" spans="1:2">
      <c r="A535" s="5">
        <v>72</v>
      </c>
      <c r="B535" s="5">
        <v>5908</v>
      </c>
    </row>
    <row r="536" spans="1:2">
      <c r="A536" s="5">
        <v>27</v>
      </c>
      <c r="B536" s="5">
        <v>44531</v>
      </c>
    </row>
    <row r="537" spans="1:2">
      <c r="A537" s="5">
        <v>52</v>
      </c>
      <c r="B537" s="5">
        <v>19884</v>
      </c>
    </row>
    <row r="538" spans="1:2">
      <c r="A538" s="5">
        <v>22</v>
      </c>
      <c r="B538" s="5">
        <v>38875</v>
      </c>
    </row>
    <row r="539" spans="1:2">
      <c r="A539" s="5">
        <v>72</v>
      </c>
      <c r="B539" s="5">
        <v>32784</v>
      </c>
    </row>
    <row r="540" spans="1:2">
      <c r="A540" s="5">
        <v>32</v>
      </c>
      <c r="B540" s="5">
        <v>1866</v>
      </c>
    </row>
    <row r="541" spans="1:2">
      <c r="A541" s="5">
        <v>42</v>
      </c>
      <c r="B541" s="5">
        <v>81416</v>
      </c>
    </row>
    <row r="542" spans="1:2">
      <c r="A542" s="5">
        <v>17</v>
      </c>
      <c r="B542" s="5">
        <v>18203</v>
      </c>
    </row>
    <row r="543" spans="1:2">
      <c r="A543" s="5">
        <v>47</v>
      </c>
      <c r="B543" s="5">
        <v>74260</v>
      </c>
    </row>
    <row r="544" spans="1:2">
      <c r="A544" s="5">
        <v>42</v>
      </c>
      <c r="B544" s="5">
        <v>81360</v>
      </c>
    </row>
    <row r="545" spans="1:2">
      <c r="A545" s="5">
        <v>22</v>
      </c>
      <c r="B545" s="5">
        <v>73807</v>
      </c>
    </row>
    <row r="546" spans="1:2">
      <c r="A546" s="5">
        <v>42</v>
      </c>
      <c r="B546" s="5">
        <v>80476</v>
      </c>
    </row>
    <row r="547" spans="1:2">
      <c r="A547" s="5">
        <v>57</v>
      </c>
      <c r="B547" s="5">
        <v>69025</v>
      </c>
    </row>
    <row r="548" spans="1:2">
      <c r="A548" s="5">
        <v>37</v>
      </c>
      <c r="B548" s="5">
        <v>185032</v>
      </c>
    </row>
    <row r="549" spans="1:2">
      <c r="A549" s="5">
        <v>62</v>
      </c>
      <c r="B549" s="5">
        <v>17583</v>
      </c>
    </row>
    <row r="550" spans="1:2">
      <c r="A550" s="5">
        <v>22</v>
      </c>
      <c r="B550" s="5">
        <v>29235</v>
      </c>
    </row>
    <row r="551" spans="1:2">
      <c r="A551" s="5">
        <v>27</v>
      </c>
      <c r="B551" s="5">
        <v>33514</v>
      </c>
    </row>
    <row r="552" spans="1:2">
      <c r="A552" s="5">
        <v>37</v>
      </c>
      <c r="B552" s="5">
        <v>54436</v>
      </c>
    </row>
    <row r="553" spans="1:2">
      <c r="A553" s="5">
        <v>42</v>
      </c>
      <c r="B553" s="5">
        <v>72866</v>
      </c>
    </row>
    <row r="554" spans="1:2">
      <c r="A554" s="5">
        <v>32</v>
      </c>
      <c r="B554" s="5">
        <v>56080</v>
      </c>
    </row>
    <row r="555" spans="1:2">
      <c r="A555" s="5">
        <v>67</v>
      </c>
      <c r="B555" s="5">
        <v>92216</v>
      </c>
    </row>
    <row r="556" spans="1:2">
      <c r="A556" s="5">
        <v>62</v>
      </c>
      <c r="B556" s="5">
        <v>101435</v>
      </c>
    </row>
    <row r="557" spans="1:2">
      <c r="A557" s="5">
        <v>37</v>
      </c>
      <c r="B557" s="5">
        <v>47949</v>
      </c>
    </row>
    <row r="558" spans="1:2">
      <c r="A558" s="5">
        <v>22</v>
      </c>
      <c r="B558" s="5">
        <v>41048</v>
      </c>
    </row>
    <row r="559" spans="1:2">
      <c r="A559" s="5">
        <v>72</v>
      </c>
      <c r="B559" s="5">
        <v>22108</v>
      </c>
    </row>
    <row r="560" spans="1:2">
      <c r="A560" s="5">
        <v>32</v>
      </c>
      <c r="B560" s="5">
        <v>106867</v>
      </c>
    </row>
    <row r="561" spans="1:2">
      <c r="A561" s="5">
        <v>42</v>
      </c>
      <c r="B561" s="5">
        <v>13695</v>
      </c>
    </row>
    <row r="562" spans="1:2">
      <c r="A562" s="5">
        <v>67</v>
      </c>
      <c r="B562" s="5">
        <v>29608</v>
      </c>
    </row>
    <row r="563" spans="1:2">
      <c r="A563" s="5">
        <v>52</v>
      </c>
      <c r="B563" s="5">
        <v>135187</v>
      </c>
    </row>
    <row r="564" spans="1:2">
      <c r="A564" s="5">
        <v>47</v>
      </c>
      <c r="B564" s="5">
        <v>5448</v>
      </c>
    </row>
    <row r="565" spans="1:2">
      <c r="A565" s="5">
        <v>47</v>
      </c>
      <c r="B565" s="5">
        <v>57626</v>
      </c>
    </row>
    <row r="566" spans="1:2">
      <c r="A566" s="5">
        <v>27</v>
      </c>
      <c r="B566" s="5">
        <v>21353</v>
      </c>
    </row>
    <row r="567" spans="1:2">
      <c r="A567" s="5">
        <v>32</v>
      </c>
      <c r="B567" s="5">
        <v>40308</v>
      </c>
    </row>
    <row r="568" spans="1:2">
      <c r="A568" s="5">
        <v>22</v>
      </c>
      <c r="B568" s="5">
        <v>59108</v>
      </c>
    </row>
    <row r="569" spans="1:2">
      <c r="A569" s="5">
        <v>27</v>
      </c>
      <c r="B569" s="5">
        <v>30611</v>
      </c>
    </row>
    <row r="570" spans="1:2">
      <c r="A570" s="5">
        <v>47</v>
      </c>
      <c r="B570" s="5">
        <v>63198</v>
      </c>
    </row>
    <row r="571" spans="1:2">
      <c r="A571" s="5">
        <v>52</v>
      </c>
      <c r="B571" s="5">
        <v>19465</v>
      </c>
    </row>
    <row r="572" spans="1:2">
      <c r="A572" s="5">
        <v>27</v>
      </c>
      <c r="B572" s="5">
        <v>42883</v>
      </c>
    </row>
    <row r="573" spans="1:2">
      <c r="A573" s="5">
        <v>27</v>
      </c>
      <c r="B573" s="5">
        <v>119172</v>
      </c>
    </row>
    <row r="574" spans="1:2">
      <c r="A574" s="5">
        <v>42</v>
      </c>
      <c r="B574" s="5">
        <v>66396</v>
      </c>
    </row>
    <row r="575" spans="1:2">
      <c r="A575" s="5">
        <v>37</v>
      </c>
      <c r="B575" s="5">
        <v>137693</v>
      </c>
    </row>
    <row r="576" spans="1:2">
      <c r="A576" s="5">
        <v>52</v>
      </c>
      <c r="B576" s="5">
        <v>87853</v>
      </c>
    </row>
    <row r="577" spans="1:2">
      <c r="A577" s="5">
        <v>62</v>
      </c>
      <c r="B577" s="5">
        <v>9631</v>
      </c>
    </row>
    <row r="578" spans="1:2">
      <c r="A578" s="5">
        <v>52</v>
      </c>
      <c r="B578" s="5">
        <v>80250</v>
      </c>
    </row>
    <row r="579" spans="1:2">
      <c r="A579" s="5">
        <v>67</v>
      </c>
      <c r="B579" s="5">
        <v>34933</v>
      </c>
    </row>
    <row r="580" spans="1:2">
      <c r="A580" s="5">
        <v>42</v>
      </c>
      <c r="B580" s="5">
        <v>237801</v>
      </c>
    </row>
    <row r="581" spans="1:2">
      <c r="A581" s="5">
        <v>32</v>
      </c>
      <c r="B581" s="5">
        <v>81663</v>
      </c>
    </row>
    <row r="582" spans="1:2">
      <c r="A582" s="5">
        <v>52</v>
      </c>
      <c r="B582" s="5">
        <v>91021</v>
      </c>
    </row>
    <row r="583" spans="1:2">
      <c r="A583" s="5">
        <v>52</v>
      </c>
      <c r="B583" s="5">
        <v>4044</v>
      </c>
    </row>
    <row r="584" spans="1:2">
      <c r="A584" s="5">
        <v>42</v>
      </c>
      <c r="B584" s="5">
        <v>5990</v>
      </c>
    </row>
    <row r="585" spans="1:2">
      <c r="A585" s="5">
        <v>62</v>
      </c>
      <c r="B585" s="5">
        <v>62292</v>
      </c>
    </row>
    <row r="586" spans="1:2">
      <c r="A586" s="5">
        <v>52</v>
      </c>
      <c r="B586" s="5">
        <v>105916</v>
      </c>
    </row>
    <row r="587" spans="1:2">
      <c r="A587" s="5">
        <v>47</v>
      </c>
      <c r="B587" s="5">
        <v>47672</v>
      </c>
    </row>
    <row r="588" spans="1:2">
      <c r="A588" s="5">
        <v>72</v>
      </c>
      <c r="B588" s="5">
        <v>24936</v>
      </c>
    </row>
    <row r="589" spans="1:2">
      <c r="A589" s="5">
        <v>62</v>
      </c>
      <c r="B589" s="5">
        <v>39321</v>
      </c>
    </row>
    <row r="590" spans="1:2">
      <c r="A590" s="5">
        <v>42</v>
      </c>
      <c r="B590" s="5">
        <v>31208</v>
      </c>
    </row>
    <row r="591" spans="1:2">
      <c r="A591" s="5">
        <v>72</v>
      </c>
      <c r="B591" s="5">
        <v>821</v>
      </c>
    </row>
    <row r="592" spans="1:2">
      <c r="A592" s="5">
        <v>27</v>
      </c>
      <c r="B592" s="5">
        <v>54942</v>
      </c>
    </row>
    <row r="593" spans="1:2">
      <c r="A593" s="5">
        <v>57</v>
      </c>
      <c r="B593" s="5">
        <v>83915</v>
      </c>
    </row>
    <row r="594" spans="1:2">
      <c r="A594" s="5">
        <v>62</v>
      </c>
      <c r="B594" s="5">
        <v>1681</v>
      </c>
    </row>
    <row r="595" spans="1:2">
      <c r="A595" s="5">
        <v>47</v>
      </c>
      <c r="B595" s="5">
        <v>145000</v>
      </c>
    </row>
    <row r="596" spans="1:2">
      <c r="A596" s="5">
        <v>27</v>
      </c>
      <c r="B596" s="5">
        <v>48411</v>
      </c>
    </row>
    <row r="597" spans="1:2">
      <c r="A597" s="5">
        <v>52</v>
      </c>
      <c r="B597" s="5">
        <v>40311</v>
      </c>
    </row>
    <row r="598" spans="1:2">
      <c r="A598" s="5">
        <v>47</v>
      </c>
      <c r="B598" s="5">
        <v>105741</v>
      </c>
    </row>
    <row r="599" spans="1:2">
      <c r="A599" s="5">
        <v>37</v>
      </c>
      <c r="B599" s="5">
        <v>33833</v>
      </c>
    </row>
    <row r="600" spans="1:2">
      <c r="A600" s="5">
        <v>32</v>
      </c>
      <c r="B600" s="5">
        <v>39456</v>
      </c>
    </row>
    <row r="601" spans="1:2">
      <c r="A601" s="5">
        <v>42</v>
      </c>
      <c r="B601" s="5">
        <v>133990</v>
      </c>
    </row>
    <row r="602" spans="1:2">
      <c r="A602" s="5">
        <v>47</v>
      </c>
      <c r="B602" s="5">
        <v>22587</v>
      </c>
    </row>
    <row r="603" spans="1:2">
      <c r="A603" s="5">
        <v>62</v>
      </c>
      <c r="B603" s="5">
        <v>4439</v>
      </c>
    </row>
    <row r="604" spans="1:2">
      <c r="A604" s="5">
        <v>42</v>
      </c>
      <c r="B604" s="5">
        <v>88399</v>
      </c>
    </row>
    <row r="605" spans="1:2">
      <c r="A605" s="5">
        <v>32</v>
      </c>
      <c r="B605" s="5">
        <v>59934</v>
      </c>
    </row>
    <row r="606" spans="1:2">
      <c r="A606" s="5">
        <v>32</v>
      </c>
      <c r="B606" s="5">
        <v>142548</v>
      </c>
    </row>
    <row r="607" spans="1:2">
      <c r="A607" s="5">
        <v>32</v>
      </c>
      <c r="B607" s="5">
        <v>82428</v>
      </c>
    </row>
    <row r="608" spans="1:2">
      <c r="A608" s="5">
        <v>17</v>
      </c>
      <c r="B608" s="5">
        <v>13129</v>
      </c>
    </row>
    <row r="609" spans="1:2">
      <c r="A609" s="5">
        <v>42</v>
      </c>
      <c r="B609" s="5">
        <v>15146</v>
      </c>
    </row>
    <row r="610" spans="1:2">
      <c r="A610" s="5">
        <v>47</v>
      </c>
      <c r="B610" s="5">
        <v>60783</v>
      </c>
    </row>
    <row r="611" spans="1:2">
      <c r="A611" s="5">
        <v>37</v>
      </c>
      <c r="B611" s="5">
        <v>177</v>
      </c>
    </row>
    <row r="612" spans="1:2">
      <c r="A612" s="5">
        <v>72</v>
      </c>
      <c r="B612" s="5">
        <v>21706</v>
      </c>
    </row>
    <row r="613" spans="1:2">
      <c r="A613" s="5">
        <v>42</v>
      </c>
      <c r="B613" s="5">
        <v>215415</v>
      </c>
    </row>
    <row r="614" spans="1:2">
      <c r="A614" s="5">
        <v>32</v>
      </c>
      <c r="B614" s="5">
        <v>3</v>
      </c>
    </row>
    <row r="615" spans="1:2">
      <c r="A615" s="5">
        <v>27</v>
      </c>
      <c r="B615" s="5">
        <v>12694</v>
      </c>
    </row>
    <row r="616" spans="1:2">
      <c r="A616" s="5">
        <v>42</v>
      </c>
      <c r="B616" s="5">
        <v>76009</v>
      </c>
    </row>
    <row r="617" spans="1:2">
      <c r="A617" s="5">
        <v>32</v>
      </c>
      <c r="B617" s="5">
        <v>43753</v>
      </c>
    </row>
    <row r="618" spans="1:2">
      <c r="A618" s="5">
        <v>32</v>
      </c>
      <c r="B618" s="5">
        <v>49545</v>
      </c>
    </row>
    <row r="619" spans="1:2">
      <c r="A619" s="5">
        <v>42</v>
      </c>
      <c r="B619" s="5">
        <v>158820</v>
      </c>
    </row>
    <row r="620" spans="1:2">
      <c r="A620" s="5">
        <v>52</v>
      </c>
      <c r="B620" s="5">
        <v>54082</v>
      </c>
    </row>
    <row r="621" spans="1:2">
      <c r="A621" s="5">
        <v>32</v>
      </c>
      <c r="B621" s="5">
        <v>39567</v>
      </c>
    </row>
    <row r="622" spans="1:2">
      <c r="A622" s="5">
        <v>72</v>
      </c>
      <c r="B622" s="5">
        <v>901</v>
      </c>
    </row>
    <row r="623" spans="1:2">
      <c r="A623" s="5">
        <v>42</v>
      </c>
      <c r="B623" s="5">
        <v>11117</v>
      </c>
    </row>
    <row r="624" spans="1:2">
      <c r="A624" s="5">
        <v>27</v>
      </c>
      <c r="B624" s="5">
        <v>92653</v>
      </c>
    </row>
    <row r="625" spans="1:2">
      <c r="A625" s="5">
        <v>37</v>
      </c>
      <c r="B625" s="5">
        <v>127193</v>
      </c>
    </row>
    <row r="626" spans="1:2">
      <c r="A626" s="5">
        <v>42</v>
      </c>
      <c r="B626" s="5">
        <v>11963</v>
      </c>
    </row>
    <row r="627" spans="1:2">
      <c r="A627" s="5">
        <v>32</v>
      </c>
      <c r="B627" s="5">
        <v>129812</v>
      </c>
    </row>
    <row r="628" spans="1:2">
      <c r="A628" s="5">
        <v>17</v>
      </c>
      <c r="B628" s="5">
        <v>6611</v>
      </c>
    </row>
    <row r="629" spans="1:2">
      <c r="A629" s="5">
        <v>37</v>
      </c>
      <c r="B629" s="5">
        <v>36406</v>
      </c>
    </row>
    <row r="630" spans="1:2">
      <c r="A630" s="5">
        <v>47</v>
      </c>
      <c r="B630" s="5">
        <v>83674</v>
      </c>
    </row>
    <row r="631" spans="1:2">
      <c r="A631" s="5">
        <v>42</v>
      </c>
      <c r="B631" s="5">
        <v>37169</v>
      </c>
    </row>
    <row r="632" spans="1:2">
      <c r="A632" s="5">
        <v>42</v>
      </c>
      <c r="B632" s="5">
        <v>99167</v>
      </c>
    </row>
    <row r="633" spans="1:2">
      <c r="A633" s="5">
        <v>57</v>
      </c>
      <c r="B633" s="5">
        <v>49651</v>
      </c>
    </row>
    <row r="634" spans="1:2">
      <c r="A634" s="5">
        <v>62</v>
      </c>
      <c r="B634" s="5">
        <v>48603</v>
      </c>
    </row>
    <row r="635" spans="1:2">
      <c r="A635" s="5">
        <v>57</v>
      </c>
      <c r="B635" s="5">
        <v>1187</v>
      </c>
    </row>
    <row r="636" spans="1:2">
      <c r="A636" s="5">
        <v>32</v>
      </c>
      <c r="B636" s="5">
        <v>26551</v>
      </c>
    </row>
    <row r="637" spans="1:2">
      <c r="A637" s="5">
        <v>42</v>
      </c>
      <c r="B637" s="5">
        <v>49649</v>
      </c>
    </row>
    <row r="638" spans="1:2">
      <c r="A638" s="5">
        <v>42</v>
      </c>
      <c r="B638" s="5">
        <v>20337</v>
      </c>
    </row>
    <row r="639" spans="1:2">
      <c r="A639" s="5">
        <v>62</v>
      </c>
      <c r="B639" s="5">
        <v>40411</v>
      </c>
    </row>
    <row r="640" spans="1:2">
      <c r="A640" s="5">
        <v>72</v>
      </c>
      <c r="B640" s="5">
        <v>736</v>
      </c>
    </row>
    <row r="641" spans="1:2">
      <c r="A641" s="5">
        <v>57</v>
      </c>
      <c r="B641" s="5">
        <v>253296</v>
      </c>
    </row>
    <row r="642" spans="1:2">
      <c r="A642" s="5">
        <v>37</v>
      </c>
      <c r="B642" s="5">
        <v>39295</v>
      </c>
    </row>
    <row r="643" spans="1:2">
      <c r="A643" s="5">
        <v>27</v>
      </c>
      <c r="B643" s="5">
        <v>33824</v>
      </c>
    </row>
    <row r="644" spans="1:2">
      <c r="A644" s="5">
        <v>72</v>
      </c>
      <c r="B644" s="5">
        <v>5175</v>
      </c>
    </row>
    <row r="645" spans="1:2">
      <c r="A645" s="5">
        <v>22</v>
      </c>
      <c r="B645" s="5">
        <v>17679</v>
      </c>
    </row>
    <row r="646" spans="1:2">
      <c r="A646" s="5">
        <v>22</v>
      </c>
      <c r="B646" s="5">
        <v>10504</v>
      </c>
    </row>
    <row r="647" spans="1:2">
      <c r="A647" s="5">
        <v>32</v>
      </c>
      <c r="B647" s="5">
        <v>45279</v>
      </c>
    </row>
    <row r="648" spans="1:2">
      <c r="A648" s="5">
        <v>57</v>
      </c>
      <c r="B648" s="5">
        <v>175816</v>
      </c>
    </row>
    <row r="649" spans="1:2">
      <c r="A649" s="5">
        <v>37</v>
      </c>
      <c r="B649" s="5">
        <v>54064</v>
      </c>
    </row>
    <row r="650" spans="1:2">
      <c r="A650" s="5">
        <v>27</v>
      </c>
      <c r="B650" s="5">
        <v>85665</v>
      </c>
    </row>
    <row r="651" spans="1:2">
      <c r="A651" s="5">
        <v>22</v>
      </c>
      <c r="B651" s="5">
        <v>33202</v>
      </c>
    </row>
    <row r="652" spans="1:2">
      <c r="A652" s="5">
        <v>27</v>
      </c>
      <c r="B652" s="5">
        <v>22870</v>
      </c>
    </row>
    <row r="653" spans="1:2">
      <c r="A653" s="5">
        <v>37</v>
      </c>
      <c r="B653" s="5">
        <v>61229</v>
      </c>
    </row>
    <row r="654" spans="1:2">
      <c r="A654" s="5">
        <v>42</v>
      </c>
      <c r="B654" s="5">
        <v>6260</v>
      </c>
    </row>
    <row r="655" spans="1:2">
      <c r="A655" s="5">
        <v>27</v>
      </c>
      <c r="B655" s="5">
        <v>45573</v>
      </c>
    </row>
    <row r="656" spans="1:2">
      <c r="A656" s="5">
        <v>72</v>
      </c>
      <c r="B656" s="5">
        <v>32718</v>
      </c>
    </row>
    <row r="657" spans="1:2">
      <c r="A657" s="5">
        <v>67</v>
      </c>
      <c r="B657" s="5">
        <v>17334</v>
      </c>
    </row>
    <row r="658" spans="1:2">
      <c r="A658" s="5">
        <v>42</v>
      </c>
      <c r="B658" s="5">
        <v>64514</v>
      </c>
    </row>
    <row r="659" spans="1:2">
      <c r="A659" s="5">
        <v>52</v>
      </c>
      <c r="B659" s="5">
        <v>33678</v>
      </c>
    </row>
    <row r="660" spans="1:2">
      <c r="A660" s="5">
        <v>57</v>
      </c>
      <c r="B660" s="5">
        <v>30975</v>
      </c>
    </row>
    <row r="661" spans="1:2">
      <c r="A661" s="5">
        <v>27</v>
      </c>
      <c r="B661" s="5">
        <v>40486</v>
      </c>
    </row>
    <row r="662" spans="1:2">
      <c r="A662" s="5">
        <v>22</v>
      </c>
      <c r="B662" s="5">
        <v>31818</v>
      </c>
    </row>
    <row r="663" spans="1:2">
      <c r="A663" s="5">
        <v>27</v>
      </c>
      <c r="B663" s="5">
        <v>45130</v>
      </c>
    </row>
    <row r="664" spans="1:2">
      <c r="A664" s="5">
        <v>37</v>
      </c>
      <c r="B664" s="5">
        <v>5200</v>
      </c>
    </row>
    <row r="665" spans="1:2">
      <c r="A665" s="5">
        <v>52</v>
      </c>
      <c r="B665" s="5">
        <v>62812</v>
      </c>
    </row>
    <row r="666" spans="1:2">
      <c r="A666" s="5">
        <v>72</v>
      </c>
      <c r="B666" s="5">
        <v>33930</v>
      </c>
    </row>
    <row r="667" spans="1:2">
      <c r="A667" s="5">
        <v>62</v>
      </c>
      <c r="B667" s="5">
        <v>3</v>
      </c>
    </row>
    <row r="668" spans="1:2">
      <c r="A668" s="5">
        <v>22</v>
      </c>
      <c r="B668" s="5">
        <v>52340</v>
      </c>
    </row>
    <row r="669" spans="1:2">
      <c r="A669" s="5">
        <v>67</v>
      </c>
      <c r="B669" s="5">
        <v>17570</v>
      </c>
    </row>
    <row r="670" spans="1:2">
      <c r="A670" s="5">
        <v>47</v>
      </c>
      <c r="B670" s="5">
        <v>41594</v>
      </c>
    </row>
    <row r="671" spans="1:2">
      <c r="A671" s="5">
        <v>72</v>
      </c>
      <c r="B671" s="5">
        <v>499</v>
      </c>
    </row>
    <row r="672" spans="1:2">
      <c r="A672" s="5">
        <v>22</v>
      </c>
      <c r="B672" s="5">
        <v>32571</v>
      </c>
    </row>
    <row r="673" spans="1:2">
      <c r="A673" s="5">
        <v>37</v>
      </c>
      <c r="B673" s="5">
        <v>39858</v>
      </c>
    </row>
    <row r="674" spans="1:2">
      <c r="A674" s="5">
        <v>17</v>
      </c>
      <c r="B674" s="5">
        <v>17427</v>
      </c>
    </row>
    <row r="675" spans="1:2">
      <c r="A675" s="5">
        <v>57</v>
      </c>
      <c r="B675" s="5">
        <v>169967</v>
      </c>
    </row>
    <row r="676" spans="1:2">
      <c r="A676" s="5">
        <v>47</v>
      </c>
      <c r="B676" s="5">
        <v>27854</v>
      </c>
    </row>
    <row r="677" spans="1:2">
      <c r="A677" s="5">
        <v>47</v>
      </c>
      <c r="B677" s="5">
        <v>23903</v>
      </c>
    </row>
    <row r="678" spans="1:2">
      <c r="A678" s="5">
        <v>72</v>
      </c>
      <c r="B678" s="5">
        <v>12859</v>
      </c>
    </row>
    <row r="679" spans="1:2">
      <c r="A679" s="5">
        <v>67</v>
      </c>
      <c r="B679" s="5">
        <v>23531</v>
      </c>
    </row>
    <row r="680" spans="1:2">
      <c r="A680" s="5">
        <v>22</v>
      </c>
      <c r="B680" s="5">
        <v>28105</v>
      </c>
    </row>
    <row r="681" spans="1:2">
      <c r="A681" s="5">
        <v>57</v>
      </c>
      <c r="B681" s="5">
        <v>184333</v>
      </c>
    </row>
    <row r="682" spans="1:2">
      <c r="A682" s="5">
        <v>42</v>
      </c>
      <c r="B682" s="5">
        <v>53904</v>
      </c>
    </row>
    <row r="683" spans="1:2">
      <c r="A683" s="5">
        <v>57</v>
      </c>
      <c r="B683" s="5">
        <v>175129</v>
      </c>
    </row>
    <row r="684" spans="1:2">
      <c r="A684" s="5">
        <v>72</v>
      </c>
      <c r="B684" s="5">
        <v>25284</v>
      </c>
    </row>
    <row r="685" spans="1:2">
      <c r="A685" s="5">
        <v>57</v>
      </c>
      <c r="B685" s="5">
        <v>329651</v>
      </c>
    </row>
    <row r="686" spans="1:2">
      <c r="A686" s="5">
        <v>72</v>
      </c>
      <c r="B686" s="5">
        <v>23983</v>
      </c>
    </row>
    <row r="687" spans="1:2">
      <c r="A687" s="5">
        <v>42</v>
      </c>
      <c r="B687" s="5">
        <v>79165</v>
      </c>
    </row>
    <row r="688" spans="1:2">
      <c r="A688" s="5">
        <v>57</v>
      </c>
      <c r="B688" s="5">
        <v>92935</v>
      </c>
    </row>
    <row r="689" spans="1:2">
      <c r="A689" s="5">
        <v>22</v>
      </c>
      <c r="B689" s="5">
        <v>5023</v>
      </c>
    </row>
    <row r="690" spans="1:2">
      <c r="A690" s="5">
        <v>52</v>
      </c>
      <c r="B690" s="5">
        <v>40466</v>
      </c>
    </row>
    <row r="691" spans="1:2">
      <c r="A691" s="5">
        <v>62</v>
      </c>
      <c r="B691" s="5">
        <v>560</v>
      </c>
    </row>
    <row r="692" spans="1:2">
      <c r="A692" s="5">
        <v>32</v>
      </c>
      <c r="B692" s="5">
        <v>79168</v>
      </c>
    </row>
    <row r="693" spans="1:2">
      <c r="A693" s="5">
        <v>62</v>
      </c>
      <c r="B693" s="5">
        <v>19087</v>
      </c>
    </row>
    <row r="694" spans="1:2">
      <c r="A694" s="5">
        <v>22</v>
      </c>
      <c r="B694" s="5">
        <v>43712</v>
      </c>
    </row>
    <row r="695" spans="1:2">
      <c r="A695" s="5">
        <v>27</v>
      </c>
      <c r="B695" s="5">
        <v>24109</v>
      </c>
    </row>
    <row r="696" spans="1:2">
      <c r="A696" s="5">
        <v>47</v>
      </c>
      <c r="B696" s="5">
        <v>74283</v>
      </c>
    </row>
    <row r="697" spans="1:2">
      <c r="A697" s="5">
        <v>17</v>
      </c>
      <c r="B697" s="5">
        <v>27072</v>
      </c>
    </row>
    <row r="698" spans="1:2">
      <c r="A698" s="5">
        <v>32</v>
      </c>
      <c r="B698" s="5">
        <v>29568</v>
      </c>
    </row>
    <row r="699" spans="1:2">
      <c r="A699" s="5">
        <v>47</v>
      </c>
      <c r="B699" s="5">
        <v>72248</v>
      </c>
    </row>
    <row r="700" spans="1:2">
      <c r="A700" s="5">
        <v>37</v>
      </c>
      <c r="B700" s="5">
        <v>124770</v>
      </c>
    </row>
    <row r="701" spans="1:2">
      <c r="A701" s="5">
        <v>22</v>
      </c>
      <c r="B701" s="5">
        <v>31481</v>
      </c>
    </row>
    <row r="702" spans="1:2">
      <c r="A702" s="5">
        <v>57</v>
      </c>
      <c r="B702" s="5">
        <v>71534</v>
      </c>
    </row>
    <row r="703" spans="1:2">
      <c r="A703" s="5">
        <v>47</v>
      </c>
      <c r="B703" s="5">
        <v>55183</v>
      </c>
    </row>
    <row r="704" spans="1:2">
      <c r="A704" s="5">
        <v>62</v>
      </c>
      <c r="B704" s="5">
        <v>403365</v>
      </c>
    </row>
    <row r="705" spans="1:2">
      <c r="A705" s="5">
        <v>47</v>
      </c>
      <c r="B705" s="5">
        <v>161394</v>
      </c>
    </row>
    <row r="706" spans="1:2">
      <c r="A706" s="5">
        <v>62</v>
      </c>
      <c r="B706" s="5">
        <v>26245</v>
      </c>
    </row>
    <row r="707" spans="1:2">
      <c r="A707" s="5">
        <v>42</v>
      </c>
      <c r="B707" s="5">
        <v>308731</v>
      </c>
    </row>
    <row r="708" spans="1:2">
      <c r="A708" s="5">
        <v>22</v>
      </c>
      <c r="B708" s="5">
        <v>77110</v>
      </c>
    </row>
    <row r="709" spans="1:2">
      <c r="A709" s="5">
        <v>27</v>
      </c>
      <c r="B709" s="5">
        <v>142769</v>
      </c>
    </row>
    <row r="710" spans="1:2">
      <c r="A710" s="5">
        <v>22</v>
      </c>
      <c r="B710" s="5">
        <v>39258</v>
      </c>
    </row>
    <row r="711" spans="1:2">
      <c r="A711" s="5">
        <v>22</v>
      </c>
      <c r="B711" s="5">
        <v>25625</v>
      </c>
    </row>
    <row r="712" spans="1:2">
      <c r="A712" s="5">
        <v>67</v>
      </c>
      <c r="B712" s="5">
        <v>74710</v>
      </c>
    </row>
    <row r="713" spans="1:2">
      <c r="A713" s="5">
        <v>32</v>
      </c>
      <c r="B713" s="5">
        <v>18458</v>
      </c>
    </row>
    <row r="714" spans="1:2">
      <c r="A714" s="5">
        <v>22</v>
      </c>
      <c r="B714" s="5">
        <v>63024</v>
      </c>
    </row>
    <row r="715" spans="1:2">
      <c r="A715" s="5">
        <v>32</v>
      </c>
      <c r="B715" s="5">
        <v>82987</v>
      </c>
    </row>
    <row r="716" spans="1:2">
      <c r="A716" s="5">
        <v>47</v>
      </c>
      <c r="B716" s="5">
        <v>47465</v>
      </c>
    </row>
    <row r="717" spans="1:2">
      <c r="A717" s="5">
        <v>52</v>
      </c>
      <c r="B717" s="5">
        <v>29069</v>
      </c>
    </row>
    <row r="718" spans="1:2">
      <c r="A718" s="5">
        <v>22</v>
      </c>
      <c r="B718" s="5">
        <v>34294</v>
      </c>
    </row>
    <row r="719" spans="1:2">
      <c r="A719" s="5">
        <v>52</v>
      </c>
      <c r="B719" s="5">
        <v>30106</v>
      </c>
    </row>
    <row r="720" spans="1:2">
      <c r="A720" s="5">
        <v>47</v>
      </c>
      <c r="B720" s="5">
        <v>12363</v>
      </c>
    </row>
    <row r="721" spans="1:2">
      <c r="A721" s="5">
        <v>32</v>
      </c>
      <c r="B721" s="5">
        <v>37747</v>
      </c>
    </row>
    <row r="722" spans="1:2">
      <c r="A722" s="5">
        <v>22</v>
      </c>
      <c r="B722" s="5">
        <v>36272</v>
      </c>
    </row>
    <row r="723" spans="1:2">
      <c r="A723" s="5">
        <v>47</v>
      </c>
      <c r="B723" s="5">
        <v>15685</v>
      </c>
    </row>
    <row r="724" spans="1:2">
      <c r="A724" s="5">
        <v>47</v>
      </c>
      <c r="B724" s="5">
        <v>179410</v>
      </c>
    </row>
    <row r="725" spans="1:2">
      <c r="A725" s="5">
        <v>37</v>
      </c>
      <c r="B725" s="5">
        <v>84562</v>
      </c>
    </row>
    <row r="726" spans="1:2">
      <c r="A726" s="5">
        <v>67</v>
      </c>
      <c r="B726" s="5">
        <v>33852</v>
      </c>
    </row>
    <row r="727" spans="1:2">
      <c r="A727" s="5">
        <v>37</v>
      </c>
      <c r="B727" s="5">
        <v>41819</v>
      </c>
    </row>
    <row r="728" spans="1:2">
      <c r="A728" s="5">
        <v>52</v>
      </c>
      <c r="B728" s="5">
        <v>38434</v>
      </c>
    </row>
    <row r="729" spans="1:2">
      <c r="A729" s="5">
        <v>27</v>
      </c>
      <c r="B729" s="5">
        <v>28082</v>
      </c>
    </row>
    <row r="730" spans="1:2">
      <c r="A730" s="5">
        <v>62</v>
      </c>
      <c r="B730" s="5">
        <v>23775</v>
      </c>
    </row>
    <row r="731" spans="1:2">
      <c r="A731" s="5">
        <v>22</v>
      </c>
      <c r="B731" s="5">
        <v>21889</v>
      </c>
    </row>
    <row r="732" spans="1:2">
      <c r="A732" s="5">
        <v>42</v>
      </c>
      <c r="B732" s="5">
        <v>102932</v>
      </c>
    </row>
    <row r="733" spans="1:2">
      <c r="A733" s="5">
        <v>52</v>
      </c>
      <c r="B733" s="5">
        <v>34074</v>
      </c>
    </row>
    <row r="734" spans="1:2">
      <c r="A734" s="5">
        <v>67</v>
      </c>
      <c r="B734" s="5">
        <v>83420</v>
      </c>
    </row>
    <row r="735" spans="1:2">
      <c r="A735" s="5">
        <v>27</v>
      </c>
      <c r="B735" s="5">
        <v>30531</v>
      </c>
    </row>
    <row r="736" spans="1:2">
      <c r="A736" s="5">
        <v>27</v>
      </c>
      <c r="B736" s="5">
        <v>95614</v>
      </c>
    </row>
    <row r="737" spans="1:2">
      <c r="A737" s="5">
        <v>42</v>
      </c>
      <c r="B737" s="5">
        <v>4857</v>
      </c>
    </row>
    <row r="738" spans="1:2">
      <c r="A738" s="5">
        <v>17</v>
      </c>
      <c r="B738" s="5">
        <v>28839</v>
      </c>
    </row>
    <row r="739" spans="1:2">
      <c r="A739" s="5">
        <v>27</v>
      </c>
      <c r="B739" s="5">
        <v>42950</v>
      </c>
    </row>
    <row r="740" spans="1:2">
      <c r="A740" s="5">
        <v>72</v>
      </c>
      <c r="B740" s="5">
        <v>17985</v>
      </c>
    </row>
    <row r="741" spans="1:2">
      <c r="A741" s="5">
        <v>67</v>
      </c>
      <c r="B741" s="5">
        <v>36043</v>
      </c>
    </row>
    <row r="742" spans="1:2">
      <c r="A742" s="5">
        <v>52</v>
      </c>
      <c r="B742" s="5">
        <v>82008</v>
      </c>
    </row>
    <row r="743" spans="1:2">
      <c r="A743" s="5">
        <v>52</v>
      </c>
      <c r="B743" s="5">
        <v>84090</v>
      </c>
    </row>
    <row r="744" spans="1:2">
      <c r="A744" s="5">
        <v>57</v>
      </c>
      <c r="B744" s="5">
        <v>55127</v>
      </c>
    </row>
    <row r="745" spans="1:2">
      <c r="A745" s="5">
        <v>57</v>
      </c>
      <c r="B745" s="5">
        <v>46703</v>
      </c>
    </row>
    <row r="746" spans="1:2">
      <c r="A746" s="5">
        <v>37</v>
      </c>
      <c r="B746" s="5">
        <v>75992</v>
      </c>
    </row>
    <row r="747" spans="1:2">
      <c r="A747" s="5">
        <v>32</v>
      </c>
      <c r="B747" s="5">
        <v>47729</v>
      </c>
    </row>
    <row r="748" spans="1:2">
      <c r="A748" s="5">
        <v>37</v>
      </c>
      <c r="B748" s="5">
        <v>40390</v>
      </c>
    </row>
    <row r="749" spans="1:2">
      <c r="A749" s="5">
        <v>42</v>
      </c>
      <c r="B749" s="5">
        <v>30008</v>
      </c>
    </row>
    <row r="750" spans="1:2">
      <c r="A750" s="5">
        <v>72</v>
      </c>
      <c r="B750" s="5">
        <v>77602</v>
      </c>
    </row>
    <row r="751" spans="1:2">
      <c r="A751" s="5">
        <v>17</v>
      </c>
      <c r="B751" s="5">
        <v>6657</v>
      </c>
    </row>
    <row r="752" spans="1:2">
      <c r="A752" s="5">
        <v>62</v>
      </c>
      <c r="B752" s="5">
        <v>113967</v>
      </c>
    </row>
    <row r="753" spans="1:2">
      <c r="A753" s="5">
        <v>27</v>
      </c>
      <c r="B753" s="5">
        <v>37298</v>
      </c>
    </row>
    <row r="754" spans="1:2">
      <c r="A754" s="5">
        <v>52</v>
      </c>
      <c r="B754" s="5">
        <v>22435</v>
      </c>
    </row>
    <row r="755" spans="1:2">
      <c r="A755" s="5">
        <v>62</v>
      </c>
      <c r="B755" s="5">
        <v>6544</v>
      </c>
    </row>
    <row r="756" spans="1:2">
      <c r="A756" s="5">
        <v>62</v>
      </c>
      <c r="B756" s="5">
        <v>25845</v>
      </c>
    </row>
    <row r="757" spans="1:2">
      <c r="A757" s="5">
        <v>62</v>
      </c>
      <c r="B757" s="5">
        <v>63641</v>
      </c>
    </row>
    <row r="758" spans="1:2">
      <c r="A758" s="5">
        <v>27</v>
      </c>
      <c r="B758" s="5">
        <v>4002</v>
      </c>
    </row>
    <row r="759" spans="1:2">
      <c r="A759" s="5">
        <v>57</v>
      </c>
      <c r="B759" s="5">
        <v>54800</v>
      </c>
    </row>
    <row r="760" spans="1:2">
      <c r="A760" s="5">
        <v>22</v>
      </c>
      <c r="B760" s="5">
        <v>25379</v>
      </c>
    </row>
    <row r="761" spans="1:2">
      <c r="A761" s="5">
        <v>67</v>
      </c>
      <c r="B761" s="5">
        <v>12899</v>
      </c>
    </row>
    <row r="762" spans="1:2">
      <c r="A762" s="5">
        <v>37</v>
      </c>
      <c r="B762" s="5">
        <v>12492</v>
      </c>
    </row>
    <row r="763" spans="1:2">
      <c r="A763" s="5">
        <v>57</v>
      </c>
      <c r="B763" s="5">
        <v>308104</v>
      </c>
    </row>
    <row r="764" spans="1:2">
      <c r="A764" s="5">
        <v>27</v>
      </c>
      <c r="B764" s="5">
        <v>4796</v>
      </c>
    </row>
    <row r="765" spans="1:2">
      <c r="A765" s="5">
        <v>52</v>
      </c>
      <c r="B765" s="5">
        <v>141894</v>
      </c>
    </row>
    <row r="766" spans="1:2">
      <c r="A766" s="5">
        <v>22</v>
      </c>
      <c r="B766" s="5">
        <v>40195</v>
      </c>
    </row>
    <row r="767" spans="1:2">
      <c r="A767" s="5">
        <v>32</v>
      </c>
      <c r="B767" s="5">
        <v>995</v>
      </c>
    </row>
    <row r="768" spans="1:2">
      <c r="A768" s="5">
        <v>47</v>
      </c>
      <c r="B768" s="5">
        <v>44641</v>
      </c>
    </row>
    <row r="769" spans="1:2">
      <c r="A769" s="5">
        <v>47</v>
      </c>
      <c r="B769" s="5">
        <v>64028</v>
      </c>
    </row>
    <row r="770" spans="1:2">
      <c r="A770" s="5">
        <v>27</v>
      </c>
      <c r="B770" s="5">
        <v>21963</v>
      </c>
    </row>
    <row r="771" spans="1:2">
      <c r="A771" s="5">
        <v>27</v>
      </c>
      <c r="B771" s="5">
        <v>93019</v>
      </c>
    </row>
    <row r="772" spans="1:2">
      <c r="A772" s="5">
        <v>52</v>
      </c>
      <c r="B772" s="5">
        <v>34034</v>
      </c>
    </row>
    <row r="773" spans="1:2">
      <c r="A773" s="5">
        <v>57</v>
      </c>
      <c r="B773" s="5">
        <v>21462</v>
      </c>
    </row>
    <row r="774" spans="1:2">
      <c r="A774" s="5">
        <v>47</v>
      </c>
      <c r="B774" s="5">
        <v>37850</v>
      </c>
    </row>
    <row r="775" spans="1:2">
      <c r="A775" s="5">
        <v>22</v>
      </c>
      <c r="B775" s="5">
        <v>28095</v>
      </c>
    </row>
    <row r="776" spans="1:2">
      <c r="A776" s="5">
        <v>22</v>
      </c>
      <c r="B776" s="5">
        <v>36550</v>
      </c>
    </row>
    <row r="777" spans="1:2">
      <c r="A777" s="5">
        <v>22</v>
      </c>
      <c r="B777" s="5">
        <v>5530</v>
      </c>
    </row>
    <row r="778" spans="1:2">
      <c r="A778" s="5">
        <v>27</v>
      </c>
      <c r="B778" s="5">
        <v>55341</v>
      </c>
    </row>
    <row r="779" spans="1:2">
      <c r="A779" s="5">
        <v>22</v>
      </c>
      <c r="B779" s="5">
        <v>25552</v>
      </c>
    </row>
    <row r="780" spans="1:2">
      <c r="A780" s="5">
        <v>62</v>
      </c>
      <c r="B780" s="5">
        <v>57115</v>
      </c>
    </row>
    <row r="781" spans="1:2">
      <c r="A781" s="5">
        <v>47</v>
      </c>
      <c r="B781" s="5">
        <v>203977</v>
      </c>
    </row>
    <row r="782" spans="1:2">
      <c r="A782" s="5">
        <v>47</v>
      </c>
      <c r="B782" s="5">
        <v>33192</v>
      </c>
    </row>
    <row r="783" spans="1:2">
      <c r="A783" s="5">
        <v>42</v>
      </c>
      <c r="B783" s="5">
        <v>93232</v>
      </c>
    </row>
    <row r="784" spans="1:2">
      <c r="A784" s="5">
        <v>22</v>
      </c>
      <c r="B784" s="5">
        <v>30325</v>
      </c>
    </row>
    <row r="785" spans="1:2">
      <c r="A785" s="5">
        <v>72</v>
      </c>
      <c r="B785" s="5">
        <v>47299</v>
      </c>
    </row>
    <row r="786" spans="1:2">
      <c r="A786" s="5">
        <v>42</v>
      </c>
      <c r="B786" s="5">
        <v>13812</v>
      </c>
    </row>
    <row r="787" spans="1:2">
      <c r="A787" s="5">
        <v>42</v>
      </c>
      <c r="B787" s="5">
        <v>122128</v>
      </c>
    </row>
    <row r="788" spans="1:2">
      <c r="A788" s="5">
        <v>57</v>
      </c>
      <c r="B788" s="5">
        <v>22998</v>
      </c>
    </row>
    <row r="789" spans="1:2">
      <c r="A789" s="5">
        <v>52</v>
      </c>
      <c r="B789" s="5">
        <v>29097</v>
      </c>
    </row>
    <row r="790" spans="1:2">
      <c r="A790" s="5">
        <v>52</v>
      </c>
      <c r="B790" s="5">
        <v>19903</v>
      </c>
    </row>
    <row r="791" spans="1:2">
      <c r="A791" s="5">
        <v>72</v>
      </c>
      <c r="B791" s="5">
        <v>38850</v>
      </c>
    </row>
    <row r="792" spans="1:2">
      <c r="A792" s="5">
        <v>72</v>
      </c>
      <c r="B792" s="5">
        <v>7049</v>
      </c>
    </row>
    <row r="793" spans="1:2">
      <c r="A793" s="5">
        <v>47</v>
      </c>
      <c r="B793" s="5">
        <v>44100</v>
      </c>
    </row>
    <row r="794" spans="1:2">
      <c r="A794" s="5">
        <v>42</v>
      </c>
      <c r="B794" s="5">
        <v>60018</v>
      </c>
    </row>
    <row r="795" spans="1:2">
      <c r="A795" s="5">
        <v>52</v>
      </c>
      <c r="B795" s="5">
        <v>42736</v>
      </c>
    </row>
    <row r="796" spans="1:2">
      <c r="A796" s="5">
        <v>17</v>
      </c>
      <c r="B796" s="5">
        <v>11511</v>
      </c>
    </row>
    <row r="797" spans="1:2">
      <c r="A797" s="5">
        <v>27</v>
      </c>
      <c r="B797" s="5">
        <v>21113</v>
      </c>
    </row>
    <row r="798" spans="1:2">
      <c r="A798" s="5">
        <v>42</v>
      </c>
      <c r="B798" s="5">
        <v>63142</v>
      </c>
    </row>
    <row r="799" spans="1:2">
      <c r="A799" s="5">
        <v>62</v>
      </c>
      <c r="B799" s="5">
        <v>53319</v>
      </c>
    </row>
    <row r="800" spans="1:2">
      <c r="A800" s="5">
        <v>27</v>
      </c>
      <c r="B800" s="5">
        <v>18268</v>
      </c>
    </row>
    <row r="801" spans="1:2">
      <c r="A801" s="5">
        <v>42</v>
      </c>
      <c r="B801" s="5">
        <v>57252</v>
      </c>
    </row>
    <row r="802" spans="1:2">
      <c r="A802" s="5">
        <v>47</v>
      </c>
      <c r="B802" s="5">
        <v>320023</v>
      </c>
    </row>
    <row r="803" spans="1:2">
      <c r="A803" s="5">
        <v>47</v>
      </c>
      <c r="B803" s="5">
        <v>82447</v>
      </c>
    </row>
    <row r="804" spans="1:2">
      <c r="A804" s="5">
        <v>47</v>
      </c>
      <c r="B804" s="5">
        <v>86314</v>
      </c>
    </row>
    <row r="805" spans="1:2">
      <c r="A805" s="5">
        <v>62</v>
      </c>
      <c r="B805" s="5">
        <v>37153</v>
      </c>
    </row>
    <row r="806" spans="1:2">
      <c r="A806" s="5">
        <v>32</v>
      </c>
      <c r="B806" s="5">
        <v>39718</v>
      </c>
    </row>
    <row r="807" spans="1:2">
      <c r="A807" s="5">
        <v>42</v>
      </c>
      <c r="B807" s="5">
        <v>87809</v>
      </c>
    </row>
    <row r="808" spans="1:2">
      <c r="A808" s="5">
        <v>27</v>
      </c>
      <c r="B808" s="5">
        <v>54434</v>
      </c>
    </row>
    <row r="809" spans="1:2">
      <c r="A809" s="5">
        <v>62</v>
      </c>
      <c r="B809" s="5">
        <v>52726</v>
      </c>
    </row>
    <row r="810" spans="1:2">
      <c r="A810" s="5">
        <v>72</v>
      </c>
      <c r="B810" s="5">
        <v>19594</v>
      </c>
    </row>
    <row r="811" spans="1:2">
      <c r="A811" s="5">
        <v>42</v>
      </c>
      <c r="B811" s="5">
        <v>64882</v>
      </c>
    </row>
    <row r="812" spans="1:2">
      <c r="A812" s="5">
        <v>27</v>
      </c>
      <c r="B812" s="5">
        <v>126758</v>
      </c>
    </row>
    <row r="813" spans="1:2">
      <c r="A813" s="5">
        <v>27</v>
      </c>
      <c r="B813" s="5">
        <v>61883</v>
      </c>
    </row>
    <row r="814" spans="1:2">
      <c r="A814" s="5">
        <v>42</v>
      </c>
      <c r="B814" s="5">
        <v>-80309</v>
      </c>
    </row>
    <row r="815" spans="1:2">
      <c r="A815" s="5">
        <v>52</v>
      </c>
      <c r="B815" s="5">
        <v>75532</v>
      </c>
    </row>
    <row r="816" spans="1:2">
      <c r="A816" s="5">
        <v>22</v>
      </c>
      <c r="B816" s="5">
        <v>108991</v>
      </c>
    </row>
    <row r="817" spans="1:2">
      <c r="A817" s="5">
        <v>47</v>
      </c>
      <c r="B817" s="5">
        <v>38472</v>
      </c>
    </row>
    <row r="818" spans="1:2">
      <c r="A818" s="5">
        <v>32</v>
      </c>
      <c r="B818" s="5">
        <v>24630</v>
      </c>
    </row>
    <row r="819" spans="1:2">
      <c r="A819" s="5">
        <v>57</v>
      </c>
      <c r="B819" s="5">
        <v>71227</v>
      </c>
    </row>
    <row r="820" spans="1:2">
      <c r="A820" s="5">
        <v>47</v>
      </c>
      <c r="B820" s="5">
        <v>44382</v>
      </c>
    </row>
    <row r="821" spans="1:2">
      <c r="A821" s="5">
        <v>42</v>
      </c>
      <c r="B821" s="5">
        <v>137272</v>
      </c>
    </row>
    <row r="822" spans="1:2">
      <c r="A822" s="5">
        <v>67</v>
      </c>
      <c r="B822" s="5">
        <v>116772</v>
      </c>
    </row>
    <row r="823" spans="1:2">
      <c r="A823" s="5">
        <v>62</v>
      </c>
      <c r="B823" s="5">
        <v>35497</v>
      </c>
    </row>
    <row r="824" spans="1:2">
      <c r="A824" s="5">
        <v>62</v>
      </c>
      <c r="B824" s="5">
        <v>34728</v>
      </c>
    </row>
    <row r="825" spans="1:2">
      <c r="A825" s="5">
        <v>42</v>
      </c>
      <c r="B825" s="5">
        <v>58264</v>
      </c>
    </row>
    <row r="826" spans="1:2">
      <c r="A826" s="5">
        <v>27</v>
      </c>
      <c r="B826" s="5">
        <v>74208</v>
      </c>
    </row>
    <row r="827" spans="1:2">
      <c r="A827" s="5">
        <v>27</v>
      </c>
      <c r="B827" s="5">
        <v>69939</v>
      </c>
    </row>
    <row r="828" spans="1:2">
      <c r="A828" s="5">
        <v>37</v>
      </c>
      <c r="B828" s="5">
        <v>26041</v>
      </c>
    </row>
    <row r="829" spans="1:2">
      <c r="A829" s="5">
        <v>52</v>
      </c>
      <c r="B829" s="5">
        <v>77359</v>
      </c>
    </row>
    <row r="830" spans="1:2">
      <c r="A830" s="5">
        <v>32</v>
      </c>
      <c r="B830" s="5">
        <v>74546</v>
      </c>
    </row>
    <row r="831" spans="1:2">
      <c r="A831" s="5">
        <v>27</v>
      </c>
      <c r="B831" s="5">
        <v>106253</v>
      </c>
    </row>
    <row r="832" spans="1:2">
      <c r="A832" s="5">
        <v>57</v>
      </c>
      <c r="B832" s="5">
        <v>9505</v>
      </c>
    </row>
    <row r="833" spans="1:2">
      <c r="A833" s="5">
        <v>22</v>
      </c>
      <c r="B833" s="5">
        <v>36431</v>
      </c>
    </row>
    <row r="834" spans="1:2">
      <c r="A834" s="5">
        <v>62</v>
      </c>
      <c r="B834" s="5">
        <v>22652</v>
      </c>
    </row>
    <row r="835" spans="1:2">
      <c r="A835" s="5">
        <v>57</v>
      </c>
      <c r="B835" s="5">
        <v>17364</v>
      </c>
    </row>
    <row r="836" spans="1:2">
      <c r="A836" s="5">
        <v>32</v>
      </c>
      <c r="B836" s="5">
        <v>34967</v>
      </c>
    </row>
    <row r="837" spans="1:2">
      <c r="A837" s="5">
        <v>37</v>
      </c>
      <c r="B837" s="5">
        <v>78369</v>
      </c>
    </row>
    <row r="838" spans="1:2">
      <c r="A838" s="5">
        <v>72</v>
      </c>
      <c r="B838" s="5">
        <v>34612</v>
      </c>
    </row>
    <row r="839" spans="1:2">
      <c r="A839" s="5">
        <v>22</v>
      </c>
      <c r="B839" s="5">
        <v>39485</v>
      </c>
    </row>
    <row r="840" spans="1:2">
      <c r="A840" s="5">
        <v>72</v>
      </c>
      <c r="B840" s="5">
        <v>11072</v>
      </c>
    </row>
    <row r="841" spans="1:2">
      <c r="A841" s="5">
        <v>52</v>
      </c>
      <c r="B841" s="5">
        <v>75600</v>
      </c>
    </row>
    <row r="842" spans="1:2">
      <c r="A842" s="5">
        <v>37</v>
      </c>
      <c r="B842" s="5">
        <v>36178</v>
      </c>
    </row>
    <row r="843" spans="1:2">
      <c r="A843" s="5">
        <v>52</v>
      </c>
      <c r="B843" s="5">
        <v>127940</v>
      </c>
    </row>
    <row r="844" spans="1:2">
      <c r="A844" s="5">
        <v>67</v>
      </c>
      <c r="B844" s="5">
        <v>377234</v>
      </c>
    </row>
    <row r="845" spans="1:2">
      <c r="A845" s="5">
        <v>27</v>
      </c>
      <c r="B845" s="5">
        <v>54022</v>
      </c>
    </row>
    <row r="846" spans="1:2">
      <c r="A846" s="5">
        <v>22</v>
      </c>
      <c r="B846" s="5">
        <v>11801</v>
      </c>
    </row>
    <row r="847" spans="1:2">
      <c r="A847" s="5">
        <v>27</v>
      </c>
      <c r="B847" s="5">
        <v>50305</v>
      </c>
    </row>
    <row r="848" spans="1:2">
      <c r="A848" s="5">
        <v>22</v>
      </c>
      <c r="B848" s="5">
        <v>88866</v>
      </c>
    </row>
    <row r="849" spans="1:2">
      <c r="A849" s="5">
        <v>52</v>
      </c>
      <c r="B849" s="5">
        <v>11944</v>
      </c>
    </row>
    <row r="850" spans="1:2">
      <c r="A850" s="5">
        <v>32</v>
      </c>
      <c r="B850" s="5">
        <v>39774</v>
      </c>
    </row>
    <row r="851" spans="1:2">
      <c r="A851" s="5">
        <v>22</v>
      </c>
      <c r="B851" s="5">
        <v>2132</v>
      </c>
    </row>
    <row r="852" spans="1:2">
      <c r="A852" s="5">
        <v>37</v>
      </c>
      <c r="B852" s="5">
        <v>29960</v>
      </c>
    </row>
    <row r="853" spans="1:2">
      <c r="A853" s="5">
        <v>67</v>
      </c>
      <c r="B853" s="5">
        <v>5395</v>
      </c>
    </row>
    <row r="854" spans="1:2">
      <c r="A854" s="5">
        <v>32</v>
      </c>
      <c r="B854" s="5">
        <v>113383</v>
      </c>
    </row>
    <row r="855" spans="1:2">
      <c r="A855" s="5">
        <v>32</v>
      </c>
      <c r="B855" s="5">
        <v>59246</v>
      </c>
    </row>
    <row r="856" spans="1:2">
      <c r="A856" s="5">
        <v>42</v>
      </c>
      <c r="B856" s="5">
        <v>41182</v>
      </c>
    </row>
    <row r="857" spans="1:2">
      <c r="A857" s="5">
        <v>47</v>
      </c>
      <c r="B857" s="5">
        <v>3447</v>
      </c>
    </row>
    <row r="858" spans="1:2">
      <c r="A858" s="5">
        <v>57</v>
      </c>
      <c r="B858" s="5">
        <v>91030</v>
      </c>
    </row>
    <row r="859" spans="1:2">
      <c r="A859" s="5">
        <v>67</v>
      </c>
      <c r="B859" s="5">
        <v>41775</v>
      </c>
    </row>
    <row r="860" spans="1:2">
      <c r="A860" s="5">
        <v>42</v>
      </c>
      <c r="B860" s="5">
        <v>68974</v>
      </c>
    </row>
    <row r="861" spans="1:2">
      <c r="A861" s="5">
        <v>37</v>
      </c>
      <c r="B861" s="5">
        <v>121815</v>
      </c>
    </row>
    <row r="862" spans="1:2">
      <c r="A862" s="5">
        <v>37</v>
      </c>
      <c r="B862" s="5">
        <v>73515</v>
      </c>
    </row>
    <row r="863" spans="1:2">
      <c r="A863" s="5">
        <v>42</v>
      </c>
      <c r="B863" s="5">
        <v>0</v>
      </c>
    </row>
    <row r="864" spans="1:2">
      <c r="A864" s="5">
        <v>42</v>
      </c>
      <c r="B864" s="5">
        <v>122376</v>
      </c>
    </row>
    <row r="865" spans="1:2">
      <c r="A865" s="5">
        <v>32</v>
      </c>
      <c r="B865" s="5">
        <v>75117</v>
      </c>
    </row>
    <row r="866" spans="1:2">
      <c r="A866" s="5">
        <v>47</v>
      </c>
      <c r="B866" s="5">
        <v>149842</v>
      </c>
    </row>
    <row r="867" spans="1:2">
      <c r="A867" s="5">
        <v>57</v>
      </c>
      <c r="B867" s="5">
        <v>49250</v>
      </c>
    </row>
    <row r="868" spans="1:2">
      <c r="A868" s="5">
        <v>42</v>
      </c>
      <c r="B868" s="5">
        <v>93439</v>
      </c>
    </row>
    <row r="869" spans="1:2">
      <c r="A869" s="5">
        <v>47</v>
      </c>
      <c r="B869" s="5">
        <v>39499</v>
      </c>
    </row>
    <row r="870" spans="1:2">
      <c r="A870" s="5">
        <v>22</v>
      </c>
      <c r="B870" s="5">
        <v>4148</v>
      </c>
    </row>
    <row r="871" spans="1:2">
      <c r="A871" s="5">
        <v>27</v>
      </c>
      <c r="B871" s="5">
        <v>52490</v>
      </c>
    </row>
    <row r="872" spans="1:2">
      <c r="A872" s="5">
        <v>27</v>
      </c>
      <c r="B872" s="5">
        <v>138377</v>
      </c>
    </row>
    <row r="873" spans="1:2">
      <c r="A873" s="5">
        <v>42</v>
      </c>
      <c r="B873" s="5">
        <v>11874</v>
      </c>
    </row>
    <row r="874" spans="1:2">
      <c r="A874" s="5">
        <v>72</v>
      </c>
      <c r="B874" s="5">
        <v>20920</v>
      </c>
    </row>
    <row r="875" spans="1:2">
      <c r="A875" s="5">
        <v>42</v>
      </c>
      <c r="B875" s="5">
        <v>81692</v>
      </c>
    </row>
    <row r="876" spans="1:2">
      <c r="A876" s="5">
        <v>72</v>
      </c>
      <c r="B876" s="5">
        <v>48939</v>
      </c>
    </row>
    <row r="877" spans="1:2">
      <c r="A877" s="5">
        <v>37</v>
      </c>
      <c r="B877" s="5">
        <v>12989</v>
      </c>
    </row>
    <row r="878" spans="1:2">
      <c r="A878" s="5">
        <v>32</v>
      </c>
      <c r="B878" s="5">
        <v>227664</v>
      </c>
    </row>
    <row r="879" spans="1:2">
      <c r="A879" s="5">
        <v>62</v>
      </c>
      <c r="B879" s="5">
        <v>71476</v>
      </c>
    </row>
    <row r="880" spans="1:2">
      <c r="A880" s="5">
        <v>22</v>
      </c>
      <c r="B880" s="5">
        <v>20569</v>
      </c>
    </row>
    <row r="881" spans="1:2">
      <c r="A881" s="5">
        <v>62</v>
      </c>
      <c r="B881" s="5">
        <v>20272</v>
      </c>
    </row>
    <row r="882" spans="1:2">
      <c r="A882" s="5">
        <v>32</v>
      </c>
      <c r="B882" s="5">
        <v>59941</v>
      </c>
    </row>
    <row r="883" spans="1:2">
      <c r="A883" s="5">
        <v>42</v>
      </c>
      <c r="B883" s="5">
        <v>38</v>
      </c>
    </row>
    <row r="884" spans="1:2">
      <c r="A884" s="5">
        <v>47</v>
      </c>
      <c r="B884" s="5">
        <v>6093</v>
      </c>
    </row>
    <row r="885" spans="1:2">
      <c r="A885" s="5">
        <v>47</v>
      </c>
      <c r="B885" s="5">
        <v>-32058</v>
      </c>
    </row>
    <row r="886" spans="1:2">
      <c r="A886" s="5">
        <v>72</v>
      </c>
      <c r="B886" s="5">
        <v>4081</v>
      </c>
    </row>
    <row r="887" spans="1:2">
      <c r="A887" s="5">
        <v>22</v>
      </c>
      <c r="B887" s="5">
        <v>58791</v>
      </c>
    </row>
    <row r="888" spans="1:2">
      <c r="A888" s="5">
        <v>37</v>
      </c>
      <c r="B888" s="5">
        <v>88773</v>
      </c>
    </row>
    <row r="889" spans="1:2">
      <c r="A889" s="5">
        <v>67</v>
      </c>
      <c r="B889" s="5">
        <v>82385</v>
      </c>
    </row>
    <row r="890" spans="1:2">
      <c r="A890" s="5">
        <v>22</v>
      </c>
      <c r="B890" s="5">
        <v>38265</v>
      </c>
    </row>
    <row r="891" spans="1:2">
      <c r="A891" s="5">
        <v>52</v>
      </c>
      <c r="B891" s="5">
        <v>63136</v>
      </c>
    </row>
    <row r="892" spans="1:2">
      <c r="A892" s="5">
        <v>22</v>
      </c>
      <c r="B892" s="5">
        <v>24605</v>
      </c>
    </row>
    <row r="893" spans="1:2">
      <c r="A893" s="5">
        <v>27</v>
      </c>
      <c r="B893" s="5">
        <v>142628</v>
      </c>
    </row>
    <row r="894" spans="1:2">
      <c r="A894" s="5">
        <v>32</v>
      </c>
      <c r="B894" s="5">
        <v>3270</v>
      </c>
    </row>
    <row r="895" spans="1:2">
      <c r="A895" s="5">
        <v>57</v>
      </c>
      <c r="B895" s="5">
        <v>50446</v>
      </c>
    </row>
    <row r="896" spans="1:2">
      <c r="A896" s="5">
        <v>72</v>
      </c>
      <c r="B896" s="5">
        <v>39044</v>
      </c>
    </row>
    <row r="897" spans="1:2">
      <c r="A897" s="5">
        <v>32</v>
      </c>
      <c r="B897" s="5">
        <v>458</v>
      </c>
    </row>
    <row r="898" spans="1:2">
      <c r="A898" s="5">
        <v>57</v>
      </c>
      <c r="B898" s="5">
        <v>112781</v>
      </c>
    </row>
    <row r="899" spans="1:2">
      <c r="A899" s="5">
        <v>67</v>
      </c>
      <c r="B899" s="5">
        <v>17843</v>
      </c>
    </row>
    <row r="900" spans="1:2">
      <c r="A900" s="5">
        <v>32</v>
      </c>
      <c r="B900" s="5">
        <v>117716</v>
      </c>
    </row>
    <row r="901" spans="1:2">
      <c r="A901" s="5">
        <v>57</v>
      </c>
      <c r="B901" s="5">
        <v>49587</v>
      </c>
    </row>
    <row r="902" spans="1:2">
      <c r="A902" s="5">
        <v>42</v>
      </c>
      <c r="B902" s="5">
        <v>28927</v>
      </c>
    </row>
    <row r="903" spans="1:2">
      <c r="A903" s="5">
        <v>67</v>
      </c>
      <c r="B903" s="5">
        <v>67728</v>
      </c>
    </row>
    <row r="904" spans="1:2">
      <c r="A904" s="5">
        <v>22</v>
      </c>
      <c r="B904" s="5">
        <v>31064</v>
      </c>
    </row>
    <row r="905" spans="1:2">
      <c r="A905" s="5">
        <v>62</v>
      </c>
      <c r="B905" s="5">
        <v>328743</v>
      </c>
    </row>
    <row r="906" spans="1:2">
      <c r="A906" s="5">
        <v>47</v>
      </c>
      <c r="B906" s="5">
        <v>49063</v>
      </c>
    </row>
    <row r="907" spans="1:2">
      <c r="A907" s="5">
        <v>57</v>
      </c>
      <c r="B907" s="5">
        <v>26983</v>
      </c>
    </row>
    <row r="908" spans="1:2">
      <c r="A908" s="5">
        <v>62</v>
      </c>
      <c r="B908" s="5">
        <v>18227</v>
      </c>
    </row>
    <row r="909" spans="1:2">
      <c r="A909" s="5">
        <v>42</v>
      </c>
      <c r="B909" s="5">
        <v>15687</v>
      </c>
    </row>
    <row r="910" spans="1:2">
      <c r="A910" s="5">
        <v>17</v>
      </c>
      <c r="B910" s="5">
        <v>5369</v>
      </c>
    </row>
    <row r="911" spans="1:2">
      <c r="A911" s="5">
        <v>52</v>
      </c>
      <c r="B911" s="5">
        <v>25214</v>
      </c>
    </row>
    <row r="912" spans="1:2">
      <c r="A912" s="5">
        <v>32</v>
      </c>
      <c r="B912" s="5">
        <v>18</v>
      </c>
    </row>
    <row r="913" spans="1:2">
      <c r="A913" s="5">
        <v>52</v>
      </c>
      <c r="B913" s="5">
        <v>69307</v>
      </c>
    </row>
    <row r="914" spans="1:2">
      <c r="A914" s="5">
        <v>32</v>
      </c>
      <c r="B914" s="5">
        <v>86371</v>
      </c>
    </row>
    <row r="915" spans="1:2">
      <c r="A915" s="5">
        <v>57</v>
      </c>
      <c r="B915" s="5">
        <v>21247</v>
      </c>
    </row>
    <row r="916" spans="1:2">
      <c r="A916" s="5">
        <v>62</v>
      </c>
      <c r="B916" s="5">
        <v>13556</v>
      </c>
    </row>
    <row r="917" spans="1:2">
      <c r="A917" s="5">
        <v>47</v>
      </c>
      <c r="B917" s="5">
        <v>65600</v>
      </c>
    </row>
    <row r="918" spans="1:2">
      <c r="A918" s="5">
        <v>32</v>
      </c>
      <c r="B918" s="5">
        <v>60941</v>
      </c>
    </row>
    <row r="919" spans="1:2">
      <c r="A919" s="5">
        <v>52</v>
      </c>
      <c r="B919" s="5">
        <v>94472</v>
      </c>
    </row>
    <row r="920" spans="1:2">
      <c r="A920" s="5">
        <v>52</v>
      </c>
      <c r="B920" s="5">
        <v>77297</v>
      </c>
    </row>
    <row r="921" spans="1:2">
      <c r="A921" s="5">
        <v>42</v>
      </c>
      <c r="B921" s="5">
        <v>32763</v>
      </c>
    </row>
    <row r="922" spans="1:2">
      <c r="A922" s="5">
        <v>47</v>
      </c>
      <c r="B922" s="5">
        <v>38194</v>
      </c>
    </row>
    <row r="923" spans="1:2">
      <c r="A923" s="5">
        <v>47</v>
      </c>
      <c r="B923" s="5">
        <v>19101</v>
      </c>
    </row>
    <row r="924" spans="1:2">
      <c r="A924" s="5">
        <v>47</v>
      </c>
      <c r="B924" s="5">
        <v>71716</v>
      </c>
    </row>
    <row r="925" spans="1:2">
      <c r="A925" s="5">
        <v>17</v>
      </c>
      <c r="B925" s="5">
        <v>21626</v>
      </c>
    </row>
    <row r="926" spans="1:2">
      <c r="A926" s="5">
        <v>27</v>
      </c>
      <c r="B926" s="5">
        <v>23782</v>
      </c>
    </row>
    <row r="927" spans="1:2">
      <c r="A927" s="5">
        <v>42</v>
      </c>
      <c r="B927" s="5">
        <v>43570</v>
      </c>
    </row>
    <row r="928" spans="1:2">
      <c r="A928" s="5">
        <v>37</v>
      </c>
      <c r="B928" s="5">
        <v>25239</v>
      </c>
    </row>
    <row r="929" spans="1:2">
      <c r="A929" s="5">
        <v>27</v>
      </c>
      <c r="B929" s="5">
        <v>53544</v>
      </c>
    </row>
    <row r="930" spans="1:2">
      <c r="A930" s="5">
        <v>57</v>
      </c>
      <c r="B930" s="5">
        <v>125466</v>
      </c>
    </row>
    <row r="931" spans="1:2">
      <c r="A931" s="5">
        <v>22</v>
      </c>
      <c r="B931" s="5">
        <v>54503</v>
      </c>
    </row>
    <row r="932" spans="1:2">
      <c r="A932" s="5">
        <v>42</v>
      </c>
      <c r="B932" s="5">
        <v>57941</v>
      </c>
    </row>
    <row r="933" spans="1:2">
      <c r="A933" s="5">
        <v>67</v>
      </c>
      <c r="B933" s="5">
        <v>10740</v>
      </c>
    </row>
    <row r="934" spans="1:2">
      <c r="A934" s="5">
        <v>47</v>
      </c>
      <c r="B934" s="5">
        <v>157614</v>
      </c>
    </row>
    <row r="935" spans="1:2">
      <c r="A935" s="5">
        <v>22</v>
      </c>
      <c r="B935" s="5">
        <v>11580</v>
      </c>
    </row>
    <row r="936" spans="1:2">
      <c r="A936" s="5">
        <v>22</v>
      </c>
      <c r="B936" s="5">
        <v>42571</v>
      </c>
    </row>
    <row r="937" spans="1:2">
      <c r="A937" s="5">
        <v>52</v>
      </c>
      <c r="B937" s="5">
        <v>270704</v>
      </c>
    </row>
    <row r="938" spans="1:2">
      <c r="A938" s="5">
        <v>22</v>
      </c>
      <c r="B938" s="5">
        <v>30678</v>
      </c>
    </row>
    <row r="939" spans="1:2">
      <c r="A939" s="5">
        <v>17</v>
      </c>
      <c r="B939" s="5">
        <v>5685</v>
      </c>
    </row>
    <row r="940" spans="1:2">
      <c r="A940" s="5">
        <v>47</v>
      </c>
      <c r="B940" s="5">
        <v>24192</v>
      </c>
    </row>
    <row r="941" spans="1:2">
      <c r="A941" s="5">
        <v>57</v>
      </c>
      <c r="B941" s="5">
        <v>19208</v>
      </c>
    </row>
    <row r="942" spans="1:2">
      <c r="A942" s="5">
        <v>52</v>
      </c>
      <c r="B942" s="5">
        <v>78412</v>
      </c>
    </row>
    <row r="943" spans="1:2">
      <c r="A943" s="5">
        <v>22</v>
      </c>
      <c r="B943" s="5">
        <v>87780</v>
      </c>
    </row>
    <row r="944" spans="1:2">
      <c r="A944" s="5">
        <v>32</v>
      </c>
      <c r="B944" s="5">
        <v>82842</v>
      </c>
    </row>
    <row r="945" spans="1:2">
      <c r="A945" s="5">
        <v>42</v>
      </c>
      <c r="B945" s="5">
        <v>619</v>
      </c>
    </row>
    <row r="946" spans="1:2">
      <c r="A946" s="5">
        <v>22</v>
      </c>
      <c r="B946" s="5">
        <v>39749</v>
      </c>
    </row>
    <row r="947" spans="1:2">
      <c r="A947" s="5">
        <v>42</v>
      </c>
      <c r="B947" s="5">
        <v>14397</v>
      </c>
    </row>
    <row r="948" spans="1:2">
      <c r="A948" s="5">
        <v>47</v>
      </c>
      <c r="B948" s="5">
        <v>9974</v>
      </c>
    </row>
    <row r="949" spans="1:2">
      <c r="A949" s="5">
        <v>27</v>
      </c>
      <c r="B949" s="5">
        <v>52533</v>
      </c>
    </row>
    <row r="950" spans="1:2">
      <c r="A950" s="5">
        <v>27</v>
      </c>
      <c r="B950" s="5">
        <v>7</v>
      </c>
    </row>
    <row r="951" spans="1:2">
      <c r="A951" s="5">
        <v>37</v>
      </c>
      <c r="B951" s="5">
        <v>11043</v>
      </c>
    </row>
    <row r="952" spans="1:2">
      <c r="A952" s="5">
        <v>57</v>
      </c>
      <c r="B952" s="5">
        <v>15365</v>
      </c>
    </row>
    <row r="953" spans="1:2">
      <c r="A953" s="5">
        <v>62</v>
      </c>
      <c r="B953" s="5">
        <v>36458</v>
      </c>
    </row>
    <row r="954" spans="1:2">
      <c r="A954" s="5">
        <v>47</v>
      </c>
      <c r="B954" s="5">
        <v>66395</v>
      </c>
    </row>
    <row r="955" spans="1:2">
      <c r="A955" s="5">
        <v>62</v>
      </c>
      <c r="B955" s="5">
        <v>50789</v>
      </c>
    </row>
    <row r="956" spans="1:2">
      <c r="A956" s="5">
        <v>67</v>
      </c>
      <c r="B956" s="5">
        <v>53674</v>
      </c>
    </row>
    <row r="957" spans="1:2">
      <c r="A957" s="5">
        <v>62</v>
      </c>
      <c r="B957" s="5">
        <v>5070</v>
      </c>
    </row>
    <row r="958" spans="1:2">
      <c r="A958" s="5">
        <v>37</v>
      </c>
      <c r="B958" s="5">
        <v>36392</v>
      </c>
    </row>
    <row r="959" spans="1:2">
      <c r="A959" s="5">
        <v>27</v>
      </c>
      <c r="B959" s="5">
        <v>65394</v>
      </c>
    </row>
    <row r="960" spans="1:2">
      <c r="A960" s="5">
        <v>22</v>
      </c>
      <c r="B960" s="5">
        <v>29381</v>
      </c>
    </row>
    <row r="961" spans="1:2">
      <c r="A961" s="5">
        <v>47</v>
      </c>
      <c r="B961" s="5">
        <v>14066</v>
      </c>
    </row>
    <row r="962" spans="1:2">
      <c r="A962" s="5">
        <v>27</v>
      </c>
      <c r="B962" s="5">
        <v>31108</v>
      </c>
    </row>
    <row r="963" spans="1:2">
      <c r="A963" s="5">
        <v>32</v>
      </c>
      <c r="B963" s="5">
        <v>133702</v>
      </c>
    </row>
    <row r="964" spans="1:2">
      <c r="A964" s="5">
        <v>62</v>
      </c>
      <c r="B964" s="5">
        <v>202364</v>
      </c>
    </row>
    <row r="965" spans="1:2">
      <c r="A965" s="5">
        <v>42</v>
      </c>
      <c r="B965" s="5">
        <v>200292</v>
      </c>
    </row>
    <row r="966" spans="1:2">
      <c r="A966" s="5">
        <v>42</v>
      </c>
      <c r="B966" s="5">
        <v>31504</v>
      </c>
    </row>
    <row r="967" spans="1:2">
      <c r="A967" s="5">
        <v>57</v>
      </c>
      <c r="B967" s="5">
        <v>57207</v>
      </c>
    </row>
    <row r="968" spans="1:2">
      <c r="A968" s="5">
        <v>37</v>
      </c>
      <c r="B968" s="5">
        <v>146765</v>
      </c>
    </row>
    <row r="969" spans="1:2">
      <c r="A969" s="5">
        <v>52</v>
      </c>
      <c r="B969" s="5">
        <v>36998</v>
      </c>
    </row>
    <row r="970" spans="1:2">
      <c r="A970" s="5">
        <v>17</v>
      </c>
      <c r="B970" s="5">
        <v>1096</v>
      </c>
    </row>
    <row r="971" spans="1:2">
      <c r="A971" s="5">
        <v>72</v>
      </c>
      <c r="B971" s="5">
        <v>14242</v>
      </c>
    </row>
    <row r="972" spans="1:2">
      <c r="A972" s="5">
        <v>42</v>
      </c>
      <c r="B972" s="5">
        <v>32368</v>
      </c>
    </row>
    <row r="973" spans="1:2">
      <c r="A973" s="5">
        <v>42</v>
      </c>
      <c r="B973" s="5">
        <v>107291</v>
      </c>
    </row>
    <row r="974" spans="1:2">
      <c r="A974" s="5">
        <v>32</v>
      </c>
      <c r="B974" s="5">
        <v>56592</v>
      </c>
    </row>
    <row r="975" spans="1:2">
      <c r="A975" s="5">
        <v>52</v>
      </c>
      <c r="B975" s="5">
        <v>114378</v>
      </c>
    </row>
    <row r="976" spans="1:2">
      <c r="A976" s="5">
        <v>47</v>
      </c>
      <c r="B976" s="5">
        <v>106685</v>
      </c>
    </row>
    <row r="977" spans="1:2">
      <c r="A977" s="5">
        <v>27</v>
      </c>
      <c r="B977" s="5">
        <v>116064</v>
      </c>
    </row>
    <row r="978" spans="1:2">
      <c r="A978" s="5">
        <v>37</v>
      </c>
      <c r="B978" s="5">
        <v>161245</v>
      </c>
    </row>
    <row r="979" spans="1:2">
      <c r="A979" s="5">
        <v>22</v>
      </c>
      <c r="B979" s="5">
        <v>24171</v>
      </c>
    </row>
    <row r="980" spans="1:2">
      <c r="A980" s="5">
        <v>52</v>
      </c>
      <c r="B980" s="5">
        <v>97322</v>
      </c>
    </row>
    <row r="981" spans="1:2">
      <c r="A981" s="5">
        <v>72</v>
      </c>
      <c r="B981" s="5">
        <v>13719</v>
      </c>
    </row>
    <row r="982" spans="1:2">
      <c r="A982" s="5">
        <v>32</v>
      </c>
      <c r="B982" s="5">
        <v>81435</v>
      </c>
    </row>
    <row r="983" spans="1:2">
      <c r="A983" s="5">
        <v>42</v>
      </c>
      <c r="B983" s="5">
        <v>5</v>
      </c>
    </row>
    <row r="984" spans="1:2">
      <c r="A984" s="5">
        <v>57</v>
      </c>
      <c r="B984" s="5">
        <v>21780</v>
      </c>
    </row>
    <row r="985" spans="1:2">
      <c r="A985" s="5">
        <v>52</v>
      </c>
      <c r="B985" s="5">
        <v>155773</v>
      </c>
    </row>
    <row r="986" spans="1:2">
      <c r="A986" s="5">
        <v>57</v>
      </c>
      <c r="B986" s="5">
        <v>227040</v>
      </c>
    </row>
    <row r="987" spans="1:2">
      <c r="A987" s="5">
        <v>27</v>
      </c>
      <c r="B987" s="5">
        <v>22081</v>
      </c>
    </row>
    <row r="988" spans="1:2">
      <c r="A988" s="5">
        <v>37</v>
      </c>
      <c r="B988" s="5">
        <v>114363</v>
      </c>
    </row>
    <row r="989" spans="1:2">
      <c r="A989" s="5">
        <v>32</v>
      </c>
      <c r="B989" s="5">
        <v>48062</v>
      </c>
    </row>
    <row r="990" spans="1:2">
      <c r="A990" s="5">
        <v>32</v>
      </c>
      <c r="B990" s="5">
        <v>21838</v>
      </c>
    </row>
    <row r="991" spans="1:2">
      <c r="A991" s="5">
        <v>27</v>
      </c>
      <c r="B991" s="5">
        <v>60370</v>
      </c>
    </row>
    <row r="992" spans="1:2">
      <c r="A992" s="5">
        <v>27</v>
      </c>
      <c r="B992" s="5">
        <v>38440</v>
      </c>
    </row>
    <row r="993" spans="1:2">
      <c r="A993" s="5">
        <v>27</v>
      </c>
      <c r="B993" s="5">
        <v>25872</v>
      </c>
    </row>
    <row r="994" spans="1:2">
      <c r="A994" s="5">
        <v>62</v>
      </c>
      <c r="B994" s="5">
        <v>81954</v>
      </c>
    </row>
    <row r="995" spans="1:2">
      <c r="A995" s="5">
        <v>57</v>
      </c>
      <c r="B995" s="5">
        <v>145954</v>
      </c>
    </row>
    <row r="996" spans="1:2">
      <c r="A996" s="5">
        <v>37</v>
      </c>
      <c r="B996" s="5">
        <v>39366</v>
      </c>
    </row>
    <row r="997" spans="1:2">
      <c r="A997" s="5">
        <v>52</v>
      </c>
      <c r="B997" s="5">
        <v>25115</v>
      </c>
    </row>
    <row r="998" spans="1:2">
      <c r="A998" s="5">
        <v>47</v>
      </c>
      <c r="B998" s="5">
        <v>3745</v>
      </c>
    </row>
    <row r="999" spans="1:2">
      <c r="A999" s="5">
        <v>62</v>
      </c>
      <c r="B999" s="5">
        <v>4582</v>
      </c>
    </row>
    <row r="1000" spans="1:2">
      <c r="A1000" s="5">
        <v>27</v>
      </c>
      <c r="B1000" s="5">
        <v>64752</v>
      </c>
    </row>
    <row r="1001" spans="1:2">
      <c r="A1001" s="5">
        <v>42</v>
      </c>
      <c r="B1001" s="5">
        <v>47072</v>
      </c>
    </row>
  </sheetData>
  <pageMargins left="0.7" right="0.7" top="0.75" bottom="0.75" header="0.3" footer="0.3"/>
  <pageSetup paperSize="9" orientation="portrait" horizontalDpi="0" verticalDpi="0"/>
  <drawing r:id="rId1"/>
  <tableParts count="1">
    <tablePart r:id="rId2"/>
  </tableParts>
</worksheet>
</file>

<file path=docMetadata/LabelInfo.xml><?xml version="1.0" encoding="utf-8"?>
<clbl:labelList xmlns:clbl="http://schemas.microsoft.com/office/2020/mipLabelMetadata">
  <clbl:label id="{df7f7579-3e9c-4a7e-b844-420280f53859}" enabled="0" method="" siteId="{df7f7579-3e9c-4a7e-b844-420280f53859}"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NGOC HUYEN TRANG NGUYEN</dc:creator>
  <cp:keywords/>
  <dc:description/>
  <cp:lastModifiedBy/>
  <cp:revision/>
  <dcterms:created xsi:type="dcterms:W3CDTF">2025-11-09T19:36:28Z</dcterms:created>
  <dcterms:modified xsi:type="dcterms:W3CDTF">2026-01-07T03:20:26Z</dcterms:modified>
  <cp:category/>
  <cp:contentStatus/>
</cp:coreProperties>
</file>